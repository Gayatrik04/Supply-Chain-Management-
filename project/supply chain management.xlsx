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282d145c8e2812e/Desktop/project/"/>
    </mc:Choice>
  </mc:AlternateContent>
  <xr:revisionPtr revIDLastSave="10" documentId="8_{1210100D-CE15-4FBA-9AE3-4B71648BC705}" xr6:coauthVersionLast="47" xr6:coauthVersionMax="47" xr10:uidLastSave="{C92E2DB9-49F2-4B60-B6E6-096DE54222B6}"/>
  <bookViews>
    <workbookView xWindow="-120" yWindow="-120" windowWidth="29040" windowHeight="15720" xr2:uid="{AA2BE784-C5CA-4DA9-A4A6-77007CF94551}"/>
  </bookViews>
  <sheets>
    <sheet name="clean data" sheetId="3" r:id="rId1"/>
    <sheet name="pivot table" sheetId="4" r:id="rId2"/>
    <sheet name="dashboard" sheetId="5" r:id="rId3"/>
  </sheets>
  <definedNames>
    <definedName name="_xlcn.WorksheetConnection_projuctfinal.xlsxProfit" hidden="1">Profit[]</definedName>
    <definedName name="ExternalData_2" localSheetId="0" hidden="1">'clean data'!$A$1:$R$2001</definedName>
    <definedName name="_xlnm.Print_Area" localSheetId="2">dashboard!$A$1:$Y$32</definedName>
    <definedName name="Slicer_Category">#N/A</definedName>
    <definedName name="Slicer_Months__Order_Date">#N/A</definedName>
    <definedName name="Slicer_Region">#N/A</definedName>
    <definedName name="Slicer_Warehou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fit" name="Profit" connection="WorksheetConnection_projuct final.xlsx!Profi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2" i="4" l="1"/>
  <c r="I67" i="4"/>
  <c r="I64" i="4"/>
  <c r="I66" i="4"/>
  <c r="I63" i="4"/>
  <c r="I65" i="4" l="1"/>
  <c r="I6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45BBB7-7D92-44CB-BEE6-30744D6C9AD5}" keepAlive="1" name="Query - company_sales_dataset" description="Connection to the 'company_sales_dataset' query in the workbook." type="5" refreshedVersion="0" background="1">
    <dbPr connection="Provider=Microsoft.Mashup.OleDb.1;Data Source=$Workbook$;Location=company_sales_dataset;Extended Properties=&quot;&quot;" command="SELECT * FROM [company_sales_dataset]"/>
  </connection>
  <connection id="2" xr16:uid="{0010F392-6EC5-42FB-8308-68DD11F9CAB9}" keepAlive="1" name="Query - Profit" description="Connection to the 'Profit' query in the workbook." type="5" refreshedVersion="8" background="1" saveData="1">
    <dbPr connection="Provider=Microsoft.Mashup.OleDb.1;Data Source=$Workbook$;Location=Profit;Extended Properties=&quot;&quot;" command="SELECT * FROM [Profit]"/>
  </connection>
  <connection id="3" xr16:uid="{2391339E-85B0-4AF4-B42E-9F7CCF58FA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13AFC4A-5ADB-41BA-9C9C-2BAF338980E0}" name="WorksheetConnection_projuct final.xlsx!Profit" type="102" refreshedVersion="8" minRefreshableVersion="5">
    <extLst>
      <ext xmlns:x15="http://schemas.microsoft.com/office/spreadsheetml/2010/11/main" uri="{DE250136-89BD-433C-8126-D09CA5730AF9}">
        <x15:connection id="Profit">
          <x15:rangePr sourceName="_xlcn.WorksheetConnection_projuctfinal.xlsxProfit"/>
        </x15:connection>
      </ext>
    </extLst>
  </connection>
</connections>
</file>

<file path=xl/sharedStrings.xml><?xml version="1.0" encoding="utf-8"?>
<sst xmlns="http://schemas.openxmlformats.org/spreadsheetml/2006/main" count="16106" uniqueCount="2076">
  <si>
    <t>Order_ID</t>
  </si>
  <si>
    <t>Order_Date</t>
  </si>
  <si>
    <t>Delivery_Date</t>
  </si>
  <si>
    <t>Product_Name</t>
  </si>
  <si>
    <t>Category</t>
  </si>
  <si>
    <t>Supplier</t>
  </si>
  <si>
    <t>Warehouse</t>
  </si>
  <si>
    <t>Region</t>
  </si>
  <si>
    <t>Quantity</t>
  </si>
  <si>
    <t>Unit_Price</t>
  </si>
  <si>
    <t>Shipping_Cost</t>
  </si>
  <si>
    <t>Inventory_Level</t>
  </si>
  <si>
    <t>Profit</t>
  </si>
  <si>
    <t>Delivery_Status</t>
  </si>
  <si>
    <t>shipping_time</t>
  </si>
  <si>
    <t>total_revenue</t>
  </si>
  <si>
    <t>total_cost</t>
  </si>
  <si>
    <t>ORD-10000</t>
  </si>
  <si>
    <t>Organic Coffee</t>
  </si>
  <si>
    <t>Grocery</t>
  </si>
  <si>
    <t>FreshFoods</t>
  </si>
  <si>
    <t>Warehouse A</t>
  </si>
  <si>
    <t>South</t>
  </si>
  <si>
    <t>On Time</t>
  </si>
  <si>
    <t>ORD-10001</t>
  </si>
  <si>
    <t>Bulk Almonds</t>
  </si>
  <si>
    <t>Warehouse C</t>
  </si>
  <si>
    <t>East</t>
  </si>
  <si>
    <t>ORD-10002</t>
  </si>
  <si>
    <t>Winter Jacket</t>
  </si>
  <si>
    <t>Clothing</t>
  </si>
  <si>
    <t>Vogue Apparel</t>
  </si>
  <si>
    <t>West</t>
  </si>
  <si>
    <t>ORD-10003</t>
  </si>
  <si>
    <t>Running Shoes</t>
  </si>
  <si>
    <t>Warehouse B</t>
  </si>
  <si>
    <t>ORD-10004</t>
  </si>
  <si>
    <t>Bookshelf</t>
  </si>
  <si>
    <t>Furniture</t>
  </si>
  <si>
    <t>TimberCraft</t>
  </si>
  <si>
    <t>North</t>
  </si>
  <si>
    <t>ORD-10005</t>
  </si>
  <si>
    <t>ORD-10006</t>
  </si>
  <si>
    <t>Wireless Earbuds</t>
  </si>
  <si>
    <t>Electronics</t>
  </si>
  <si>
    <t>TechCorp</t>
  </si>
  <si>
    <t>ORD-10007</t>
  </si>
  <si>
    <t>Critical Delay</t>
  </si>
  <si>
    <t>ORD-10008</t>
  </si>
  <si>
    <t>ORD-10009</t>
  </si>
  <si>
    <t>4K Monitor</t>
  </si>
  <si>
    <t>ORD-10010</t>
  </si>
  <si>
    <t>Denim Jeans</t>
  </si>
  <si>
    <t>ORD-10011</t>
  </si>
  <si>
    <t>Office Chair</t>
  </si>
  <si>
    <t>ORD-10012</t>
  </si>
  <si>
    <t>Ergonomic Desk</t>
  </si>
  <si>
    <t>ORD-10013</t>
  </si>
  <si>
    <t>Energy Drinks</t>
  </si>
  <si>
    <t>ORD-10014</t>
  </si>
  <si>
    <t>ORD-10015</t>
  </si>
  <si>
    <t>ORD-10016</t>
  </si>
  <si>
    <t>ORD-10017</t>
  </si>
  <si>
    <t>Delayed</t>
  </si>
  <si>
    <t>ORD-10018</t>
  </si>
  <si>
    <t>ORD-10019</t>
  </si>
  <si>
    <t>ORD-10020</t>
  </si>
  <si>
    <t>ORD-10021</t>
  </si>
  <si>
    <t>ORD-10022</t>
  </si>
  <si>
    <t>ORD-10023</t>
  </si>
  <si>
    <t>ORD-10024</t>
  </si>
  <si>
    <t>ORD-10025</t>
  </si>
  <si>
    <t>Smartphone X</t>
  </si>
  <si>
    <t>ORD-10026</t>
  </si>
  <si>
    <t>ORD-10027</t>
  </si>
  <si>
    <t>Laptop Pro</t>
  </si>
  <si>
    <t>ORD-10028</t>
  </si>
  <si>
    <t>ORD-10029</t>
  </si>
  <si>
    <t>Smart Watch Band</t>
  </si>
  <si>
    <t>Accessories</t>
  </si>
  <si>
    <t>Apex Goods</t>
  </si>
  <si>
    <t>ORD-10030</t>
  </si>
  <si>
    <t>Leather Wallet</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</si>
  <si>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</si>
  <si>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</si>
  <si>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</si>
  <si>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</si>
  <si>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</si>
  <si>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</si>
  <si>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</si>
  <si>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</si>
  <si>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</si>
  <si>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</si>
  <si>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</si>
  <si>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</si>
  <si>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</si>
  <si>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</si>
  <si>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</si>
  <si>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</si>
  <si>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</si>
  <si>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</si>
  <si>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</si>
  <si>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</si>
  <si>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</si>
  <si>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</si>
  <si>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</si>
  <si>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</si>
  <si>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</si>
  <si>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</si>
  <si>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</si>
  <si>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</si>
  <si>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</si>
  <si>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</si>
  <si>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</si>
  <si>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</si>
  <si>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</si>
  <si>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</si>
  <si>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</si>
  <si>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Backpack</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</si>
  <si>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</si>
  <si>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</si>
  <si>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</si>
  <si>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</si>
  <si>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</si>
  <si>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</si>
  <si>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</si>
  <si>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</si>
  <si>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</si>
  <si>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</si>
  <si>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</si>
  <si>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</si>
  <si>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</si>
  <si>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</si>
  <si>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</si>
  <si>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</si>
  <si>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</si>
  <si>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</si>
  <si>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</si>
  <si>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</si>
  <si>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</si>
  <si>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</si>
  <si>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</si>
  <si>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</si>
  <si>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</si>
  <si>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</si>
  <si>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</si>
  <si>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</si>
  <si>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</si>
  <si>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</si>
  <si>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</si>
  <si>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</si>
  <si>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</si>
  <si>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</si>
  <si>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</si>
  <si>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</si>
  <si>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</si>
  <si>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</si>
  <si>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</si>
  <si>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</si>
  <si>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</si>
  <si>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</si>
  <si>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</si>
  <si>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</si>
  <si>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</si>
  <si>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</si>
  <si>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</si>
  <si>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</si>
  <si>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</si>
  <si>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</si>
  <si>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</si>
  <si>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</si>
  <si>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</si>
  <si>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</si>
  <si>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</si>
  <si>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</si>
  <si>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</si>
  <si>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</si>
  <si>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</si>
  <si>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</si>
  <si>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</si>
  <si>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</si>
  <si>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</si>
  <si>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</si>
  <si>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</si>
  <si>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</si>
  <si>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</si>
  <si>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</si>
  <si>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</si>
  <si>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</si>
  <si>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</si>
  <si>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</si>
  <si>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</si>
  <si>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</si>
  <si>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</si>
  <si>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</si>
  <si>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</si>
  <si>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</si>
  <si>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</si>
  <si>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</si>
  <si>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</si>
  <si>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</si>
  <si>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</si>
  <si>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</si>
  <si>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</si>
  <si>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</si>
  <si>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</si>
  <si>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</si>
  <si>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</si>
  <si>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</si>
  <si>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</si>
  <si>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</si>
  <si>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</si>
  <si>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</si>
  <si>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</si>
  <si>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</si>
  <si>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</si>
  <si>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</si>
  <si>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</si>
  <si>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</si>
  <si>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</si>
  <si>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</si>
  <si>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</si>
  <si>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</si>
  <si>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</si>
  <si>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</si>
  <si>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</si>
  <si>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</si>
  <si>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</si>
  <si>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</si>
  <si>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</si>
  <si>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</si>
  <si>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</si>
  <si>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</si>
  <si>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</si>
  <si>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</si>
  <si>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</si>
  <si>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</si>
  <si>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</si>
  <si>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</si>
  <si>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</si>
  <si>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</si>
  <si>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</si>
  <si>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</si>
  <si>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</si>
  <si>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</si>
  <si>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</si>
  <si>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</si>
  <si>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</si>
  <si>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</si>
  <si>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</si>
  <si>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</si>
  <si>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</si>
  <si>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</si>
  <si>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</si>
  <si>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</si>
  <si>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</si>
  <si>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</si>
  <si>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</si>
  <si>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</si>
  <si>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</si>
  <si>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</si>
  <si>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</si>
  <si>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</si>
  <si>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</si>
  <si>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</si>
  <si>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</si>
  <si>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</si>
  <si>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</si>
  <si>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</si>
  <si>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</si>
  <si>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</si>
  <si>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</si>
  <si>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</si>
  <si>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</si>
  <si>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</si>
  <si>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</si>
  <si>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</si>
  <si>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</si>
  <si>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</si>
  <si>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</si>
  <si>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</si>
  <si>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</si>
  <si>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</si>
  <si>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</si>
  <si>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</si>
  <si>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</si>
  <si>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</si>
  <si>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</si>
  <si>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</si>
  <si>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</si>
  <si>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</si>
  <si>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</si>
  <si>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</si>
  <si>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</si>
  <si>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</si>
  <si>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</si>
  <si>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</si>
  <si>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</si>
  <si>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</si>
  <si>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</si>
  <si>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</si>
  <si>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</si>
  <si>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</si>
  <si>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</si>
  <si>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</si>
  <si>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</si>
  <si>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</si>
  <si>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</si>
  <si>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</si>
  <si>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</si>
  <si>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</si>
  <si>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</si>
  <si>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</si>
  <si>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</si>
  <si>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</si>
  <si>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</si>
  <si>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</si>
  <si>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</si>
  <si>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</si>
  <si>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</si>
  <si>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</si>
  <si>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</si>
  <si>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</si>
  <si>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</si>
  <si>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</si>
  <si>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</si>
  <si>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</si>
  <si>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</si>
  <si>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</si>
  <si>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</si>
  <si>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</si>
  <si>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</si>
  <si>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</si>
  <si>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</si>
  <si>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</si>
  <si>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</si>
  <si>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</si>
  <si>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</si>
  <si>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</si>
  <si>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</si>
  <si>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</si>
  <si>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</si>
  <si>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</si>
  <si>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</si>
  <si>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</si>
  <si>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</si>
  <si>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</si>
  <si>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</si>
  <si>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</si>
  <si>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</si>
  <si>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</si>
  <si>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</si>
  <si>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</si>
  <si>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</si>
  <si>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</si>
  <si>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</si>
  <si>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</si>
  <si>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</si>
  <si>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</si>
  <si>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</si>
  <si>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</si>
  <si>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</si>
  <si>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</si>
  <si>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</si>
  <si>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</si>
  <si>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</si>
  <si>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</si>
  <si>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</si>
  <si>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</si>
  <si>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</si>
  <si>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</si>
  <si>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</si>
  <si>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</si>
  <si>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</si>
  <si>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</si>
  <si>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</si>
  <si>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</si>
  <si>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</si>
  <si>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</si>
  <si>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</si>
  <si>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</si>
  <si>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</si>
  <si>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</si>
  <si>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</si>
  <si>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</si>
  <si>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</si>
  <si>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</si>
  <si>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</si>
  <si>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</si>
  <si>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</si>
  <si>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</si>
  <si>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</si>
  <si>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</si>
  <si>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</si>
  <si>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</si>
  <si>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</si>
  <si>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</si>
  <si>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</si>
  <si>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</si>
  <si>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</si>
  <si>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</si>
  <si>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</si>
  <si>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</si>
  <si>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</si>
  <si>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</si>
  <si>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</si>
  <si>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</si>
  <si>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</si>
  <si>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</si>
  <si>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</si>
  <si>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</si>
  <si>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</si>
  <si>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</si>
  <si>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</si>
  <si>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</si>
  <si>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</si>
  <si>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</si>
  <si>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</si>
  <si>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</si>
  <si>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</si>
  <si>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</si>
  <si>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</si>
  <si>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</si>
  <si>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</si>
  <si>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</si>
  <si>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</si>
  <si>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</si>
  <si>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</si>
  <si>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</si>
  <si>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</si>
  <si>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</si>
  <si>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</si>
  <si>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</si>
  <si>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</si>
  <si>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</si>
  <si>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</si>
  <si>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</si>
  <si>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</si>
  <si>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</si>
  <si>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</si>
  <si>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</si>
  <si>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</si>
  <si>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</si>
  <si>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</si>
  <si>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</si>
  <si>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</si>
  <si>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</si>
  <si>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</si>
  <si>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</si>
  <si>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</si>
  <si>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</si>
  <si>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</si>
  <si>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</si>
  <si>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</si>
  <si>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</si>
  <si>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</si>
  <si>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</si>
  <si>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</si>
  <si>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</si>
  <si>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</si>
  <si>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</si>
  <si>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</si>
  <si>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</si>
  <si>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</si>
  <si>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</si>
  <si>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</si>
  <si>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</si>
  <si>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</si>
  <si>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</si>
  <si>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</si>
  <si>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</si>
  <si>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</si>
  <si>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</si>
  <si>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</si>
  <si>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</si>
  <si>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</si>
  <si>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</si>
  <si>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</si>
  <si>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</si>
  <si>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</si>
  <si>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</si>
  <si>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</si>
  <si>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</si>
  <si>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</si>
  <si>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</si>
  <si>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</si>
  <si>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</si>
  <si>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</si>
  <si>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</si>
  <si>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</si>
  <si>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</si>
  <si>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</si>
  <si>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</si>
  <si>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</si>
  <si>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</si>
  <si>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</si>
  <si>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</si>
  <si>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</si>
  <si>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</si>
  <si>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</si>
  <si>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</si>
  <si>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</si>
  <si>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</si>
  <si>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</si>
  <si>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</si>
  <si>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</si>
  <si>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</si>
  <si>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</si>
  <si>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</si>
  <si>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</si>
  <si>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</si>
  <si>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</si>
  <si>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</si>
  <si>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</si>
  <si>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</si>
  <si>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</si>
  <si>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</si>
  <si>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</si>
  <si>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</si>
  <si>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</si>
  <si>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</si>
  <si>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</si>
  <si>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</si>
  <si>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</si>
  <si>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</si>
  <si>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</si>
  <si>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</si>
  <si>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</si>
  <si>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</si>
  <si>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</si>
  <si>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</si>
  <si>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</si>
  <si>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</si>
  <si>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</si>
  <si>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</si>
  <si>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</si>
  <si>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</si>
  <si>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</si>
  <si>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</si>
  <si>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</si>
  <si>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</si>
  <si>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</si>
  <si>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</si>
  <si>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</si>
  <si>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</si>
  <si>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</si>
  <si>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</si>
  <si>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</si>
  <si>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</si>
  <si>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</si>
  <si>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</si>
  <si>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</si>
  <si>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</si>
  <si>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</si>
  <si>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</si>
  <si>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</si>
  <si>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</si>
  <si>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</si>
  <si>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</si>
  <si>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</si>
  <si>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</si>
  <si>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</si>
  <si>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</si>
  <si>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</si>
  <si>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</si>
  <si>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</si>
  <si>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</si>
  <si>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</si>
  <si>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</si>
  <si>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</si>
  <si>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</si>
  <si>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</si>
  <si>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</si>
  <si>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</si>
  <si>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</si>
  <si>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</si>
  <si>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</si>
  <si>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</si>
  <si>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</si>
  <si>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</si>
  <si>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</si>
  <si>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</si>
  <si>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</si>
  <si>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</si>
  <si>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</si>
  <si>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</si>
  <si>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</si>
  <si>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</si>
  <si>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</si>
  <si>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</si>
  <si>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</si>
  <si>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</si>
  <si>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</si>
  <si>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</si>
  <si>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</si>
  <si>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</si>
  <si>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</si>
  <si>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</si>
  <si>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</si>
  <si>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</si>
  <si>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</si>
  <si>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</si>
  <si>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</si>
  <si>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</si>
  <si>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</si>
  <si>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</si>
  <si>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</si>
  <si>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</si>
  <si>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</si>
  <si>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</si>
  <si>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</si>
  <si>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</si>
  <si>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</si>
  <si>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</si>
  <si>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</si>
  <si>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</si>
  <si>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</si>
  <si>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</si>
  <si>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</si>
  <si>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</si>
  <si>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</si>
  <si>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</si>
  <si>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</si>
  <si>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</si>
  <si>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</si>
  <si>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</si>
  <si>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</si>
  <si>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</si>
  <si>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</si>
  <si>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</si>
  <si>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</si>
  <si>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</si>
  <si>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</si>
  <si>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</si>
  <si>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</si>
  <si>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</si>
  <si>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</si>
  <si>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</si>
  <si>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</si>
  <si>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</si>
  <si>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</si>
  <si>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</si>
  <si>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</si>
  <si>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</si>
  <si>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</si>
  <si>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</si>
  <si>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</si>
  <si>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</si>
  <si>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</si>
  <si>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</si>
  <si>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</si>
  <si>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</si>
  <si>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</si>
  <si>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</si>
  <si>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</si>
  <si>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</si>
  <si>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</si>
  <si>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</si>
  <si>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</si>
  <si>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</si>
  <si>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</si>
  <si>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</si>
  <si>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</si>
  <si>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</si>
  <si>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</si>
  <si>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</si>
  <si>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</si>
  <si>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</si>
  <si>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</si>
  <si>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</si>
  <si>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</si>
  <si>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</si>
  <si>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</si>
  <si>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</si>
  <si>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</si>
  <si>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</si>
  <si>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</si>
  <si>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</si>
  <si>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</si>
  <si>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</si>
  <si>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</si>
  <si>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</si>
  <si>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</si>
  <si>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</si>
  <si>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</si>
  <si>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</si>
  <si>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</si>
  <si>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</si>
  <si>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</si>
  <si>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</si>
  <si>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</si>
  <si>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</si>
  <si>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</si>
  <si>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</si>
  <si>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</si>
  <si>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</si>
  <si>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</si>
  <si>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</si>
  <si>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</si>
  <si>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</si>
  <si>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</si>
  <si>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</si>
  <si>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</si>
  <si>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</si>
  <si>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</si>
  <si>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</si>
  <si>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</si>
  <si>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</si>
  <si>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</si>
  <si>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</si>
  <si>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</si>
  <si>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</si>
  <si>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</si>
  <si>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</si>
  <si>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</si>
  <si>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</si>
  <si>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</si>
  <si>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</si>
  <si>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</si>
  <si>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</si>
  <si>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</si>
  <si>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</si>
  <si>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</si>
  <si>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</si>
  <si>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</si>
  <si>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</si>
  <si>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</si>
  <si>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</si>
  <si>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</si>
  <si>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</si>
  <si>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</si>
  <si>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</si>
  <si>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</si>
  <si>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</si>
  <si>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</si>
  <si>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</si>
  <si>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</si>
  <si>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</si>
  <si>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</si>
  <si>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</si>
  <si>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</si>
  <si>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</si>
  <si>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</si>
  <si>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</si>
  <si>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</si>
  <si>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</si>
  <si>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</si>
  <si>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</si>
  <si>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</si>
  <si>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</si>
  <si>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</si>
  <si>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</si>
  <si>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</si>
  <si>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</si>
  <si>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</si>
  <si>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</si>
  <si>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</si>
  <si>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</si>
  <si>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</si>
  <si>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</si>
  <si>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</si>
  <si>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</si>
  <si>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</si>
  <si>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</si>
  <si>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</si>
  <si>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</si>
  <si>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</si>
  <si>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</si>
  <si>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</si>
  <si>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</si>
  <si>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</si>
  <si>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</si>
  <si>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</si>
  <si>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</si>
  <si>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</si>
  <si>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</si>
  <si>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</si>
  <si>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</si>
  <si>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</si>
  <si>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</si>
  <si>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</si>
  <si>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</si>
  <si>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</si>
  <si>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</si>
  <si>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</si>
  <si>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</si>
  <si>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</si>
  <si>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</si>
  <si>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</si>
  <si>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</si>
  <si>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</si>
  <si>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</si>
  <si>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</si>
  <si>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</si>
  <si>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</si>
  <si>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</si>
  <si>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</si>
  <si>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</si>
  <si>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</si>
  <si>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</si>
  <si>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</si>
  <si>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</si>
  <si>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</si>
  <si>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</si>
  <si>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</si>
  <si>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</si>
  <si>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</si>
  <si>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</si>
  <si>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</si>
  <si>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</si>
  <si>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</si>
  <si>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</si>
  <si>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</si>
  <si>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</si>
  <si>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</si>
  <si>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</si>
  <si>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</si>
  <si>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</si>
  <si>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</si>
  <si>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</si>
  <si>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</si>
  <si>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</si>
  <si>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</si>
  <si>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</si>
  <si>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</si>
  <si>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</si>
  <si>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</si>
  <si>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</si>
  <si>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</si>
  <si>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</si>
  <si>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</si>
  <si>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</si>
  <si>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</si>
  <si>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</si>
  <si>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</si>
  <si>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</si>
  <si>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</si>
  <si>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</si>
  <si>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</si>
  <si>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</si>
  <si>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</si>
  <si>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</si>
  <si>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</si>
  <si>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</si>
  <si>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</si>
  <si>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</si>
  <si>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</si>
  <si>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</si>
  <si>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</si>
  <si>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</si>
  <si>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</si>
  <si>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</si>
  <si>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</si>
  <si>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</si>
  <si>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</si>
  <si>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</si>
  <si>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</si>
  <si>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</si>
  <si>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</si>
  <si>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</si>
  <si>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</si>
  <si>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</si>
  <si>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</si>
  <si>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</si>
  <si>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</si>
  <si>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</si>
  <si>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</si>
  <si>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</si>
  <si>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</si>
  <si>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</si>
  <si>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</si>
  <si>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</si>
  <si>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</si>
  <si>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</si>
  <si>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</si>
  <si>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</si>
  <si>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</si>
  <si>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</si>
  <si>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</si>
  <si>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</si>
  <si>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</si>
  <si>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</si>
  <si>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</si>
  <si>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</si>
  <si>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</si>
  <si>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</si>
  <si>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</si>
  <si>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</si>
  <si>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</si>
  <si>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</si>
  <si>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</si>
  <si>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</si>
  <si>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</si>
  <si>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</si>
  <si>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</si>
  <si>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</si>
  <si>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</si>
  <si>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</si>
  <si>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</si>
  <si>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</si>
  <si>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</si>
  <si>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</si>
  <si>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</si>
  <si>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</si>
  <si>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</si>
  <si>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</si>
  <si>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</si>
  <si>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</si>
  <si>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</si>
  <si>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</si>
  <si>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</si>
  <si>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</si>
  <si>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</si>
  <si>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</si>
  <si>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</si>
  <si>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</si>
  <si>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</si>
  <si>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</si>
  <si>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</si>
  <si>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</si>
  <si>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</si>
  <si>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</si>
  <si>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</si>
  <si>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</si>
  <si>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</si>
  <si>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</si>
  <si>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</si>
  <si>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</si>
  <si>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</si>
  <si>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</si>
  <si>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</si>
  <si>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</si>
  <si>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</si>
  <si>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</si>
  <si>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</si>
  <si>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</si>
  <si>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</si>
  <si>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</si>
  <si>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</si>
  <si>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</si>
  <si>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</si>
  <si>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</si>
  <si>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</si>
  <si>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</si>
  <si>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</si>
  <si>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</si>
  <si>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</si>
  <si>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</si>
  <si>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</si>
  <si>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</si>
  <si>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</si>
  <si>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</si>
  <si>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</si>
  <si>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</si>
  <si>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</si>
  <si>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</si>
  <si>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</si>
  <si>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</si>
  <si>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</si>
  <si>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</si>
  <si>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</si>
  <si>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</si>
  <si>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</si>
  <si>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</si>
  <si>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</si>
  <si>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</si>
  <si>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</si>
  <si>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</si>
  <si>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</si>
  <si>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</si>
  <si>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</si>
  <si>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</si>
  <si>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</si>
  <si>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</si>
  <si>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</si>
  <si>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</si>
  <si>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</si>
  <si>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</si>
  <si>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</si>
  <si>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</si>
  <si>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</si>
  <si>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</si>
  <si>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</si>
  <si>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</si>
  <si>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</si>
  <si>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</si>
  <si>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</si>
  <si>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</si>
  <si>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</si>
  <si>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</si>
  <si>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</si>
  <si>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</si>
  <si>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</si>
  <si>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</si>
  <si>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</si>
  <si>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</si>
  <si>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</si>
  <si>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</si>
  <si>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</si>
  <si>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</si>
  <si>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</si>
  <si>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</si>
  <si>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</si>
  <si>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</si>
  <si>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</si>
  <si>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</si>
  <si>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</si>
  <si>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</si>
  <si>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</si>
  <si>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</si>
  <si>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</si>
  <si>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</si>
  <si>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</si>
  <si>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</si>
  <si>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</si>
  <si>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</si>
  <si>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</si>
  <si>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</si>
  <si>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</si>
  <si>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</si>
  <si>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</si>
  <si>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</si>
  <si>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</si>
  <si>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</si>
  <si>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</si>
  <si>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</si>
  <si>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</si>
  <si>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</si>
  <si>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</si>
  <si>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</si>
  <si>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</si>
  <si>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</si>
  <si>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</si>
  <si>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</si>
  <si>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</si>
  <si>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</si>
  <si>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</si>
  <si>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</si>
  <si>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</si>
  <si>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</si>
  <si>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</si>
  <si>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</si>
  <si>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</si>
  <si>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</si>
  <si>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</si>
  <si>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</si>
  <si>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</si>
  <si>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</si>
  <si>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</si>
  <si>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</si>
  <si>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</si>
  <si>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</si>
  <si>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</si>
  <si>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</si>
  <si>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</si>
  <si>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</si>
  <si>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</si>
  <si>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</si>
  <si>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</si>
  <si>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</si>
  <si>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</si>
  <si>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</si>
  <si>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</si>
  <si>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</si>
  <si>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</si>
  <si>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</si>
  <si>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</si>
  <si>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</si>
  <si>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</si>
  <si>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</si>
  <si>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</si>
  <si>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</si>
  <si>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</si>
  <si>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</si>
  <si>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</si>
  <si>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</si>
  <si>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</si>
  <si>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</si>
  <si>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</si>
  <si>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</si>
  <si>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</si>
  <si>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</si>
  <si>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</si>
  <si>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</si>
  <si>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</si>
  <si>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</si>
  <si>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</si>
  <si>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</si>
  <si>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</si>
  <si>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</si>
  <si>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</si>
  <si>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</si>
  <si>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</si>
  <si>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</si>
  <si>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</si>
  <si>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</si>
  <si>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</si>
  <si>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</si>
  <si>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</si>
  <si>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</si>
  <si>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</si>
  <si>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</si>
  <si>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</si>
  <si>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</si>
  <si>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</si>
  <si>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</si>
  <si>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</si>
  <si>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</si>
  <si>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</si>
  <si>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</si>
  <si>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</si>
  <si>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</si>
  <si>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</si>
  <si>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</si>
  <si>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</si>
  <si>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</si>
  <si>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</si>
  <si>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</si>
  <si>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</si>
  <si>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</si>
  <si>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</si>
  <si>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</si>
  <si>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</si>
  <si>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</si>
  <si>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</si>
  <si>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</si>
  <si>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</si>
  <si>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</si>
  <si>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</si>
  <si>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</si>
  <si>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</si>
  <si>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</si>
  <si>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</si>
  <si>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</si>
  <si>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</si>
  <si>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</si>
  <si>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</si>
  <si>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</si>
  <si>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</si>
  <si>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</si>
  <si>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</si>
  <si>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</si>
  <si>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</si>
  <si>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</si>
  <si>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</si>
  <si>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</si>
  <si>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</si>
  <si>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</si>
  <si>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</si>
  <si>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</si>
  <si>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</si>
  <si>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</si>
  <si>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</si>
  <si>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</si>
  <si>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</si>
  <si>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</si>
  <si>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</si>
  <si>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</si>
  <si>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</si>
  <si>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</si>
  <si>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</si>
  <si>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</si>
  <si>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</si>
  <si>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</si>
  <si>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</si>
  <si>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</si>
  <si>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</si>
  <si>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</si>
  <si>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</si>
  <si>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</si>
  <si>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</si>
  <si>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</si>
  <si>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</si>
  <si>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</si>
  <si>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</si>
  <si>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</si>
  <si>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</si>
  <si>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</si>
  <si>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</si>
  <si>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</si>
  <si>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</si>
  <si>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</si>
  <si>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</si>
  <si>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</si>
  <si>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</si>
  <si>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</si>
  <si>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</si>
  <si>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</si>
  <si>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</si>
  <si>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</si>
  <si>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</si>
  <si>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</si>
  <si>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</si>
  <si>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</si>
  <si>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</si>
  <si>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</si>
  <si>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</si>
  <si>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</si>
  <si>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</si>
  <si>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</si>
  <si>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</si>
  <si>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</si>
  <si>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</si>
  <si>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</si>
  <si>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</si>
  <si>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</si>
  <si>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</si>
  <si>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</si>
  <si>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</si>
  <si>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</si>
  <si>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</si>
  <si>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</si>
  <si>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</si>
  <si>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</si>
  <si>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</si>
  <si>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</si>
  <si>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</si>
  <si>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</si>
  <si>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</si>
  <si>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</si>
  <si>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</si>
  <si>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</si>
  <si>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</si>
  <si>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</si>
  <si>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</si>
  <si>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</si>
  <si>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</si>
  <si>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</si>
  <si>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</si>
  <si>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</si>
  <si>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</si>
  <si>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</si>
  <si>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</si>
  <si>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</si>
  <si>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</si>
  <si>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</si>
  <si>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</si>
  <si>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</si>
  <si>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</si>
  <si>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</si>
  <si>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</si>
  <si>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</si>
  <si>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</si>
  <si>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</si>
  <si>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</si>
  <si>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</si>
  <si>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</si>
  <si>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</si>
  <si>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</si>
  <si>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</si>
  <si>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</si>
  <si>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</si>
  <si>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</si>
  <si>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</si>
  <si>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</si>
  <si>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</si>
  <si>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</si>
  <si>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</si>
  <si>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</si>
  <si>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</si>
  <si>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</si>
  <si>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</si>
  <si>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</si>
  <si>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</si>
  <si>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</si>
  <si>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</si>
  <si>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</si>
  <si>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</si>
  <si>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</si>
  <si>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</si>
  <si>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</si>
  <si>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</si>
  <si>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</si>
  <si>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</si>
  <si>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</si>
  <si>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</si>
  <si>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</si>
  <si>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</si>
  <si>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</si>
  <si>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</si>
  <si>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</si>
  <si>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</si>
  <si>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</si>
  <si>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</si>
  <si>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</si>
  <si>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</si>
  <si>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</si>
  <si>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</si>
  <si>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</si>
  <si>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</si>
  <si>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</si>
  <si>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</si>
  <si>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</si>
  <si>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</si>
  <si>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</si>
  <si>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</si>
  <si>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</si>
  <si>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</si>
  <si>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</si>
  <si>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</si>
  <si>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</si>
  <si>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</si>
  <si>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</si>
  <si>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</si>
  <si>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</si>
  <si>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</si>
  <si>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</si>
  <si>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</si>
  <si>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</si>
  <si>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</si>
  <si>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</si>
  <si>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</si>
  <si>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</si>
  <si>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</si>
  <si>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</si>
  <si>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</si>
  <si>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</si>
  <si>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</si>
  <si>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</si>
  <si>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</si>
  <si>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</si>
  <si>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</si>
  <si>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</si>
  <si>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</si>
  <si>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</si>
  <si>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</si>
  <si>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</si>
  <si>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</si>
  <si>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</si>
  <si>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</si>
  <si>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</si>
  <si>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</si>
  <si>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</si>
  <si>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</si>
  <si>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</si>
  <si>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</si>
  <si>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</si>
  <si>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</si>
  <si>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</si>
  <si>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</si>
  <si>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</si>
  <si>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</si>
  <si>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</si>
  <si>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</si>
  <si>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</si>
  <si>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</si>
  <si>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</si>
  <si>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</si>
  <si>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</si>
  <si>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</si>
  <si>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</si>
  <si>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</si>
  <si>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</si>
  <si>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</si>
  <si>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</si>
  <si>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</si>
  <si>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</si>
  <si>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</si>
  <si>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</si>
  <si>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</si>
  <si>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</si>
  <si>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</si>
  <si>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</si>
  <si>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</si>
  <si>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</si>
  <si>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</si>
  <si>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</si>
  <si>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</si>
  <si>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</si>
  <si>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</si>
  <si>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</si>
  <si>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</si>
  <si>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</si>
  <si>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</si>
  <si>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</si>
  <si>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</si>
  <si>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</si>
  <si>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</si>
  <si>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</si>
  <si>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</si>
  <si>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</si>
  <si>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</si>
  <si>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</si>
  <si>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</si>
  <si>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</si>
  <si>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</si>
  <si>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</si>
  <si>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</si>
  <si>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</si>
  <si>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</si>
  <si>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</si>
  <si>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</si>
  <si>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</si>
  <si>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</si>
  <si>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</si>
  <si>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</si>
  <si>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</si>
  <si>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</si>
  <si>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</si>
  <si>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</si>
  <si>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</si>
  <si>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</si>
  <si>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</si>
  <si>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</si>
  <si>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</si>
  <si>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</si>
  <si>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</si>
  <si>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</si>
  <si>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</si>
  <si>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</si>
  <si>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</si>
  <si>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</si>
  <si>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</si>
  <si>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</si>
  <si>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</si>
  <si>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</si>
  <si>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</si>
  <si>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</si>
  <si>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</si>
  <si>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</si>
  <si>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</si>
  <si>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</si>
  <si>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</si>
  <si>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</si>
  <si>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</si>
  <si>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</si>
  <si>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</si>
  <si>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</si>
  <si>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</si>
  <si>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</si>
  <si>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</si>
  <si>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</si>
  <si>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</si>
  <si>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</si>
  <si>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</si>
  <si>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</si>
  <si>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</si>
  <si>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</si>
  <si>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</si>
  <si>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</si>
  <si>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</si>
  <si>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</si>
  <si>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</si>
  <si>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</si>
  <si>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</si>
  <si>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</si>
  <si>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</si>
  <si>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</si>
  <si>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</si>
  <si>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</si>
  <si>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</si>
  <si>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</si>
  <si>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</si>
  <si>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</si>
  <si>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</si>
  <si>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</si>
  <si>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</si>
  <si>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</si>
  <si>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</si>
  <si>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</si>
  <si>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</si>
  <si>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</si>
  <si>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</si>
  <si>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</si>
  <si>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</si>
  <si>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</si>
  <si>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</si>
  <si>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</si>
  <si>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</si>
  <si>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</si>
  <si>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</si>
  <si>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</si>
  <si>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</si>
  <si>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</si>
  <si>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</si>
  <si>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</si>
  <si>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</si>
  <si>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</si>
  <si>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</si>
  <si>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</si>
  <si>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</si>
  <si>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</si>
  <si>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</si>
  <si>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</si>
  <si>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</si>
  <si>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</si>
  <si>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</si>
  <si>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</si>
  <si>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</si>
  <si>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</si>
  <si>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</si>
  <si>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</si>
  <si>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</si>
  <si>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</si>
  <si>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</si>
  <si>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</si>
  <si>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</si>
  <si>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</si>
  <si>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</si>
  <si>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</si>
  <si>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</si>
  <si>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</si>
  <si>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</si>
  <si>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</si>
  <si>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</si>
  <si>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</si>
  <si>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</si>
  <si>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</si>
  <si>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</si>
  <si>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</si>
  <si>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</si>
  <si>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</si>
  <si>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</si>
  <si>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</si>
  <si>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</si>
  <si>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</si>
  <si>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</si>
  <si>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</si>
  <si>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</si>
  <si>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</si>
  <si>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</si>
  <si>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</si>
  <si>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</si>
  <si>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</si>
  <si>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</si>
  <si>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</si>
  <si>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</si>
  <si>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</si>
  <si>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</si>
  <si>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</si>
  <si>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</si>
  <si>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</si>
  <si>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</si>
  <si>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</si>
  <si>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</si>
  <si>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</si>
  <si>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</si>
  <si>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</si>
  <si>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</si>
  <si>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</si>
  <si>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</si>
  <si>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</si>
  <si>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</si>
  <si>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</si>
  <si>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</si>
  <si>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</si>
  <si>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</si>
  <si>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</si>
  <si>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</si>
  <si>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</si>
  <si>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</si>
  <si>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</si>
  <si>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</si>
  <si>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</si>
  <si>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</si>
  <si>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</si>
  <si>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</si>
  <si>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</si>
  <si>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</si>
  <si>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</si>
  <si>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</si>
  <si>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</si>
  <si>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</si>
  <si>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</si>
  <si>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</si>
  <si>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</si>
  <si>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</si>
  <si>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</si>
  <si>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</si>
  <si>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</si>
  <si>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</si>
  <si>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</si>
  <si>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</si>
  <si>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</si>
  <si>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</si>
  <si>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</si>
  <si>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</si>
  <si>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</si>
  <si>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</si>
  <si>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</si>
  <si>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</si>
  <si>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</si>
  <si>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</si>
  <si>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</si>
  <si>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</si>
  <si>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</si>
  <si>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</si>
  <si>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</si>
  <si>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</si>
  <si>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</si>
  <si>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</si>
  <si>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</si>
  <si>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</si>
  <si>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</si>
  <si>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</si>
  <si>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</si>
  <si>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</si>
  <si>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</si>
  <si>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</si>
  <si>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</si>
  <si>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</si>
  <si>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</si>
  <si>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</si>
  <si>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</si>
  <si>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</si>
  <si>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</si>
  <si>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</si>
  <si>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</si>
  <si>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</si>
  <si>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</si>
  <si>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</si>
  <si>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</si>
  <si>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</si>
  <si>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</si>
  <si>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</si>
  <si>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</si>
  <si>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</si>
  <si>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</si>
  <si>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</si>
  <si>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</si>
  <si>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</si>
  <si>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</si>
  <si>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</si>
  <si>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</si>
  <si>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</si>
  <si>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</si>
  <si>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</si>
  <si>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</si>
  <si>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</si>
  <si>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</si>
  <si>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</si>
  <si>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</si>
  <si>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</si>
  <si>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</si>
  <si>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</si>
  <si>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</si>
  <si>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</si>
  <si>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</si>
  <si>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</si>
  <si>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</si>
  <si>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</si>
  <si>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</si>
  <si>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</si>
  <si>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</si>
  <si>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</si>
  <si>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</si>
  <si>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</si>
  <si>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</si>
  <si>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</si>
  <si>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</si>
  <si>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</si>
  <si>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</si>
  <si>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</si>
  <si>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</si>
  <si>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</si>
  <si>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</si>
  <si>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</si>
  <si>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</si>
  <si>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</si>
  <si>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</si>
  <si>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</si>
  <si>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</si>
  <si>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</si>
  <si>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</si>
  <si>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</si>
  <si>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</si>
  <si>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</si>
  <si>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</si>
  <si>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</si>
  <si>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</si>
  <si>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</si>
  <si>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</si>
  <si>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</si>
  <si>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</si>
  <si>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</si>
  <si>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</si>
  <si>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</si>
  <si>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</si>
  <si>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</si>
  <si>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</si>
  <si>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</si>
  <si>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</si>
  <si>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</si>
  <si>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</si>
  <si>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</si>
  <si>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</si>
  <si>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</si>
  <si>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</si>
  <si>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</si>
  <si>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</si>
  <si>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</si>
  <si>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</si>
  <si>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</si>
  <si>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</si>
  <si>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</si>
  <si>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</si>
  <si>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</si>
  <si>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</si>
  <si>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</si>
  <si>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</si>
  <si>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</si>
  <si>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</si>
  <si>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</si>
  <si>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</si>
  <si>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</si>
  <si>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</si>
  <si>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</si>
  <si>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</si>
  <si>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</si>
  <si>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</si>
  <si>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</si>
  <si>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</si>
  <si>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</si>
  <si>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</si>
  <si>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</si>
  <si>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</si>
  <si>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</si>
  <si>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</si>
  <si>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</si>
  <si>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</si>
  <si>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</si>
  <si>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</si>
  <si>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</si>
  <si>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</si>
  <si>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</si>
  <si>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</si>
  <si>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</si>
  <si>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</si>
  <si>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</si>
  <si>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</si>
  <si>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</si>
  <si>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</si>
  <si>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</si>
  <si>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</si>
  <si>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</si>
  <si>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</si>
  <si>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</si>
  <si>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</si>
  <si>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</si>
  <si>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</si>
  <si>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</si>
  <si>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</si>
  <si>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</si>
  <si>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</si>
  <si>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</si>
  <si>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</si>
  <si>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</si>
  <si>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</si>
  <si>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</si>
  <si>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</si>
  <si>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</si>
  <si>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</si>
  <si>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</si>
  <si>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</si>
  <si>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</si>
  <si>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</si>
  <si>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</si>
  <si>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</si>
  <si>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</si>
  <si>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</si>
  <si>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</si>
  <si>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</si>
  <si>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</si>
  <si>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</si>
  <si>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</si>
  <si>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</si>
  <si>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</si>
  <si>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</si>
  <si>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</si>
  <si>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</si>
  <si>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</si>
  <si>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</si>
  <si>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</si>
  <si>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</si>
  <si>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</si>
  <si>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</si>
  <si>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</si>
  <si>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</si>
  <si>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</si>
  <si>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</si>
  <si>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</si>
  <si>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</si>
  <si>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</si>
  <si>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</si>
  <si>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</si>
  <si>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</si>
  <si>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</si>
  <si>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</si>
  <si>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</si>
  <si>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</si>
  <si>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</si>
  <si>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</si>
  <si>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</si>
  <si>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</si>
  <si>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</si>
  <si>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</si>
  <si>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</si>
  <si>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</si>
  <si>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</si>
  <si>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</si>
  <si>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</si>
  <si>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</si>
  <si>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</si>
  <si>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</si>
  <si>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</si>
  <si>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</si>
  <si>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</si>
  <si>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</si>
  <si>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</si>
  <si>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</si>
  <si>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</si>
  <si>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</si>
  <si>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</si>
  <si>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</si>
  <si>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</si>
  <si>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</si>
  <si>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</si>
  <si>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</si>
  <si>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</si>
  <si>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</si>
  <si>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</si>
  <si>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</si>
  <si>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</si>
  <si>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</si>
  <si>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</si>
  <si>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</si>
  <si>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</si>
  <si>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</si>
  <si>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</si>
  <si>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</si>
  <si>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</si>
  <si>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</si>
  <si>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</si>
  <si>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</si>
  <si>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</si>
  <si>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</si>
  <si>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</si>
  <si>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</si>
  <si>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</si>
  <si>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</si>
  <si>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</si>
  <si>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</si>
  <si>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</si>
  <si>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</si>
  <si>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</si>
  <si>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</si>
  <si>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</si>
  <si>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</si>
  <si>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</si>
  <si>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</si>
  <si>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</si>
  <si>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</si>
  <si>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</si>
  <si>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</si>
  <si>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</si>
  <si>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</si>
  <si>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</si>
  <si>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</si>
  <si>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</si>
  <si>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</si>
  <si>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</si>
  <si>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</si>
  <si>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</si>
  <si>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</si>
  <si>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</si>
  <si>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</si>
  <si>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</si>
  <si>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</si>
  <si>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</si>
  <si>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</si>
  <si>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</si>
  <si>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</si>
  <si>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</si>
  <si>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</si>
  <si>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</si>
  <si>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</si>
  <si>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</si>
  <si>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</si>
  <si>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</si>
  <si>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</si>
  <si>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</si>
  <si>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</si>
  <si>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</si>
  <si>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</si>
  <si>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</si>
  <si>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</si>
  <si>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</si>
  <si>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</si>
  <si>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</si>
  <si>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</si>
  <si>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</si>
  <si>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</si>
  <si>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</si>
  <si>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</si>
  <si>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</si>
  <si>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</si>
  <si>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</si>
  <si>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</si>
  <si>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</si>
  <si>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</si>
  <si>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</si>
  <si>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</si>
  <si>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</si>
  <si>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</si>
  <si>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</si>
  <si>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</si>
  <si>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</si>
  <si>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</si>
  <si>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</si>
  <si>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</si>
  <si>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</si>
  <si>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</si>
  <si>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</si>
  <si>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</si>
  <si>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</si>
  <si>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</si>
  <si>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</si>
  <si>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</si>
  <si>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</si>
  <si>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</si>
  <si>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</si>
  <si>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</si>
  <si>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</si>
  <si>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</si>
  <si>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</si>
  <si>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</si>
  <si>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</si>
  <si>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</si>
  <si>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</si>
  <si>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</si>
  <si>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</si>
  <si>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</si>
  <si>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</si>
  <si>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</si>
  <si>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</si>
  <si>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</si>
  <si>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</si>
  <si>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</si>
  <si>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</si>
  <si>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</si>
  <si>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</si>
  <si>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</si>
  <si>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</si>
  <si>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</si>
  <si>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</si>
  <si>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</si>
  <si>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</si>
  <si>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</si>
  <si>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</si>
  <si>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</si>
  <si>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</si>
  <si>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</si>
  <si>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</si>
  <si>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</si>
  <si>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</si>
  <si>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</si>
  <si>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</si>
  <si>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</si>
  <si>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</si>
  <si>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</si>
  <si>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</si>
  <si>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</si>
  <si>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</si>
  <si>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</si>
  <si>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</si>
  <si>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</si>
  <si>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</si>
  <si>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</si>
  <si>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</si>
  <si>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</si>
  <si>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</si>
  <si>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</si>
  <si>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</si>
  <si>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</si>
  <si>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</si>
  <si>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</si>
  <si>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</si>
  <si>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</si>
  <si>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</si>
  <si>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</si>
  <si>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</si>
  <si>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</si>
  <si>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</si>
  <si>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</si>
  <si>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</si>
  <si>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</si>
  <si>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</si>
  <si>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</si>
  <si>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</si>
  <si>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</si>
  <si>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</si>
  <si>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</si>
  <si>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</si>
  <si>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</si>
  <si>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</si>
  <si>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</si>
  <si>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</si>
  <si>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</si>
  <si>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</si>
  <si>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</si>
  <si>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</si>
  <si>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</si>
  <si>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</si>
  <si>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</si>
  <si>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</si>
  <si>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</si>
  <si>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</si>
  <si>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</si>
  <si>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</si>
  <si>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</si>
  <si>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</si>
  <si>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</si>
  <si>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</si>
  <si>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</si>
  <si>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</si>
  <si>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</si>
  <si>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</si>
  <si>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</si>
  <si>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</si>
  <si>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</si>
  <si>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</si>
  <si>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</si>
  <si>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</si>
  <si>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</si>
  <si>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</si>
  <si>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</si>
  <si>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</si>
  <si>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</si>
  <si>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</si>
  <si>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</si>
  <si>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</si>
  <si>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</si>
  <si>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</si>
  <si>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</si>
  <si>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</si>
  <si>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</si>
  <si>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</si>
  <si>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</si>
  <si>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</si>
  <si>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</si>
  <si>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</si>
  <si>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</si>
  <si>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</si>
  <si>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</si>
  <si>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</si>
  <si>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</si>
  <si>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</si>
  <si>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</si>
  <si>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</si>
  <si>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</si>
  <si>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</si>
  <si>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</si>
  <si>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</si>
  <si>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Inventory_Health_Alert</t>
  </si>
  <si>
    <t>Healthy</t>
  </si>
  <si>
    <t>Low Stock</t>
  </si>
  <si>
    <t>Critical Reorder</t>
  </si>
  <si>
    <t>Row Labels</t>
  </si>
  <si>
    <t>Sum of Profit</t>
  </si>
  <si>
    <t>Grand Total</t>
  </si>
  <si>
    <t>Sum of total_revenue</t>
  </si>
  <si>
    <t>Sum of Inventory_Level</t>
  </si>
  <si>
    <t>Count of Order_ID</t>
  </si>
  <si>
    <t>Jan</t>
  </si>
  <si>
    <t>Feb</t>
  </si>
  <si>
    <t>Mar</t>
  </si>
  <si>
    <t>Apr</t>
  </si>
  <si>
    <t>May</t>
  </si>
  <si>
    <t>Jun</t>
  </si>
  <si>
    <t>Jul</t>
  </si>
  <si>
    <t>Aug</t>
  </si>
  <si>
    <t>Sep</t>
  </si>
  <si>
    <t>Oct</t>
  </si>
  <si>
    <t>Nov</t>
  </si>
  <si>
    <t>Dec</t>
  </si>
  <si>
    <t>Supply Chain And Inventory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</si>
</sst>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b/>
      <sz val="26"/>
      <color theme="0"/>
      <name val="Times New Roman"/>
      <family val="1"/>
    </font>
    <font>
      <sz val="11"/>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2" fontId="0" fillId="0" borderId="0" xfId="0" applyNumberFormat="1"/>
    <xf numFmtId="0" fontId="0" fillId="3" borderId="0" xfId="0" applyFill="1"/>
    <xf numFmtId="2" fontId="0" fillId="0" borderId="0" xfId="1" applyNumberFormat="1" applyFont="1"/>
    <xf numFmtId="164" fontId="0" fillId="0" borderId="0" xfId="0" applyNumberFormat="1"/>
    <xf numFmtId="0" fontId="2" fillId="2" borderId="0" xfId="0" applyFont="1" applyFill="1" applyAlignment="1">
      <alignment horizontal="center"/>
    </xf>
  </cellXfs>
  <cellStyles count="2">
    <cellStyle name="Normal" xfId="0" builtinId="0"/>
    <cellStyle name="Percent" xfId="1" builtinId="5"/>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 vs  Total order</a:t>
            </a:r>
            <a:endParaRPr lang="en-IN"/>
          </a:p>
        </c:rich>
      </c:tx>
      <c:layout>
        <c:manualLayout>
          <c:xMode val="edge"/>
          <c:yMode val="edge"/>
          <c:x val="0.1067898322048265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2548336038148"/>
          <c:y val="0.17171296296296298"/>
          <c:w val="0.70664419865804717"/>
          <c:h val="0.72088764946048411"/>
        </c:manualLayout>
      </c:layout>
      <c:barChart>
        <c:barDir val="col"/>
        <c:grouping val="clustered"/>
        <c:varyColors val="0"/>
        <c:ser>
          <c:idx val="0"/>
          <c:order val="0"/>
          <c:tx>
            <c:strRef>
              <c:f>'pivot table'!$I$13</c:f>
              <c:strCache>
                <c:ptCount val="1"/>
                <c:pt idx="0">
                  <c:v>Sum of total_revenue</c:v>
                </c:pt>
              </c:strCache>
            </c:strRef>
          </c:tx>
          <c:spPr>
            <a:solidFill>
              <a:schemeClr val="accent1"/>
            </a:solidFill>
            <a:ln>
              <a:noFill/>
            </a:ln>
            <a:effectLst/>
          </c:spPr>
          <c:invertIfNegative val="0"/>
          <c:cat>
            <c:strRef>
              <c:f>'pivot table'!$H$14:$H$26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table'!$I$14:$I$26</c:f>
              <c:numCache>
                <c:formatCode>General</c:formatCode>
                <c:ptCount val="12"/>
                <c:pt idx="0">
                  <c:v>112907.79999999996</c:v>
                </c:pt>
                <c:pt idx="1">
                  <c:v>101717.66000000002</c:v>
                </c:pt>
                <c:pt idx="2">
                  <c:v>91750.52999999997</c:v>
                </c:pt>
                <c:pt idx="3">
                  <c:v>95049.9</c:v>
                </c:pt>
                <c:pt idx="4">
                  <c:v>99953.040000000023</c:v>
                </c:pt>
                <c:pt idx="5">
                  <c:v>85820.01999999999</c:v>
                </c:pt>
                <c:pt idx="6">
                  <c:v>98787.109999999986</c:v>
                </c:pt>
                <c:pt idx="7">
                  <c:v>101916.47000000003</c:v>
                </c:pt>
                <c:pt idx="8">
                  <c:v>83394.680000000037</c:v>
                </c:pt>
                <c:pt idx="9">
                  <c:v>96066.68</c:v>
                </c:pt>
                <c:pt idx="10">
                  <c:v>95182.909999999989</c:v>
                </c:pt>
                <c:pt idx="11">
                  <c:v>93262.710000000021</c:v>
                </c:pt>
              </c:numCache>
            </c:numRef>
          </c:val>
          <c:extLst>
            <c:ext xmlns:c16="http://schemas.microsoft.com/office/drawing/2014/chart" uri="{C3380CC4-5D6E-409C-BE32-E72D297353CC}">
              <c16:uniqueId val="{00000000-CEEB-4933-9A5A-C2BE2C45CFB4}"/>
            </c:ext>
          </c:extLst>
        </c:ser>
        <c:dLbls>
          <c:showLegendKey val="0"/>
          <c:showVal val="0"/>
          <c:showCatName val="0"/>
          <c:showSerName val="0"/>
          <c:showPercent val="0"/>
          <c:showBubbleSize val="0"/>
        </c:dLbls>
        <c:gapWidth val="219"/>
        <c:overlap val="-27"/>
        <c:axId val="1672456624"/>
        <c:axId val="1672464784"/>
      </c:barChart>
      <c:lineChart>
        <c:grouping val="standard"/>
        <c:varyColors val="0"/>
        <c:ser>
          <c:idx val="1"/>
          <c:order val="1"/>
          <c:tx>
            <c:strRef>
              <c:f>'pivot table'!$J$13</c:f>
              <c:strCache>
                <c:ptCount val="1"/>
                <c:pt idx="0">
                  <c:v>Count of Order_ID</c:v>
                </c:pt>
              </c:strCache>
            </c:strRef>
          </c:tx>
          <c:spPr>
            <a:ln w="28575" cap="rnd">
              <a:solidFill>
                <a:schemeClr val="accent2"/>
              </a:solidFill>
              <a:round/>
            </a:ln>
            <a:effectLst/>
          </c:spPr>
          <c:marker>
            <c:symbol val="none"/>
          </c:marker>
          <c:cat>
            <c:strRef>
              <c:f>'pivot table'!$H$14:$H$26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table'!$J$14:$J$26</c:f>
              <c:numCache>
                <c:formatCode>General</c:formatCode>
                <c:ptCount val="12"/>
                <c:pt idx="0">
                  <c:v>184</c:v>
                </c:pt>
                <c:pt idx="1">
                  <c:v>166</c:v>
                </c:pt>
                <c:pt idx="2">
                  <c:v>170</c:v>
                </c:pt>
                <c:pt idx="3">
                  <c:v>167</c:v>
                </c:pt>
                <c:pt idx="4">
                  <c:v>179</c:v>
                </c:pt>
                <c:pt idx="5">
                  <c:v>148</c:v>
                </c:pt>
                <c:pt idx="6">
                  <c:v>157</c:v>
                </c:pt>
                <c:pt idx="7">
                  <c:v>174</c:v>
                </c:pt>
                <c:pt idx="8">
                  <c:v>150</c:v>
                </c:pt>
                <c:pt idx="9">
                  <c:v>170</c:v>
                </c:pt>
                <c:pt idx="10">
                  <c:v>163</c:v>
                </c:pt>
                <c:pt idx="11">
                  <c:v>172</c:v>
                </c:pt>
              </c:numCache>
            </c:numRef>
          </c:val>
          <c:smooth val="0"/>
          <c:extLst>
            <c:ext xmlns:c16="http://schemas.microsoft.com/office/drawing/2014/chart" uri="{C3380CC4-5D6E-409C-BE32-E72D297353CC}">
              <c16:uniqueId val="{00000001-CEEB-4933-9A5A-C2BE2C45CFB4}"/>
            </c:ext>
          </c:extLst>
        </c:ser>
        <c:dLbls>
          <c:showLegendKey val="0"/>
          <c:showVal val="0"/>
          <c:showCatName val="0"/>
          <c:showSerName val="0"/>
          <c:showPercent val="0"/>
          <c:showBubbleSize val="0"/>
        </c:dLbls>
        <c:marker val="1"/>
        <c:smooth val="0"/>
        <c:axId val="1672485424"/>
        <c:axId val="1672470544"/>
      </c:lineChart>
      <c:catAx>
        <c:axId val="16724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4784"/>
        <c:crosses val="autoZero"/>
        <c:auto val="1"/>
        <c:lblAlgn val="ctr"/>
        <c:lblOffset val="100"/>
        <c:noMultiLvlLbl val="0"/>
      </c:catAx>
      <c:valAx>
        <c:axId val="167246478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56624"/>
        <c:crosses val="autoZero"/>
        <c:crossBetween val="between"/>
      </c:valAx>
      <c:valAx>
        <c:axId val="16724705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85424"/>
        <c:crosses val="max"/>
        <c:crossBetween val="between"/>
      </c:valAx>
      <c:catAx>
        <c:axId val="1672485424"/>
        <c:scaling>
          <c:orientation val="minMax"/>
        </c:scaling>
        <c:delete val="1"/>
        <c:axPos val="b"/>
        <c:numFmt formatCode="General" sourceLinked="1"/>
        <c:majorTickMark val="out"/>
        <c:minorTickMark val="none"/>
        <c:tickLblPos val="nextTo"/>
        <c:crossAx val="1672470544"/>
        <c:crosses val="autoZero"/>
        <c:auto val="1"/>
        <c:lblAlgn val="ctr"/>
        <c:lblOffset val="100"/>
        <c:noMultiLvlLbl val="0"/>
      </c:catAx>
      <c:spPr>
        <a:noFill/>
        <a:ln>
          <a:noFill/>
        </a:ln>
        <a:effectLst/>
      </c:spPr>
    </c:plotArea>
    <c:legend>
      <c:legendPos val="r"/>
      <c:layout>
        <c:manualLayout>
          <c:xMode val="edge"/>
          <c:yMode val="edge"/>
          <c:x val="0.446119264274845"/>
          <c:y val="1.9304826480023306E-2"/>
          <c:w val="0.51712164384121251"/>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10678983220482657"/>
          <c:y val="3.240740740740740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84841332817894"/>
          <c:y val="0.19486088052496597"/>
          <c:w val="0.70664419865804717"/>
          <c:h val="0.72088764946048411"/>
        </c:manualLayout>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cat>
            <c:strRef>
              <c:f>'pivot table'!$E$6:$E$10</c:f>
              <c:strCache>
                <c:ptCount val="4"/>
                <c:pt idx="0">
                  <c:v>East</c:v>
                </c:pt>
                <c:pt idx="1">
                  <c:v>North</c:v>
                </c:pt>
                <c:pt idx="2">
                  <c:v>South</c:v>
                </c:pt>
                <c:pt idx="3">
                  <c:v>West</c:v>
                </c:pt>
              </c:strCache>
            </c:strRef>
          </c:cat>
          <c:val>
            <c:numRef>
              <c:f>'pivot table'!$F$6:$F$10</c:f>
              <c:numCache>
                <c:formatCode>General</c:formatCode>
                <c:ptCount val="4"/>
                <c:pt idx="0">
                  <c:v>268822.78000000003</c:v>
                </c:pt>
                <c:pt idx="1">
                  <c:v>434941.7799999998</c:v>
                </c:pt>
                <c:pt idx="2">
                  <c:v>214578.21</c:v>
                </c:pt>
                <c:pt idx="3">
                  <c:v>237466.74000000011</c:v>
                </c:pt>
              </c:numCache>
            </c:numRef>
          </c:val>
          <c:extLst>
            <c:ext xmlns:c16="http://schemas.microsoft.com/office/drawing/2014/chart" uri="{C3380CC4-5D6E-409C-BE32-E72D297353CC}">
              <c16:uniqueId val="{0000000B-03A0-472F-9497-A532F9D0F990}"/>
            </c:ext>
          </c:extLst>
        </c:ser>
        <c:dLbls>
          <c:showLegendKey val="0"/>
          <c:showVal val="0"/>
          <c:showCatName val="0"/>
          <c:showSerName val="0"/>
          <c:showPercent val="0"/>
          <c:showBubbleSize val="0"/>
        </c:dLbls>
        <c:gapWidth val="219"/>
        <c:overlap val="-27"/>
        <c:axId val="1672456624"/>
        <c:axId val="1672464784"/>
      </c:barChart>
      <c:catAx>
        <c:axId val="16724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4784"/>
        <c:crosses val="autoZero"/>
        <c:auto val="1"/>
        <c:lblAlgn val="ctr"/>
        <c:lblOffset val="100"/>
        <c:noMultiLvlLbl val="0"/>
      </c:catAx>
      <c:valAx>
        <c:axId val="167246478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56624"/>
        <c:crosses val="autoZero"/>
        <c:crossBetween val="between"/>
      </c:valAx>
    </c:plotArea>
    <c:legend>
      <c:legendPos val="r"/>
      <c:layout>
        <c:manualLayout>
          <c:xMode val="edge"/>
          <c:yMode val="edge"/>
          <c:x val="0.47931648404089344"/>
          <c:y val="7.8630796150481856E-4"/>
          <c:w val="0.51712164384121251"/>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Delivery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0-41A2-9372-03637670EB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0-41A2-9372-03637670EB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237-4774-92A7-B313EE49252D}"/>
              </c:ext>
            </c:extLst>
          </c:dPt>
          <c:cat>
            <c:strRef>
              <c:f>'pivot table'!$A$16:$A$19</c:f>
              <c:strCache>
                <c:ptCount val="3"/>
                <c:pt idx="0">
                  <c:v>Critical Delay</c:v>
                </c:pt>
                <c:pt idx="1">
                  <c:v>Delayed</c:v>
                </c:pt>
                <c:pt idx="2">
                  <c:v>On Time</c:v>
                </c:pt>
              </c:strCache>
            </c:strRef>
          </c:cat>
          <c:val>
            <c:numRef>
              <c:f>'pivot table'!$B$16:$B$19</c:f>
              <c:numCache>
                <c:formatCode>General</c:formatCode>
                <c:ptCount val="3"/>
                <c:pt idx="0">
                  <c:v>292</c:v>
                </c:pt>
                <c:pt idx="1">
                  <c:v>145</c:v>
                </c:pt>
                <c:pt idx="2">
                  <c:v>1563</c:v>
                </c:pt>
              </c:numCache>
            </c:numRef>
          </c:val>
          <c:extLst>
            <c:ext xmlns:c16="http://schemas.microsoft.com/office/drawing/2014/chart" uri="{C3380CC4-5D6E-409C-BE32-E72D297353CC}">
              <c16:uniqueId val="{00000000-1237-4774-92A7-B313EE4925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Inventory Health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30-4BF6-BBA6-AD6E38D657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30-4BF6-BBA6-AD6E38D657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30-4BF6-BBA6-AD6E38D6578C}"/>
              </c:ext>
            </c:extLst>
          </c:dPt>
          <c:cat>
            <c:strRef>
              <c:f>'pivot table'!$H$5:$H$8</c:f>
              <c:strCache>
                <c:ptCount val="3"/>
                <c:pt idx="0">
                  <c:v>Critical Reorder</c:v>
                </c:pt>
                <c:pt idx="1">
                  <c:v>Healthy</c:v>
                </c:pt>
                <c:pt idx="2">
                  <c:v>Low Stock</c:v>
                </c:pt>
              </c:strCache>
            </c:strRef>
          </c:cat>
          <c:val>
            <c:numRef>
              <c:f>'pivot table'!$I$5:$I$8</c:f>
              <c:numCache>
                <c:formatCode>General</c:formatCode>
                <c:ptCount val="3"/>
                <c:pt idx="0">
                  <c:v>104</c:v>
                </c:pt>
                <c:pt idx="1">
                  <c:v>1760</c:v>
                </c:pt>
                <c:pt idx="2">
                  <c:v>136</c:v>
                </c:pt>
              </c:numCache>
            </c:numRef>
          </c:val>
          <c:extLst>
            <c:ext xmlns:c16="http://schemas.microsoft.com/office/drawing/2014/chart" uri="{C3380CC4-5D6E-409C-BE32-E72D297353CC}">
              <c16:uniqueId val="{00000000-6947-448A-966C-4C3B1E72C4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table'!$M$14</c:f>
              <c:strCache>
                <c:ptCount val="1"/>
                <c:pt idx="0">
                  <c:v>Total</c:v>
                </c:pt>
              </c:strCache>
            </c:strRef>
          </c:tx>
          <c:spPr>
            <a:solidFill>
              <a:schemeClr val="accent1"/>
            </a:solidFill>
            <a:ln>
              <a:noFill/>
            </a:ln>
            <a:effectLst/>
          </c:spPr>
          <c:invertIfNegative val="0"/>
          <c:cat>
            <c:strRef>
              <c:f>'pivot table'!$L$15:$L$25</c:f>
              <c:strCache>
                <c:ptCount val="10"/>
                <c:pt idx="0">
                  <c:v>Ergonomic Desk</c:v>
                </c:pt>
                <c:pt idx="1">
                  <c:v>Office Chair</c:v>
                </c:pt>
                <c:pt idx="2">
                  <c:v>Organic Coffee</c:v>
                </c:pt>
                <c:pt idx="3">
                  <c:v>Bookshelf</c:v>
                </c:pt>
                <c:pt idx="4">
                  <c:v>Energy Drinks</c:v>
                </c:pt>
                <c:pt idx="5">
                  <c:v>Bulk Almonds</c:v>
                </c:pt>
                <c:pt idx="6">
                  <c:v>Smartphone X</c:v>
                </c:pt>
                <c:pt idx="7">
                  <c:v>Wireless Earbuds</c:v>
                </c:pt>
                <c:pt idx="8">
                  <c:v>Laptop Pro</c:v>
                </c:pt>
                <c:pt idx="9">
                  <c:v>4K Monitor</c:v>
                </c:pt>
              </c:strCache>
            </c:strRef>
          </c:cat>
          <c:val>
            <c:numRef>
              <c:f>'pivot table'!$M$15:$M$25</c:f>
              <c:numCache>
                <c:formatCode>General</c:formatCode>
                <c:ptCount val="10"/>
                <c:pt idx="0">
                  <c:v>39088.44</c:v>
                </c:pt>
                <c:pt idx="1">
                  <c:v>40070.170000000006</c:v>
                </c:pt>
                <c:pt idx="2">
                  <c:v>44327.959999999985</c:v>
                </c:pt>
                <c:pt idx="3">
                  <c:v>44859.76999999999</c:v>
                </c:pt>
                <c:pt idx="4">
                  <c:v>49326.64999999998</c:v>
                </c:pt>
                <c:pt idx="5">
                  <c:v>56801.259999999995</c:v>
                </c:pt>
                <c:pt idx="6">
                  <c:v>152204.74000000005</c:v>
                </c:pt>
                <c:pt idx="7">
                  <c:v>176125.86000000007</c:v>
                </c:pt>
                <c:pt idx="8">
                  <c:v>185591.08000000005</c:v>
                </c:pt>
                <c:pt idx="9">
                  <c:v>187616.85999999993</c:v>
                </c:pt>
              </c:numCache>
            </c:numRef>
          </c:val>
          <c:extLst>
            <c:ext xmlns:c16="http://schemas.microsoft.com/office/drawing/2014/chart" uri="{C3380CC4-5D6E-409C-BE32-E72D297353CC}">
              <c16:uniqueId val="{00000000-D364-4CBD-9458-370756E6ECE1}"/>
            </c:ext>
          </c:extLst>
        </c:ser>
        <c:dLbls>
          <c:showLegendKey val="0"/>
          <c:showVal val="0"/>
          <c:showCatName val="0"/>
          <c:showSerName val="0"/>
          <c:showPercent val="0"/>
          <c:showBubbleSize val="0"/>
        </c:dLbls>
        <c:gapWidth val="182"/>
        <c:axId val="1809091088"/>
        <c:axId val="1809094448"/>
      </c:barChart>
      <c:catAx>
        <c:axId val="18090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94448"/>
        <c:crosses val="autoZero"/>
        <c:auto val="1"/>
        <c:lblAlgn val="ctr"/>
        <c:lblOffset val="100"/>
        <c:noMultiLvlLbl val="0"/>
      </c:catAx>
      <c:valAx>
        <c:axId val="180909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9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Inventory_Level</a:t>
            </a:r>
          </a:p>
        </c:rich>
      </c:tx>
      <c:layout>
        <c:manualLayout>
          <c:xMode val="edge"/>
          <c:yMode val="edge"/>
          <c:x val="1.782633420822400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73995341735097"/>
          <c:y val="0.2061574074074074"/>
          <c:w val="0.74916316710411202"/>
          <c:h val="0.70959135316418775"/>
        </c:manualLayout>
      </c:layout>
      <c:barChart>
        <c:barDir val="bar"/>
        <c:grouping val="stacked"/>
        <c:varyColors val="0"/>
        <c:ser>
          <c:idx val="0"/>
          <c:order val="0"/>
          <c:tx>
            <c:strRef>
              <c:f>'pivot table'!$L$3</c:f>
              <c:strCache>
                <c:ptCount val="1"/>
                <c:pt idx="0">
                  <c:v>Sum of Inventory_Level</c:v>
                </c:pt>
              </c:strCache>
            </c:strRef>
          </c:tx>
          <c:spPr>
            <a:solidFill>
              <a:schemeClr val="accent1"/>
            </a:solidFill>
            <a:ln>
              <a:noFill/>
            </a:ln>
            <a:effectLst/>
          </c:spPr>
          <c:invertIfNegative val="0"/>
          <c:cat>
            <c:strRef>
              <c:f>'pivot table'!$K$4:$K$7</c:f>
              <c:strCache>
                <c:ptCount val="3"/>
                <c:pt idx="0">
                  <c:v>Warehouse A</c:v>
                </c:pt>
                <c:pt idx="1">
                  <c:v>Warehouse B</c:v>
                </c:pt>
                <c:pt idx="2">
                  <c:v>Warehouse C</c:v>
                </c:pt>
              </c:strCache>
            </c:strRef>
          </c:cat>
          <c:val>
            <c:numRef>
              <c:f>'pivot table'!$L$4:$L$7</c:f>
              <c:numCache>
                <c:formatCode>General</c:formatCode>
                <c:ptCount val="3"/>
                <c:pt idx="0">
                  <c:v>98903</c:v>
                </c:pt>
                <c:pt idx="1">
                  <c:v>214315</c:v>
                </c:pt>
                <c:pt idx="2">
                  <c:v>87592</c:v>
                </c:pt>
              </c:numCache>
            </c:numRef>
          </c:val>
          <c:extLst>
            <c:ext xmlns:c16="http://schemas.microsoft.com/office/drawing/2014/chart" uri="{C3380CC4-5D6E-409C-BE32-E72D297353CC}">
              <c16:uniqueId val="{00000000-A1A7-496F-B25B-4CB6FCB5C1FD}"/>
            </c:ext>
          </c:extLst>
        </c:ser>
        <c:ser>
          <c:idx val="1"/>
          <c:order val="1"/>
          <c:tx>
            <c:strRef>
              <c:f>'pivot table'!$M$3</c:f>
              <c:strCache>
                <c:ptCount val="1"/>
                <c:pt idx="0">
                  <c:v>Sum of total_revenue</c:v>
                </c:pt>
              </c:strCache>
            </c:strRef>
          </c:tx>
          <c:spPr>
            <a:solidFill>
              <a:schemeClr val="accent2"/>
            </a:solidFill>
            <a:ln>
              <a:noFill/>
            </a:ln>
            <a:effectLst/>
          </c:spPr>
          <c:invertIfNegative val="0"/>
          <c:cat>
            <c:strRef>
              <c:f>'pivot table'!$K$4:$K$7</c:f>
              <c:strCache>
                <c:ptCount val="3"/>
                <c:pt idx="0">
                  <c:v>Warehouse A</c:v>
                </c:pt>
                <c:pt idx="1">
                  <c:v>Warehouse B</c:v>
                </c:pt>
                <c:pt idx="2">
                  <c:v>Warehouse C</c:v>
                </c:pt>
              </c:strCache>
            </c:strRef>
          </c:cat>
          <c:val>
            <c:numRef>
              <c:f>'pivot table'!$M$4:$M$7</c:f>
              <c:numCache>
                <c:formatCode>General</c:formatCode>
                <c:ptCount val="3"/>
                <c:pt idx="0">
                  <c:v>288212.76</c:v>
                </c:pt>
                <c:pt idx="1">
                  <c:v>639843.41999999969</c:v>
                </c:pt>
                <c:pt idx="2">
                  <c:v>227753.32999999987</c:v>
                </c:pt>
              </c:numCache>
            </c:numRef>
          </c:val>
          <c:extLst>
            <c:ext xmlns:c16="http://schemas.microsoft.com/office/drawing/2014/chart" uri="{C3380CC4-5D6E-409C-BE32-E72D297353CC}">
              <c16:uniqueId val="{00000001-A1A7-496F-B25B-4CB6FCB5C1FD}"/>
            </c:ext>
          </c:extLst>
        </c:ser>
        <c:dLbls>
          <c:showLegendKey val="0"/>
          <c:showVal val="0"/>
          <c:showCatName val="0"/>
          <c:showSerName val="0"/>
          <c:showPercent val="0"/>
          <c:showBubbleSize val="0"/>
        </c:dLbls>
        <c:gapWidth val="150"/>
        <c:overlap val="100"/>
        <c:axId val="1361903552"/>
        <c:axId val="1361894432"/>
      </c:barChart>
      <c:catAx>
        <c:axId val="13619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94432"/>
        <c:crosses val="autoZero"/>
        <c:auto val="1"/>
        <c:lblAlgn val="ctr"/>
        <c:lblOffset val="100"/>
        <c:noMultiLvlLbl val="0"/>
      </c:catAx>
      <c:valAx>
        <c:axId val="136189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03552"/>
        <c:crosses val="autoZero"/>
        <c:crossBetween val="between"/>
      </c:valAx>
      <c:spPr>
        <a:noFill/>
        <a:ln>
          <a:noFill/>
        </a:ln>
        <a:effectLst/>
      </c:spPr>
    </c:plotArea>
    <c:legend>
      <c:legendPos val="r"/>
      <c:layout>
        <c:manualLayout>
          <c:xMode val="edge"/>
          <c:yMode val="edge"/>
          <c:x val="0.46359164479440068"/>
          <c:y val="1.0045567220764046E-2"/>
          <c:w val="0.51974168853893266"/>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profit</a:t>
            </a:r>
            <a:r>
              <a:rPr lang="en-IN" sz="1600" b="1" baseline="0"/>
              <a:t> vs Revenue</a:t>
            </a:r>
            <a:endParaRPr lang="en-IN" sz="1600" b="1"/>
          </a:p>
        </c:rich>
      </c:tx>
      <c:layout>
        <c:manualLayout>
          <c:xMode val="edge"/>
          <c:yMode val="edge"/>
          <c:x val="2.06041119860017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88519913271715"/>
          <c:y val="0.17837962962962964"/>
          <c:w val="0.69442760279964999"/>
          <c:h val="0.65883712452610088"/>
        </c:manualLayout>
      </c:layout>
      <c:barChart>
        <c:barDir val="col"/>
        <c:grouping val="stacked"/>
        <c:varyColors val="0"/>
        <c:ser>
          <c:idx val="0"/>
          <c:order val="0"/>
          <c:tx>
            <c:strRef>
              <c:f>'pivot table'!$B$21</c:f>
              <c:strCache>
                <c:ptCount val="1"/>
                <c:pt idx="0">
                  <c:v>Sum of total_revenue</c:v>
                </c:pt>
              </c:strCache>
            </c:strRef>
          </c:tx>
          <c:spPr>
            <a:solidFill>
              <a:schemeClr val="accent1"/>
            </a:solidFill>
            <a:ln>
              <a:noFill/>
            </a:ln>
            <a:effectLst/>
          </c:spPr>
          <c:invertIfNegative val="0"/>
          <c:cat>
            <c:strRef>
              <c:f>'pivot table'!$A$22:$A$27</c:f>
              <c:strCache>
                <c:ptCount val="5"/>
                <c:pt idx="0">
                  <c:v>Apex Goods</c:v>
                </c:pt>
                <c:pt idx="1">
                  <c:v>FreshFoods</c:v>
                </c:pt>
                <c:pt idx="2">
                  <c:v>TechCorp</c:v>
                </c:pt>
                <c:pt idx="3">
                  <c:v>TimberCraft</c:v>
                </c:pt>
                <c:pt idx="4">
                  <c:v>Vogue Apparel</c:v>
                </c:pt>
              </c:strCache>
            </c:strRef>
          </c:cat>
          <c:val>
            <c:numRef>
              <c:f>'pivot table'!$B$22:$B$27</c:f>
              <c:numCache>
                <c:formatCode>General</c:formatCode>
                <c:ptCount val="5"/>
                <c:pt idx="0">
                  <c:v>78023.040000000037</c:v>
                </c:pt>
                <c:pt idx="1">
                  <c:v>150455.87000000005</c:v>
                </c:pt>
                <c:pt idx="2">
                  <c:v>701538.5399999998</c:v>
                </c:pt>
                <c:pt idx="3">
                  <c:v>124018.38</c:v>
                </c:pt>
                <c:pt idx="4">
                  <c:v>101773.68000000008</c:v>
                </c:pt>
              </c:numCache>
            </c:numRef>
          </c:val>
          <c:extLst>
            <c:ext xmlns:c16="http://schemas.microsoft.com/office/drawing/2014/chart" uri="{C3380CC4-5D6E-409C-BE32-E72D297353CC}">
              <c16:uniqueId val="{00000000-F2EE-4175-B7C9-E32E265F60F5}"/>
            </c:ext>
          </c:extLst>
        </c:ser>
        <c:ser>
          <c:idx val="1"/>
          <c:order val="1"/>
          <c:tx>
            <c:strRef>
              <c:f>'pivot table'!$C$21</c:f>
              <c:strCache>
                <c:ptCount val="1"/>
                <c:pt idx="0">
                  <c:v>Sum of Profit</c:v>
                </c:pt>
              </c:strCache>
            </c:strRef>
          </c:tx>
          <c:spPr>
            <a:solidFill>
              <a:schemeClr val="accent2"/>
            </a:solidFill>
            <a:ln>
              <a:noFill/>
            </a:ln>
            <a:effectLst/>
          </c:spPr>
          <c:invertIfNegative val="0"/>
          <c:cat>
            <c:strRef>
              <c:f>'pivot table'!$A$22:$A$27</c:f>
              <c:strCache>
                <c:ptCount val="5"/>
                <c:pt idx="0">
                  <c:v>Apex Goods</c:v>
                </c:pt>
                <c:pt idx="1">
                  <c:v>FreshFoods</c:v>
                </c:pt>
                <c:pt idx="2">
                  <c:v>TechCorp</c:v>
                </c:pt>
                <c:pt idx="3">
                  <c:v>TimberCraft</c:v>
                </c:pt>
                <c:pt idx="4">
                  <c:v>Vogue Apparel</c:v>
                </c:pt>
              </c:strCache>
            </c:strRef>
          </c:cat>
          <c:val>
            <c:numRef>
              <c:f>'pivot table'!$C$22:$C$27</c:f>
              <c:numCache>
                <c:formatCode>General</c:formatCode>
                <c:ptCount val="5"/>
                <c:pt idx="0">
                  <c:v>29132.930000000015</c:v>
                </c:pt>
                <c:pt idx="1">
                  <c:v>7312.7899999999936</c:v>
                </c:pt>
                <c:pt idx="2">
                  <c:v>230219.54000000018</c:v>
                </c:pt>
                <c:pt idx="3">
                  <c:v>12405.979999999994</c:v>
                </c:pt>
                <c:pt idx="4">
                  <c:v>35585.32999999998</c:v>
                </c:pt>
              </c:numCache>
            </c:numRef>
          </c:val>
          <c:extLst>
            <c:ext xmlns:c16="http://schemas.microsoft.com/office/drawing/2014/chart" uri="{C3380CC4-5D6E-409C-BE32-E72D297353CC}">
              <c16:uniqueId val="{00000001-F2EE-4175-B7C9-E32E265F60F5}"/>
            </c:ext>
          </c:extLst>
        </c:ser>
        <c:dLbls>
          <c:showLegendKey val="0"/>
          <c:showVal val="0"/>
          <c:showCatName val="0"/>
          <c:showSerName val="0"/>
          <c:showPercent val="0"/>
          <c:showBubbleSize val="0"/>
        </c:dLbls>
        <c:gapWidth val="150"/>
        <c:overlap val="100"/>
        <c:axId val="1876448064"/>
        <c:axId val="1876448544"/>
      </c:barChart>
      <c:catAx>
        <c:axId val="187644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48544"/>
        <c:crosses val="autoZero"/>
        <c:auto val="1"/>
        <c:lblAlgn val="ctr"/>
        <c:lblOffset val="100"/>
        <c:noMultiLvlLbl val="0"/>
      </c:catAx>
      <c:valAx>
        <c:axId val="187644854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48064"/>
        <c:crosses val="autoZero"/>
        <c:crossBetween val="between"/>
      </c:valAx>
      <c:spPr>
        <a:noFill/>
        <a:ln>
          <a:noFill/>
        </a:ln>
        <a:effectLst/>
      </c:spPr>
    </c:plotArea>
    <c:legend>
      <c:legendPos val="r"/>
      <c:layout>
        <c:manualLayout>
          <c:xMode val="edge"/>
          <c:yMode val="edge"/>
          <c:x val="0.56600853018372699"/>
          <c:y val="2.3934456109652932E-2"/>
          <c:w val="0.41454702537182853"/>
          <c:h val="0.10069553805774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table'!$I$4</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3-5ACA-4790-AE8F-E8E9A3B396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C2-45BA-A129-8BFA54CBA4F8}"/>
              </c:ext>
            </c:extLst>
          </c:dPt>
          <c:dPt>
            <c:idx val="2"/>
            <c:bubble3D val="0"/>
            <c:explosion val="13"/>
            <c:spPr>
              <a:solidFill>
                <a:schemeClr val="accent3"/>
              </a:solidFill>
              <a:ln w="19050">
                <a:solidFill>
                  <a:schemeClr val="lt1"/>
                </a:solidFill>
              </a:ln>
              <a:effectLst/>
            </c:spPr>
            <c:extLst>
              <c:ext xmlns:c16="http://schemas.microsoft.com/office/drawing/2014/chart" uri="{C3380CC4-5D6E-409C-BE32-E72D297353CC}">
                <c16:uniqueId val="{00000002-5ACA-4790-AE8F-E8E9A3B396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table'!$H$5:$H$8</c:f>
              <c:strCache>
                <c:ptCount val="3"/>
                <c:pt idx="0">
                  <c:v>Critical Reorder</c:v>
                </c:pt>
                <c:pt idx="1">
                  <c:v>Healthy</c:v>
                </c:pt>
                <c:pt idx="2">
                  <c:v>Low Stock</c:v>
                </c:pt>
              </c:strCache>
            </c:strRef>
          </c:cat>
          <c:val>
            <c:numRef>
              <c:f>'pivot table'!$I$5:$I$8</c:f>
              <c:numCache>
                <c:formatCode>General</c:formatCode>
                <c:ptCount val="3"/>
                <c:pt idx="0">
                  <c:v>104</c:v>
                </c:pt>
                <c:pt idx="1">
                  <c:v>1760</c:v>
                </c:pt>
                <c:pt idx="2">
                  <c:v>136</c:v>
                </c:pt>
              </c:numCache>
            </c:numRef>
          </c:val>
          <c:extLst>
            <c:ext xmlns:c16="http://schemas.microsoft.com/office/drawing/2014/chart" uri="{C3380CC4-5D6E-409C-BE32-E72D297353CC}">
              <c16:uniqueId val="{00000000-5ACA-4790-AE8F-E8E9A3B396A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8425196850398"/>
          <c:y val="0.27819444444444447"/>
          <c:w val="0.65610826771653541"/>
          <c:h val="0.72088764946048411"/>
        </c:manualLayout>
      </c:layout>
      <c:barChart>
        <c:barDir val="bar"/>
        <c:grouping val="clustered"/>
        <c:varyColors val="0"/>
        <c:ser>
          <c:idx val="0"/>
          <c:order val="0"/>
          <c:tx>
            <c:strRef>
              <c:f>'pivot table'!$M$14</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table'!$L$15:$L$25</c:f>
              <c:strCache>
                <c:ptCount val="10"/>
                <c:pt idx="0">
                  <c:v>Ergonomic Desk</c:v>
                </c:pt>
                <c:pt idx="1">
                  <c:v>Office Chair</c:v>
                </c:pt>
                <c:pt idx="2">
                  <c:v>Organic Coffee</c:v>
                </c:pt>
                <c:pt idx="3">
                  <c:v>Bookshelf</c:v>
                </c:pt>
                <c:pt idx="4">
                  <c:v>Energy Drinks</c:v>
                </c:pt>
                <c:pt idx="5">
                  <c:v>Bulk Almonds</c:v>
                </c:pt>
                <c:pt idx="6">
                  <c:v>Smartphone X</c:v>
                </c:pt>
                <c:pt idx="7">
                  <c:v>Wireless Earbuds</c:v>
                </c:pt>
                <c:pt idx="8">
                  <c:v>Laptop Pro</c:v>
                </c:pt>
                <c:pt idx="9">
                  <c:v>4K Monitor</c:v>
                </c:pt>
              </c:strCache>
            </c:strRef>
          </c:cat>
          <c:val>
            <c:numRef>
              <c:f>'pivot table'!$M$15:$M$25</c:f>
              <c:numCache>
                <c:formatCode>General</c:formatCode>
                <c:ptCount val="10"/>
                <c:pt idx="0">
                  <c:v>39088.44</c:v>
                </c:pt>
                <c:pt idx="1">
                  <c:v>40070.170000000006</c:v>
                </c:pt>
                <c:pt idx="2">
                  <c:v>44327.959999999985</c:v>
                </c:pt>
                <c:pt idx="3">
                  <c:v>44859.76999999999</c:v>
                </c:pt>
                <c:pt idx="4">
                  <c:v>49326.64999999998</c:v>
                </c:pt>
                <c:pt idx="5">
                  <c:v>56801.259999999995</c:v>
                </c:pt>
                <c:pt idx="6">
                  <c:v>152204.74000000005</c:v>
                </c:pt>
                <c:pt idx="7">
                  <c:v>176125.86000000007</c:v>
                </c:pt>
                <c:pt idx="8">
                  <c:v>185591.08000000005</c:v>
                </c:pt>
                <c:pt idx="9">
                  <c:v>187616.85999999993</c:v>
                </c:pt>
              </c:numCache>
            </c:numRef>
          </c:val>
          <c:extLst>
            <c:ext xmlns:c16="http://schemas.microsoft.com/office/drawing/2014/chart" uri="{C3380CC4-5D6E-409C-BE32-E72D297353CC}">
              <c16:uniqueId val="{00000000-5915-440E-BCDC-A6683A04D32B}"/>
            </c:ext>
          </c:extLst>
        </c:ser>
        <c:dLbls>
          <c:dLblPos val="outEnd"/>
          <c:showLegendKey val="0"/>
          <c:showVal val="1"/>
          <c:showCatName val="0"/>
          <c:showSerName val="0"/>
          <c:showPercent val="0"/>
          <c:showBubbleSize val="0"/>
        </c:dLbls>
        <c:gapWidth val="182"/>
        <c:axId val="1520360384"/>
        <c:axId val="1520356064"/>
      </c:barChart>
      <c:catAx>
        <c:axId val="152036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56064"/>
        <c:crosses val="autoZero"/>
        <c:auto val="1"/>
        <c:lblAlgn val="ctr"/>
        <c:lblOffset val="100"/>
        <c:noMultiLvlLbl val="0"/>
      </c:catAx>
      <c:valAx>
        <c:axId val="1520356064"/>
        <c:scaling>
          <c:orientation val="minMax"/>
        </c:scaling>
        <c:delete val="1"/>
        <c:axPos val="b"/>
        <c:numFmt formatCode="General" sourceLinked="1"/>
        <c:majorTickMark val="out"/>
        <c:minorTickMark val="none"/>
        <c:tickLblPos val="nextTo"/>
        <c:crossAx val="15203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table!PivotTable7</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Monthly Revenue &amp; Order Trends</a:t>
            </a:r>
          </a:p>
        </c:rich>
      </c:tx>
      <c:layout>
        <c:manualLayout>
          <c:xMode val="edge"/>
          <c:yMode val="edge"/>
          <c:x val="2.6488137558382464E-2"/>
          <c:y val="6.7327947642908362E-4"/>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9191662326256"/>
          <c:y val="0.25513526961551064"/>
          <c:w val="0.70664419865804717"/>
          <c:h val="0.59664907081938523"/>
        </c:manualLayout>
      </c:layout>
      <c:barChart>
        <c:barDir val="col"/>
        <c:grouping val="clustered"/>
        <c:varyColors val="0"/>
        <c:ser>
          <c:idx val="0"/>
          <c:order val="0"/>
          <c:tx>
            <c:strRef>
              <c:f>'pivot table'!$I$13</c:f>
              <c:strCache>
                <c:ptCount val="1"/>
                <c:pt idx="0">
                  <c:v>Sum of total_revenue</c:v>
                </c:pt>
              </c:strCache>
            </c:strRef>
          </c:tx>
          <c:spPr>
            <a:solidFill>
              <a:schemeClr val="accent1"/>
            </a:solidFill>
            <a:ln>
              <a:noFill/>
            </a:ln>
            <a:effectLst/>
          </c:spPr>
          <c:invertIfNegative val="0"/>
          <c:cat>
            <c:strRef>
              <c:f>'pivot table'!$H$14:$H$26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table'!$I$14:$I$26</c:f>
              <c:numCache>
                <c:formatCode>General</c:formatCode>
                <c:ptCount val="12"/>
                <c:pt idx="0">
                  <c:v>112907.79999999996</c:v>
                </c:pt>
                <c:pt idx="1">
                  <c:v>101717.66000000002</c:v>
                </c:pt>
                <c:pt idx="2">
                  <c:v>91750.52999999997</c:v>
                </c:pt>
                <c:pt idx="3">
                  <c:v>95049.9</c:v>
                </c:pt>
                <c:pt idx="4">
                  <c:v>99953.040000000023</c:v>
                </c:pt>
                <c:pt idx="5">
                  <c:v>85820.01999999999</c:v>
                </c:pt>
                <c:pt idx="6">
                  <c:v>98787.109999999986</c:v>
                </c:pt>
                <c:pt idx="7">
                  <c:v>101916.47000000003</c:v>
                </c:pt>
                <c:pt idx="8">
                  <c:v>83394.680000000037</c:v>
                </c:pt>
                <c:pt idx="9">
                  <c:v>96066.68</c:v>
                </c:pt>
                <c:pt idx="10">
                  <c:v>95182.909999999989</c:v>
                </c:pt>
                <c:pt idx="11">
                  <c:v>93262.710000000021</c:v>
                </c:pt>
              </c:numCache>
            </c:numRef>
          </c:val>
          <c:extLst>
            <c:ext xmlns:c16="http://schemas.microsoft.com/office/drawing/2014/chart" uri="{C3380CC4-5D6E-409C-BE32-E72D297353CC}">
              <c16:uniqueId val="{00000000-BBE4-40DC-95FE-91F773897712}"/>
            </c:ext>
          </c:extLst>
        </c:ser>
        <c:dLbls>
          <c:showLegendKey val="0"/>
          <c:showVal val="0"/>
          <c:showCatName val="0"/>
          <c:showSerName val="0"/>
          <c:showPercent val="0"/>
          <c:showBubbleSize val="0"/>
        </c:dLbls>
        <c:gapWidth val="219"/>
        <c:overlap val="-27"/>
        <c:axId val="1672456624"/>
        <c:axId val="1672464784"/>
      </c:barChart>
      <c:lineChart>
        <c:grouping val="standard"/>
        <c:varyColors val="0"/>
        <c:ser>
          <c:idx val="1"/>
          <c:order val="1"/>
          <c:tx>
            <c:strRef>
              <c:f>'pivot table'!$J$13</c:f>
              <c:strCache>
                <c:ptCount val="1"/>
                <c:pt idx="0">
                  <c:v>Count of Order_ID</c:v>
                </c:pt>
              </c:strCache>
            </c:strRef>
          </c:tx>
          <c:spPr>
            <a:ln w="28575" cap="rnd">
              <a:solidFill>
                <a:schemeClr val="accent2"/>
              </a:solidFill>
              <a:round/>
            </a:ln>
            <a:effectLst/>
          </c:spPr>
          <c:marker>
            <c:symbol val="none"/>
          </c:marker>
          <c:cat>
            <c:strRef>
              <c:f>'pivot table'!$H$14:$H$26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table'!$J$14:$J$26</c:f>
              <c:numCache>
                <c:formatCode>General</c:formatCode>
                <c:ptCount val="12"/>
                <c:pt idx="0">
                  <c:v>184</c:v>
                </c:pt>
                <c:pt idx="1">
                  <c:v>166</c:v>
                </c:pt>
                <c:pt idx="2">
                  <c:v>170</c:v>
                </c:pt>
                <c:pt idx="3">
                  <c:v>167</c:v>
                </c:pt>
                <c:pt idx="4">
                  <c:v>179</c:v>
                </c:pt>
                <c:pt idx="5">
                  <c:v>148</c:v>
                </c:pt>
                <c:pt idx="6">
                  <c:v>157</c:v>
                </c:pt>
                <c:pt idx="7">
                  <c:v>174</c:v>
                </c:pt>
                <c:pt idx="8">
                  <c:v>150</c:v>
                </c:pt>
                <c:pt idx="9">
                  <c:v>170</c:v>
                </c:pt>
                <c:pt idx="10">
                  <c:v>163</c:v>
                </c:pt>
                <c:pt idx="11">
                  <c:v>172</c:v>
                </c:pt>
              </c:numCache>
            </c:numRef>
          </c:val>
          <c:smooth val="0"/>
          <c:extLst>
            <c:ext xmlns:c16="http://schemas.microsoft.com/office/drawing/2014/chart" uri="{C3380CC4-5D6E-409C-BE32-E72D297353CC}">
              <c16:uniqueId val="{00000001-BBE4-40DC-95FE-91F773897712}"/>
            </c:ext>
          </c:extLst>
        </c:ser>
        <c:dLbls>
          <c:showLegendKey val="0"/>
          <c:showVal val="0"/>
          <c:showCatName val="0"/>
          <c:showSerName val="0"/>
          <c:showPercent val="0"/>
          <c:showBubbleSize val="0"/>
        </c:dLbls>
        <c:marker val="1"/>
        <c:smooth val="0"/>
        <c:axId val="1672485424"/>
        <c:axId val="1672470544"/>
      </c:lineChart>
      <c:catAx>
        <c:axId val="16724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4784"/>
        <c:crosses val="autoZero"/>
        <c:auto val="1"/>
        <c:lblAlgn val="ctr"/>
        <c:lblOffset val="100"/>
        <c:noMultiLvlLbl val="0"/>
      </c:catAx>
      <c:valAx>
        <c:axId val="167246478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56624"/>
        <c:crosses val="autoZero"/>
        <c:crossBetween val="between"/>
      </c:valAx>
      <c:valAx>
        <c:axId val="16724705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85424"/>
        <c:crosses val="max"/>
        <c:crossBetween val="between"/>
      </c:valAx>
      <c:catAx>
        <c:axId val="1672485424"/>
        <c:scaling>
          <c:orientation val="minMax"/>
        </c:scaling>
        <c:delete val="1"/>
        <c:axPos val="b"/>
        <c:numFmt formatCode="General" sourceLinked="1"/>
        <c:majorTickMark val="out"/>
        <c:minorTickMark val="none"/>
        <c:tickLblPos val="nextTo"/>
        <c:crossAx val="1672470544"/>
        <c:crosses val="autoZero"/>
        <c:auto val="1"/>
        <c:lblAlgn val="ctr"/>
        <c:lblOffset val="100"/>
        <c:noMultiLvlLbl val="0"/>
      </c:catAx>
      <c:spPr>
        <a:noFill/>
        <a:ln>
          <a:noFill/>
        </a:ln>
        <a:effectLst/>
      </c:spPr>
    </c:plotArea>
    <c:legend>
      <c:legendPos val="r"/>
      <c:layout>
        <c:manualLayout>
          <c:xMode val="edge"/>
          <c:yMode val="edge"/>
          <c:x val="0.12743544644991564"/>
          <c:y val="0.16265402524507327"/>
          <c:w val="0.52749777873096604"/>
          <c:h val="6.13976889252479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Revenue by region</a:t>
            </a:r>
          </a:p>
        </c:rich>
      </c:tx>
      <c:layout>
        <c:manualLayout>
          <c:xMode val="edge"/>
          <c:yMode val="edge"/>
          <c:x val="1.4559230428949471E-2"/>
          <c:y val="3.240745444453851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pivotFmt>
      <c:pivotFmt>
        <c:idx val="10"/>
      </c:pivotFmt>
      <c:pivotFmt>
        <c:idx val="11"/>
      </c:pivotFmt>
      <c:pivotFmt>
        <c:idx val="12"/>
      </c:pivotFmt>
    </c:pivotFmts>
    <c:plotArea>
      <c:layout>
        <c:manualLayout>
          <c:layoutTarget val="inner"/>
          <c:xMode val="edge"/>
          <c:yMode val="edge"/>
          <c:x val="0.22193033284438446"/>
          <c:y val="0.20953945845456912"/>
          <c:w val="0.70664419865804717"/>
          <c:h val="0.64738958791120726"/>
        </c:manualLayout>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cat>
            <c:strRef>
              <c:f>'pivot table'!$E$6:$E$10</c:f>
              <c:strCache>
                <c:ptCount val="4"/>
                <c:pt idx="0">
                  <c:v>East</c:v>
                </c:pt>
                <c:pt idx="1">
                  <c:v>North</c:v>
                </c:pt>
                <c:pt idx="2">
                  <c:v>South</c:v>
                </c:pt>
                <c:pt idx="3">
                  <c:v>West</c:v>
                </c:pt>
              </c:strCache>
            </c:strRef>
          </c:cat>
          <c:val>
            <c:numRef>
              <c:f>'pivot table'!$F$6:$F$10</c:f>
              <c:numCache>
                <c:formatCode>General</c:formatCode>
                <c:ptCount val="4"/>
                <c:pt idx="0">
                  <c:v>268822.78000000003</c:v>
                </c:pt>
                <c:pt idx="1">
                  <c:v>434941.7799999998</c:v>
                </c:pt>
                <c:pt idx="2">
                  <c:v>214578.21</c:v>
                </c:pt>
                <c:pt idx="3">
                  <c:v>237466.74000000011</c:v>
                </c:pt>
              </c:numCache>
            </c:numRef>
          </c:val>
          <c:extLst>
            <c:ext xmlns:c16="http://schemas.microsoft.com/office/drawing/2014/chart" uri="{C3380CC4-5D6E-409C-BE32-E72D297353CC}">
              <c16:uniqueId val="{00000000-EFE2-40CF-92FF-C87C1A9E1775}"/>
            </c:ext>
          </c:extLst>
        </c:ser>
        <c:dLbls>
          <c:showLegendKey val="0"/>
          <c:showVal val="0"/>
          <c:showCatName val="0"/>
          <c:showSerName val="0"/>
          <c:showPercent val="0"/>
          <c:showBubbleSize val="0"/>
        </c:dLbls>
        <c:gapWidth val="219"/>
        <c:overlap val="-27"/>
        <c:axId val="1672456624"/>
        <c:axId val="1672464784"/>
      </c:barChart>
      <c:catAx>
        <c:axId val="167245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4784"/>
        <c:crosses val="autoZero"/>
        <c:auto val="1"/>
        <c:lblAlgn val="ctr"/>
        <c:lblOffset val="100"/>
        <c:noMultiLvlLbl val="0"/>
      </c:catAx>
      <c:valAx>
        <c:axId val="1672464784"/>
        <c:scaling>
          <c:orientation val="minMax"/>
        </c:scaling>
        <c:delete val="0"/>
        <c:axPos val="l"/>
        <c:numFmt formatCode="General" sourceLinked="0"/>
        <c:majorTickMark val="out"/>
        <c:minorTickMark val="none"/>
        <c:tickLblPos val="nextTo"/>
        <c:crossAx val="16724566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Delivery Status</a:t>
            </a:r>
            <a:endParaRPr lang="en-US" sz="1600" b="1"/>
          </a:p>
        </c:rich>
      </c:tx>
      <c:layout>
        <c:manualLayout>
          <c:xMode val="edge"/>
          <c:yMode val="edge"/>
          <c:x val="1.3448094850212684E-2"/>
          <c:y val="3.5898827493413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table'!$B$15</c:f>
              <c:strCache>
                <c:ptCount val="1"/>
                <c:pt idx="0">
                  <c:v>Total</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1-3F93-48F3-B48E-5903A994E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93-48F3-B48E-5903A994E0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93-48F3-B48E-5903A994E0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table'!$A$16:$A$19</c:f>
              <c:strCache>
                <c:ptCount val="3"/>
                <c:pt idx="0">
                  <c:v>Critical Delay</c:v>
                </c:pt>
                <c:pt idx="1">
                  <c:v>Delayed</c:v>
                </c:pt>
                <c:pt idx="2">
                  <c:v>On Time</c:v>
                </c:pt>
              </c:strCache>
            </c:strRef>
          </c:cat>
          <c:val>
            <c:numRef>
              <c:f>'pivot table'!$B$16:$B$19</c:f>
              <c:numCache>
                <c:formatCode>General</c:formatCode>
                <c:ptCount val="3"/>
                <c:pt idx="0">
                  <c:v>292</c:v>
                </c:pt>
                <c:pt idx="1">
                  <c:v>145</c:v>
                </c:pt>
                <c:pt idx="2">
                  <c:v>1563</c:v>
                </c:pt>
              </c:numCache>
            </c:numRef>
          </c:val>
          <c:extLst>
            <c:ext xmlns:c16="http://schemas.microsoft.com/office/drawing/2014/chart" uri="{C3380CC4-5D6E-409C-BE32-E72D297353CC}">
              <c16:uniqueId val="{00000006-3F93-48F3-B48E-5903A994E07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table!PivotTable6</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Inventory Health</a:t>
            </a:r>
            <a:endParaRPr lang="en-US" sz="1600" b="1"/>
          </a:p>
        </c:rich>
      </c:tx>
      <c:layout>
        <c:manualLayout>
          <c:xMode val="edge"/>
          <c:yMode val="edge"/>
          <c:x val="1.0587266723172593E-2"/>
          <c:y val="2.823952991633538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table'!$I$4</c:f>
              <c:strCache>
                <c:ptCount val="1"/>
                <c:pt idx="0">
                  <c:v>Total</c:v>
                </c:pt>
              </c:strCache>
            </c:strRef>
          </c:tx>
          <c:dPt>
            <c:idx val="0"/>
            <c:bubble3D val="0"/>
            <c:explosion val="17"/>
            <c:spPr>
              <a:solidFill>
                <a:schemeClr val="accent1"/>
              </a:solidFill>
              <a:ln w="19050">
                <a:solidFill>
                  <a:schemeClr val="lt1"/>
                </a:solidFill>
              </a:ln>
              <a:effectLst/>
            </c:spPr>
            <c:extLst>
              <c:ext xmlns:c16="http://schemas.microsoft.com/office/drawing/2014/chart" uri="{C3380CC4-5D6E-409C-BE32-E72D297353CC}">
                <c16:uniqueId val="{00000001-9D8D-4580-B3C5-38A3A252B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8D-4580-B3C5-38A3A252B212}"/>
              </c:ext>
            </c:extLst>
          </c:dPt>
          <c:dPt>
            <c:idx val="2"/>
            <c:bubble3D val="0"/>
            <c:explosion val="8"/>
            <c:spPr>
              <a:solidFill>
                <a:schemeClr val="accent3"/>
              </a:solidFill>
              <a:ln w="19050">
                <a:solidFill>
                  <a:schemeClr val="lt1"/>
                </a:solidFill>
              </a:ln>
              <a:effectLst/>
            </c:spPr>
            <c:extLst>
              <c:ext xmlns:c16="http://schemas.microsoft.com/office/drawing/2014/chart" uri="{C3380CC4-5D6E-409C-BE32-E72D297353CC}">
                <c16:uniqueId val="{00000005-9D8D-4580-B3C5-38A3A252B21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table'!$H$5:$H$8</c:f>
              <c:strCache>
                <c:ptCount val="3"/>
                <c:pt idx="0">
                  <c:v>Critical Reorder</c:v>
                </c:pt>
                <c:pt idx="1">
                  <c:v>Healthy</c:v>
                </c:pt>
                <c:pt idx="2">
                  <c:v>Low Stock</c:v>
                </c:pt>
              </c:strCache>
            </c:strRef>
          </c:cat>
          <c:val>
            <c:numRef>
              <c:f>'pivot table'!$I$5:$I$8</c:f>
              <c:numCache>
                <c:formatCode>General</c:formatCode>
                <c:ptCount val="3"/>
                <c:pt idx="0">
                  <c:v>104</c:v>
                </c:pt>
                <c:pt idx="1">
                  <c:v>1760</c:v>
                </c:pt>
                <c:pt idx="2">
                  <c:v>136</c:v>
                </c:pt>
              </c:numCache>
            </c:numRef>
          </c:val>
          <c:extLst>
            <c:ext xmlns:c16="http://schemas.microsoft.com/office/drawing/2014/chart" uri="{C3380CC4-5D6E-409C-BE32-E72D297353CC}">
              <c16:uniqueId val="{00000006-9D8D-4580-B3C5-38A3A252B21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Products by Revenue</a:t>
            </a:r>
          </a:p>
        </c:rich>
      </c:tx>
      <c:layout>
        <c:manualLayout>
          <c:xMode val="edge"/>
          <c:yMode val="edge"/>
          <c:x val="6.9643529638592381E-3"/>
          <c:y val="2.0795186651127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04714429240122"/>
          <c:y val="0.15877569726211829"/>
          <c:w val="0.67506941440778956"/>
          <c:h val="0.78292567808477975"/>
        </c:manualLayout>
      </c:layout>
      <c:barChart>
        <c:barDir val="bar"/>
        <c:grouping val="clustered"/>
        <c:varyColors val="0"/>
        <c:ser>
          <c:idx val="0"/>
          <c:order val="0"/>
          <c:tx>
            <c:strRef>
              <c:f>'pivot table'!$M$14</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table'!$L$15:$L$25</c:f>
              <c:strCache>
                <c:ptCount val="10"/>
                <c:pt idx="0">
                  <c:v>Ergonomic Desk</c:v>
                </c:pt>
                <c:pt idx="1">
                  <c:v>Office Chair</c:v>
                </c:pt>
                <c:pt idx="2">
                  <c:v>Organic Coffee</c:v>
                </c:pt>
                <c:pt idx="3">
                  <c:v>Bookshelf</c:v>
                </c:pt>
                <c:pt idx="4">
                  <c:v>Energy Drinks</c:v>
                </c:pt>
                <c:pt idx="5">
                  <c:v>Bulk Almonds</c:v>
                </c:pt>
                <c:pt idx="6">
                  <c:v>Smartphone X</c:v>
                </c:pt>
                <c:pt idx="7">
                  <c:v>Wireless Earbuds</c:v>
                </c:pt>
                <c:pt idx="8">
                  <c:v>Laptop Pro</c:v>
                </c:pt>
                <c:pt idx="9">
                  <c:v>4K Monitor</c:v>
                </c:pt>
              </c:strCache>
            </c:strRef>
          </c:cat>
          <c:val>
            <c:numRef>
              <c:f>'pivot table'!$M$15:$M$25</c:f>
              <c:numCache>
                <c:formatCode>General</c:formatCode>
                <c:ptCount val="10"/>
                <c:pt idx="0">
                  <c:v>39088.44</c:v>
                </c:pt>
                <c:pt idx="1">
                  <c:v>40070.170000000006</c:v>
                </c:pt>
                <c:pt idx="2">
                  <c:v>44327.959999999985</c:v>
                </c:pt>
                <c:pt idx="3">
                  <c:v>44859.76999999999</c:v>
                </c:pt>
                <c:pt idx="4">
                  <c:v>49326.64999999998</c:v>
                </c:pt>
                <c:pt idx="5">
                  <c:v>56801.259999999995</c:v>
                </c:pt>
                <c:pt idx="6">
                  <c:v>152204.74000000005</c:v>
                </c:pt>
                <c:pt idx="7">
                  <c:v>176125.86000000007</c:v>
                </c:pt>
                <c:pt idx="8">
                  <c:v>185591.08000000005</c:v>
                </c:pt>
                <c:pt idx="9">
                  <c:v>187616.85999999993</c:v>
                </c:pt>
              </c:numCache>
            </c:numRef>
          </c:val>
          <c:extLst>
            <c:ext xmlns:c16="http://schemas.microsoft.com/office/drawing/2014/chart" uri="{C3380CC4-5D6E-409C-BE32-E72D297353CC}">
              <c16:uniqueId val="{00000000-9DED-4397-B824-33A4279E67FE}"/>
            </c:ext>
          </c:extLst>
        </c:ser>
        <c:dLbls>
          <c:dLblPos val="outEnd"/>
          <c:showLegendKey val="0"/>
          <c:showVal val="1"/>
          <c:showCatName val="0"/>
          <c:showSerName val="0"/>
          <c:showPercent val="0"/>
          <c:showBubbleSize val="0"/>
        </c:dLbls>
        <c:gapWidth val="182"/>
        <c:axId val="1809091088"/>
        <c:axId val="1809094448"/>
      </c:barChart>
      <c:catAx>
        <c:axId val="18090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94448"/>
        <c:crosses val="autoZero"/>
        <c:auto val="1"/>
        <c:lblAlgn val="ctr"/>
        <c:lblOffset val="100"/>
        <c:noMultiLvlLbl val="0"/>
      </c:catAx>
      <c:valAx>
        <c:axId val="18090944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909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Warehouse Inventory Analysis</a:t>
            </a:r>
          </a:p>
        </c:rich>
      </c:tx>
      <c:layout>
        <c:manualLayout>
          <c:xMode val="edge"/>
          <c:yMode val="edge"/>
          <c:x val="2.1143087608344407E-3"/>
          <c:y val="2.2043175109491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73995341735097"/>
          <c:y val="0.2061574074074074"/>
          <c:w val="0.74916316710411202"/>
          <c:h val="0.70959135316418775"/>
        </c:manualLayout>
      </c:layout>
      <c:barChart>
        <c:barDir val="bar"/>
        <c:grouping val="stacked"/>
        <c:varyColors val="0"/>
        <c:ser>
          <c:idx val="0"/>
          <c:order val="0"/>
          <c:tx>
            <c:strRef>
              <c:f>'pivot table'!$L$3</c:f>
              <c:strCache>
                <c:ptCount val="1"/>
                <c:pt idx="0">
                  <c:v>Sum of Inventory_Level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Warehouse A</c:v>
                </c:pt>
                <c:pt idx="1">
                  <c:v>Warehouse B</c:v>
                </c:pt>
                <c:pt idx="2">
                  <c:v>Warehouse C</c:v>
                </c:pt>
              </c:strCache>
            </c:strRef>
          </c:cat>
          <c:val>
            <c:numRef>
              <c:f>'pivot table'!$L$4:$L$7</c:f>
              <c:numCache>
                <c:formatCode>General</c:formatCode>
                <c:ptCount val="3"/>
                <c:pt idx="0">
                  <c:v>98903</c:v>
                </c:pt>
                <c:pt idx="1">
                  <c:v>214315</c:v>
                </c:pt>
                <c:pt idx="2">
                  <c:v>87592</c:v>
                </c:pt>
              </c:numCache>
            </c:numRef>
          </c:val>
          <c:extLst>
            <c:ext xmlns:c16="http://schemas.microsoft.com/office/drawing/2014/chart" uri="{C3380CC4-5D6E-409C-BE32-E72D297353CC}">
              <c16:uniqueId val="{00000000-F7EC-4A40-8678-340498A8C9A5}"/>
            </c:ext>
          </c:extLst>
        </c:ser>
        <c:ser>
          <c:idx val="1"/>
          <c:order val="1"/>
          <c:tx>
            <c:strRef>
              <c:f>'pivot table'!$M$3</c:f>
              <c:strCache>
                <c:ptCount val="1"/>
                <c:pt idx="0">
                  <c:v>Sum of total_revenue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Warehouse A</c:v>
                </c:pt>
                <c:pt idx="1">
                  <c:v>Warehouse B</c:v>
                </c:pt>
                <c:pt idx="2">
                  <c:v>Warehouse C</c:v>
                </c:pt>
              </c:strCache>
            </c:strRef>
          </c:cat>
          <c:val>
            <c:numRef>
              <c:f>'pivot table'!$M$4:$M$7</c:f>
              <c:numCache>
                <c:formatCode>General</c:formatCode>
                <c:ptCount val="3"/>
                <c:pt idx="0">
                  <c:v>288212.76</c:v>
                </c:pt>
                <c:pt idx="1">
                  <c:v>639843.41999999969</c:v>
                </c:pt>
                <c:pt idx="2">
                  <c:v>227753.32999999987</c:v>
                </c:pt>
              </c:numCache>
            </c:numRef>
          </c:val>
          <c:extLst>
            <c:ext xmlns:c16="http://schemas.microsoft.com/office/drawing/2014/chart" uri="{C3380CC4-5D6E-409C-BE32-E72D297353CC}">
              <c16:uniqueId val="{00000001-F7EC-4A40-8678-340498A8C9A5}"/>
            </c:ext>
          </c:extLst>
        </c:ser>
        <c:dLbls>
          <c:dLblPos val="ctr"/>
          <c:showLegendKey val="0"/>
          <c:showVal val="1"/>
          <c:showCatName val="0"/>
          <c:showSerName val="0"/>
          <c:showPercent val="0"/>
          <c:showBubbleSize val="0"/>
        </c:dLbls>
        <c:gapWidth val="150"/>
        <c:overlap val="100"/>
        <c:axId val="1361903552"/>
        <c:axId val="1361894432"/>
      </c:barChart>
      <c:catAx>
        <c:axId val="1361903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94432"/>
        <c:crosses val="autoZero"/>
        <c:auto val="1"/>
        <c:lblAlgn val="ctr"/>
        <c:lblOffset val="100"/>
        <c:noMultiLvlLbl val="0"/>
      </c:catAx>
      <c:valAx>
        <c:axId val="1361894432"/>
        <c:scaling>
          <c:orientation val="minMax"/>
        </c:scaling>
        <c:delete val="1"/>
        <c:axPos val="b"/>
        <c:majorGridlines>
          <c:spPr>
            <a:ln w="9525" cap="flat" cmpd="sng" algn="ctr">
              <a:solidFill>
                <a:schemeClr val="tx1">
                  <a:lumMod val="15000"/>
                  <a:lumOff val="85000"/>
                </a:schemeClr>
              </a:solidFill>
              <a:round/>
            </a:ln>
            <a:effectLst/>
          </c:spPr>
        </c:majorGridlines>
        <c:numFmt formatCode="0.00,,&quot;L&quot;" sourceLinked="0"/>
        <c:majorTickMark val="out"/>
        <c:minorTickMark val="none"/>
        <c:tickLblPos val="nextTo"/>
        <c:crossAx val="1361903552"/>
        <c:crosses val="autoZero"/>
        <c:crossBetween val="between"/>
      </c:valAx>
      <c:spPr>
        <a:noFill/>
        <a:ln>
          <a:noFill/>
        </a:ln>
        <a:effectLst/>
      </c:spPr>
    </c:plotArea>
    <c:legend>
      <c:legendPos val="r"/>
      <c:layout>
        <c:manualLayout>
          <c:xMode val="edge"/>
          <c:yMode val="edge"/>
          <c:x val="0.23838697252594535"/>
          <c:y val="0.14194538606488052"/>
          <c:w val="0.51974168853893266"/>
          <c:h val="6.27622695764356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management.xlsx]pivot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Profit</a:t>
            </a:r>
            <a:r>
              <a:rPr lang="en-IN" sz="1600" b="1" baseline="0"/>
              <a:t> vs Revenue</a:t>
            </a:r>
            <a:endParaRPr lang="en-IN" sz="1600" b="1"/>
          </a:p>
        </c:rich>
      </c:tx>
      <c:layout>
        <c:manualLayout>
          <c:xMode val="edge"/>
          <c:yMode val="edge"/>
          <c:x val="2.0604227103191049E-2"/>
          <c:y val="9.914917493778102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s>
    <c:plotArea>
      <c:layout>
        <c:manualLayout>
          <c:layoutTarget val="inner"/>
          <c:xMode val="edge"/>
          <c:yMode val="edge"/>
          <c:x val="0.19327189177260645"/>
          <c:y val="0.15946337405071945"/>
          <c:w val="0.69442760279964999"/>
          <c:h val="0.5255437679187217"/>
        </c:manualLayout>
      </c:layout>
      <c:lineChart>
        <c:grouping val="standard"/>
        <c:varyColors val="0"/>
        <c:ser>
          <c:idx val="0"/>
          <c:order val="0"/>
          <c:tx>
            <c:strRef>
              <c:f>'pivot table'!$B$21</c:f>
              <c:strCache>
                <c:ptCount val="1"/>
                <c:pt idx="0">
                  <c:v>Sum of total_revenue</c:v>
                </c:pt>
              </c:strCache>
            </c:strRef>
          </c:tx>
          <c:spPr>
            <a:ln w="28575" cap="rnd">
              <a:solidFill>
                <a:schemeClr val="accent1"/>
              </a:solidFill>
              <a:round/>
            </a:ln>
            <a:effectLst/>
          </c:spPr>
          <c:marker>
            <c:symbol val="none"/>
          </c:marker>
          <c:cat>
            <c:strRef>
              <c:f>'pivot table'!$A$22:$A$27</c:f>
              <c:strCache>
                <c:ptCount val="5"/>
                <c:pt idx="0">
                  <c:v>Apex Goods</c:v>
                </c:pt>
                <c:pt idx="1">
                  <c:v>FreshFoods</c:v>
                </c:pt>
                <c:pt idx="2">
                  <c:v>TechCorp</c:v>
                </c:pt>
                <c:pt idx="3">
                  <c:v>TimberCraft</c:v>
                </c:pt>
                <c:pt idx="4">
                  <c:v>Vogue Apparel</c:v>
                </c:pt>
              </c:strCache>
            </c:strRef>
          </c:cat>
          <c:val>
            <c:numRef>
              <c:f>'pivot table'!$B$22:$B$27</c:f>
              <c:numCache>
                <c:formatCode>General</c:formatCode>
                <c:ptCount val="5"/>
                <c:pt idx="0">
                  <c:v>78023.040000000037</c:v>
                </c:pt>
                <c:pt idx="1">
                  <c:v>150455.87000000005</c:v>
                </c:pt>
                <c:pt idx="2">
                  <c:v>701538.5399999998</c:v>
                </c:pt>
                <c:pt idx="3">
                  <c:v>124018.38</c:v>
                </c:pt>
                <c:pt idx="4">
                  <c:v>101773.68000000008</c:v>
                </c:pt>
              </c:numCache>
            </c:numRef>
          </c:val>
          <c:smooth val="0"/>
          <c:extLst>
            <c:ext xmlns:c16="http://schemas.microsoft.com/office/drawing/2014/chart" uri="{C3380CC4-5D6E-409C-BE32-E72D297353CC}">
              <c16:uniqueId val="{00000000-E22A-48C4-8820-C7CB2CBC6E40}"/>
            </c:ext>
          </c:extLst>
        </c:ser>
        <c:ser>
          <c:idx val="1"/>
          <c:order val="1"/>
          <c:tx>
            <c:strRef>
              <c:f>'pivot table'!$C$21</c:f>
              <c:strCache>
                <c:ptCount val="1"/>
                <c:pt idx="0">
                  <c:v>Sum of Profit</c:v>
                </c:pt>
              </c:strCache>
            </c:strRef>
          </c:tx>
          <c:spPr>
            <a:ln w="28575" cap="rnd">
              <a:solidFill>
                <a:schemeClr val="accent2"/>
              </a:solidFill>
              <a:round/>
            </a:ln>
            <a:effectLst/>
          </c:spPr>
          <c:marker>
            <c:symbol val="none"/>
          </c:marker>
          <c:cat>
            <c:strRef>
              <c:f>'pivot table'!$A$22:$A$27</c:f>
              <c:strCache>
                <c:ptCount val="5"/>
                <c:pt idx="0">
                  <c:v>Apex Goods</c:v>
                </c:pt>
                <c:pt idx="1">
                  <c:v>FreshFoods</c:v>
                </c:pt>
                <c:pt idx="2">
                  <c:v>TechCorp</c:v>
                </c:pt>
                <c:pt idx="3">
                  <c:v>TimberCraft</c:v>
                </c:pt>
                <c:pt idx="4">
                  <c:v>Vogue Apparel</c:v>
                </c:pt>
              </c:strCache>
            </c:strRef>
          </c:cat>
          <c:val>
            <c:numRef>
              <c:f>'pivot table'!$C$22:$C$27</c:f>
              <c:numCache>
                <c:formatCode>General</c:formatCode>
                <c:ptCount val="5"/>
                <c:pt idx="0">
                  <c:v>29132.930000000015</c:v>
                </c:pt>
                <c:pt idx="1">
                  <c:v>7312.7899999999936</c:v>
                </c:pt>
                <c:pt idx="2">
                  <c:v>230219.54000000018</c:v>
                </c:pt>
                <c:pt idx="3">
                  <c:v>12405.979999999994</c:v>
                </c:pt>
                <c:pt idx="4">
                  <c:v>35585.32999999998</c:v>
                </c:pt>
              </c:numCache>
            </c:numRef>
          </c:val>
          <c:smooth val="0"/>
          <c:extLst>
            <c:ext xmlns:c16="http://schemas.microsoft.com/office/drawing/2014/chart" uri="{C3380CC4-5D6E-409C-BE32-E72D297353CC}">
              <c16:uniqueId val="{00000001-E22A-48C4-8820-C7CB2CBC6E40}"/>
            </c:ext>
          </c:extLst>
        </c:ser>
        <c:dLbls>
          <c:showLegendKey val="0"/>
          <c:showVal val="0"/>
          <c:showCatName val="0"/>
          <c:showSerName val="0"/>
          <c:showPercent val="0"/>
          <c:showBubbleSize val="0"/>
        </c:dLbls>
        <c:smooth val="0"/>
        <c:axId val="1876448064"/>
        <c:axId val="1876448544"/>
      </c:lineChart>
      <c:catAx>
        <c:axId val="1876448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48544"/>
        <c:crosses val="autoZero"/>
        <c:auto val="1"/>
        <c:lblAlgn val="ctr"/>
        <c:lblOffset val="100"/>
        <c:noMultiLvlLbl val="0"/>
      </c:catAx>
      <c:valAx>
        <c:axId val="1876448544"/>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48064"/>
        <c:crosses val="autoZero"/>
        <c:crossBetween val="between"/>
      </c:valAx>
      <c:spPr>
        <a:noFill/>
        <a:ln>
          <a:noFill/>
        </a:ln>
        <a:effectLst/>
      </c:spPr>
    </c:plotArea>
    <c:legend>
      <c:legendPos val="r"/>
      <c:layout>
        <c:manualLayout>
          <c:xMode val="edge"/>
          <c:yMode val="edge"/>
          <c:x val="0.71219337937604188"/>
          <c:y val="3.2126643353240135E-2"/>
          <c:w val="0.26812421509304712"/>
          <c:h val="0.32669201943867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581025</xdr:colOff>
      <xdr:row>29</xdr:row>
      <xdr:rowOff>52387</xdr:rowOff>
    </xdr:from>
    <xdr:to>
      <xdr:col>7</xdr:col>
      <xdr:colOff>828675</xdr:colOff>
      <xdr:row>43</xdr:row>
      <xdr:rowOff>128587</xdr:rowOff>
    </xdr:to>
    <xdr:graphicFrame macro="">
      <xdr:nvGraphicFramePr>
        <xdr:cNvPr id="2" name="Chart 1">
          <a:extLst>
            <a:ext uri="{FF2B5EF4-FFF2-40B4-BE49-F238E27FC236}">
              <a16:creationId xmlns:a16="http://schemas.microsoft.com/office/drawing/2014/main" id="{2194E4D4-6332-E161-21DD-17D36B2CC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45</xdr:row>
      <xdr:rowOff>109537</xdr:rowOff>
    </xdr:from>
    <xdr:to>
      <xdr:col>5</xdr:col>
      <xdr:colOff>152400</xdr:colOff>
      <xdr:row>55</xdr:row>
      <xdr:rowOff>95250</xdr:rowOff>
    </xdr:to>
    <xdr:graphicFrame macro="">
      <xdr:nvGraphicFramePr>
        <xdr:cNvPr id="4" name="Chart 3">
          <a:extLst>
            <a:ext uri="{FF2B5EF4-FFF2-40B4-BE49-F238E27FC236}">
              <a16:creationId xmlns:a16="http://schemas.microsoft.com/office/drawing/2014/main" id="{01264255-B040-87FB-D2DA-68FD23C79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128587</xdr:rowOff>
    </xdr:from>
    <xdr:to>
      <xdr:col>2</xdr:col>
      <xdr:colOff>347663</xdr:colOff>
      <xdr:row>43</xdr:row>
      <xdr:rowOff>14287</xdr:rowOff>
    </xdr:to>
    <xdr:graphicFrame macro="">
      <xdr:nvGraphicFramePr>
        <xdr:cNvPr id="5" name="Chart 4">
          <a:extLst>
            <a:ext uri="{FF2B5EF4-FFF2-40B4-BE49-F238E27FC236}">
              <a16:creationId xmlns:a16="http://schemas.microsoft.com/office/drawing/2014/main" id="{26E3601D-3461-F426-03DD-44916F99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142875</xdr:colOff>
      <xdr:row>15</xdr:row>
      <xdr:rowOff>100012</xdr:rowOff>
    </xdr:from>
    <xdr:to>
      <xdr:col>15</xdr:col>
      <xdr:colOff>561975</xdr:colOff>
      <xdr:row>29</xdr:row>
      <xdr:rowOff>176212</xdr:rowOff>
    </xdr:to>
    <xdr:graphicFrame macro="">
      <xdr:nvGraphicFramePr>
        <xdr:cNvPr id="6" name="Chart 5">
          <a:extLst>
            <a:ext uri="{FF2B5EF4-FFF2-40B4-BE49-F238E27FC236}">
              <a16:creationId xmlns:a16="http://schemas.microsoft.com/office/drawing/2014/main" id="{8CAB858F-E781-10C6-915D-FB6AACAAB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304800</xdr:colOff>
      <xdr:row>30</xdr:row>
      <xdr:rowOff>52387</xdr:rowOff>
    </xdr:from>
    <xdr:to>
      <xdr:col>20</xdr:col>
      <xdr:colOff>66675</xdr:colOff>
      <xdr:row>44</xdr:row>
      <xdr:rowOff>128587</xdr:rowOff>
    </xdr:to>
    <xdr:graphicFrame macro="">
      <xdr:nvGraphicFramePr>
        <xdr:cNvPr id="8" name="Chart 7">
          <a:extLst>
            <a:ext uri="{FF2B5EF4-FFF2-40B4-BE49-F238E27FC236}">
              <a16:creationId xmlns:a16="http://schemas.microsoft.com/office/drawing/2014/main" id="{9B82190E-F6C8-A3A9-83EA-F37741CAA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361950</xdr:colOff>
      <xdr:row>0</xdr:row>
      <xdr:rowOff>0</xdr:rowOff>
    </xdr:from>
    <xdr:to>
      <xdr:col>18</xdr:col>
      <xdr:colOff>323850</xdr:colOff>
      <xdr:row>14</xdr:row>
      <xdr:rowOff>76200</xdr:rowOff>
    </xdr:to>
    <xdr:graphicFrame macro="">
      <xdr:nvGraphicFramePr>
        <xdr:cNvPr id="9" name="Chart 8">
          <a:extLst>
            <a:ext uri="{FF2B5EF4-FFF2-40B4-BE49-F238E27FC236}">
              <a16:creationId xmlns:a16="http://schemas.microsoft.com/office/drawing/2014/main" id="{C578D89D-8613-821D-476C-23F426EB4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157162</xdr:colOff>
      <xdr:row>30</xdr:row>
      <xdr:rowOff>14287</xdr:rowOff>
    </xdr:from>
    <xdr:to>
      <xdr:col>13</xdr:col>
      <xdr:colOff>61912</xdr:colOff>
      <xdr:row>44</xdr:row>
      <xdr:rowOff>90487</xdr:rowOff>
    </xdr:to>
    <xdr:graphicFrame macro="">
      <xdr:nvGraphicFramePr>
        <xdr:cNvPr id="10" name="Chart 9">
          <a:extLst>
            <a:ext uri="{FF2B5EF4-FFF2-40B4-BE49-F238E27FC236}">
              <a16:creationId xmlns:a16="http://schemas.microsoft.com/office/drawing/2014/main" id="{0A48215B-B3B4-5FAA-2838-F4D862EDC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85725</xdr:colOff>
      <xdr:row>14</xdr:row>
      <xdr:rowOff>128587</xdr:rowOff>
    </xdr:from>
    <xdr:to>
      <xdr:col>23</xdr:col>
      <xdr:colOff>390525</xdr:colOff>
      <xdr:row>29</xdr:row>
      <xdr:rowOff>14287</xdr:rowOff>
    </xdr:to>
    <xdr:graphicFrame macro="">
      <xdr:nvGraphicFramePr>
        <xdr:cNvPr id="3" name="Chart 2">
          <a:extLst>
            <a:ext uri="{FF2B5EF4-FFF2-40B4-BE49-F238E27FC236}">
              <a16:creationId xmlns:a16="http://schemas.microsoft.com/office/drawing/2014/main" id="{AEEA3812-48FB-BEC9-6788-EA34B7CEA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504825</xdr:colOff>
      <xdr:row>45</xdr:row>
      <xdr:rowOff>71437</xdr:rowOff>
    </xdr:from>
    <xdr:to>
      <xdr:col>8</xdr:col>
      <xdr:colOff>1352550</xdr:colOff>
      <xdr:row>59</xdr:row>
      <xdr:rowOff>147637</xdr:rowOff>
    </xdr:to>
    <xdr:graphicFrame macro="">
      <xdr:nvGraphicFramePr>
        <xdr:cNvPr id="7" name="Chart 6">
          <a:extLst>
            <a:ext uri="{FF2B5EF4-FFF2-40B4-BE49-F238E27FC236}">
              <a16:creationId xmlns:a16="http://schemas.microsoft.com/office/drawing/2014/main" id="{D81FD8F8-EF2F-AB8E-7296-F6C803BA4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303068</xdr:colOff>
      <xdr:row>19</xdr:row>
      <xdr:rowOff>23380</xdr:rowOff>
    </xdr:from>
    <xdr:to>
      <xdr:col>16</xdr:col>
      <xdr:colOff>43295</xdr:colOff>
      <xdr:row>31</xdr:row>
      <xdr:rowOff>173182</xdr:rowOff>
    </xdr:to>
    <xdr:graphicFrame macro="">
      <xdr:nvGraphicFramePr>
        <xdr:cNvPr id="2" name="Chart 1">
          <a:extLst>
            <a:ext uri="{FF2B5EF4-FFF2-40B4-BE49-F238E27FC236}">
              <a16:creationId xmlns:a16="http://schemas.microsoft.com/office/drawing/2014/main" id="{FC2CEFE5-5D4F-4D01-A35A-D4F5DA455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349251</xdr:colOff>
      <xdr:row>6</xdr:row>
      <xdr:rowOff>121227</xdr:rowOff>
    </xdr:from>
    <xdr:to>
      <xdr:col>6</xdr:col>
      <xdr:colOff>420690</xdr:colOff>
      <xdr:row>18</xdr:row>
      <xdr:rowOff>129886</xdr:rowOff>
    </xdr:to>
    <xdr:graphicFrame macro="">
      <xdr:nvGraphicFramePr>
        <xdr:cNvPr id="4" name="Chart 3">
          <a:extLst>
            <a:ext uri="{FF2B5EF4-FFF2-40B4-BE49-F238E27FC236}">
              <a16:creationId xmlns:a16="http://schemas.microsoft.com/office/drawing/2014/main" id="{6A65234D-C075-4B86-B503-B0F293213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363683</xdr:colOff>
      <xdr:row>19</xdr:row>
      <xdr:rowOff>31749</xdr:rowOff>
    </xdr:from>
    <xdr:to>
      <xdr:col>7</xdr:col>
      <xdr:colOff>95251</xdr:colOff>
      <xdr:row>31</xdr:row>
      <xdr:rowOff>164522</xdr:rowOff>
    </xdr:to>
    <xdr:graphicFrame macro="">
      <xdr:nvGraphicFramePr>
        <xdr:cNvPr id="5" name="Chart 4">
          <a:extLst>
            <a:ext uri="{FF2B5EF4-FFF2-40B4-BE49-F238E27FC236}">
              <a16:creationId xmlns:a16="http://schemas.microsoft.com/office/drawing/2014/main" id="{12F3E8E0-C758-4507-9F4D-7CBF506C8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578429</xdr:colOff>
      <xdr:row>6</xdr:row>
      <xdr:rowOff>115310</xdr:rowOff>
    </xdr:from>
    <xdr:to>
      <xdr:col>10</xdr:col>
      <xdr:colOff>458066</xdr:colOff>
      <xdr:row>18</xdr:row>
      <xdr:rowOff>77931</xdr:rowOff>
    </xdr:to>
    <xdr:graphicFrame macro="">
      <xdr:nvGraphicFramePr>
        <xdr:cNvPr id="6" name="Chart 5">
          <a:extLst>
            <a:ext uri="{FF2B5EF4-FFF2-40B4-BE49-F238E27FC236}">
              <a16:creationId xmlns:a16="http://schemas.microsoft.com/office/drawing/2014/main" id="{07129698-2A65-4DF6-813D-2C5F73217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216477</xdr:colOff>
      <xdr:row>18</xdr:row>
      <xdr:rowOff>180831</xdr:rowOff>
    </xdr:from>
    <xdr:to>
      <xdr:col>24</xdr:col>
      <xdr:colOff>528204</xdr:colOff>
      <xdr:row>31</xdr:row>
      <xdr:rowOff>147204</xdr:rowOff>
    </xdr:to>
    <xdr:graphicFrame macro="">
      <xdr:nvGraphicFramePr>
        <xdr:cNvPr id="7" name="Chart 6">
          <a:extLst>
            <a:ext uri="{FF2B5EF4-FFF2-40B4-BE49-F238E27FC236}">
              <a16:creationId xmlns:a16="http://schemas.microsoft.com/office/drawing/2014/main" id="{36EF5D28-EAC6-4386-B06B-AEF2D2CFF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552739</xdr:colOff>
      <xdr:row>6</xdr:row>
      <xdr:rowOff>137391</xdr:rowOff>
    </xdr:from>
    <xdr:to>
      <xdr:col>17</xdr:col>
      <xdr:colOff>292389</xdr:colOff>
      <xdr:row>18</xdr:row>
      <xdr:rowOff>56284</xdr:rowOff>
    </xdr:to>
    <xdr:graphicFrame macro="">
      <xdr:nvGraphicFramePr>
        <xdr:cNvPr id="10" name="Chart 9">
          <a:extLst>
            <a:ext uri="{FF2B5EF4-FFF2-40B4-BE49-F238E27FC236}">
              <a16:creationId xmlns:a16="http://schemas.microsoft.com/office/drawing/2014/main" id="{FA84A823-A366-4751-BFD1-9EDF4CF9E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412174</xdr:colOff>
      <xdr:row>6</xdr:row>
      <xdr:rowOff>176070</xdr:rowOff>
    </xdr:from>
    <xdr:to>
      <xdr:col>24</xdr:col>
      <xdr:colOff>528204</xdr:colOff>
      <xdr:row>18</xdr:row>
      <xdr:rowOff>47625</xdr:rowOff>
    </xdr:to>
    <xdr:graphicFrame macro="">
      <xdr:nvGraphicFramePr>
        <xdr:cNvPr id="11" name="Chart 10">
          <a:extLst>
            <a:ext uri="{FF2B5EF4-FFF2-40B4-BE49-F238E27FC236}">
              <a16:creationId xmlns:a16="http://schemas.microsoft.com/office/drawing/2014/main" id="{AF338A18-0DB0-46D9-AD13-AFDCE597D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103909</xdr:colOff>
      <xdr:row>1</xdr:row>
      <xdr:rowOff>128153</xdr:rowOff>
    </xdr:from>
    <xdr:to>
      <xdr:col>2</xdr:col>
      <xdr:colOff>298847</xdr:colOff>
      <xdr:row>11</xdr:row>
      <xdr:rowOff>8658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9194343-BE9D-CF34-623B-D12E2BFE0A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909" y="543789"/>
              <a:ext cx="1407211" cy="1785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98638</xdr:colOff>
      <xdr:row>25</xdr:row>
      <xdr:rowOff>54551</xdr:rowOff>
    </xdr:from>
    <xdr:to>
      <xdr:col>2</xdr:col>
      <xdr:colOff>288423</xdr:colOff>
      <xdr:row>31</xdr:row>
      <xdr:rowOff>138545</xdr:rowOff>
    </xdr:to>
    <mc:AlternateContent xmlns:mc="http://schemas.openxmlformats.org/markup-compatibility/2006" xmlns:a14="http://schemas.microsoft.com/office/drawing/2010/main">
      <mc:Choice Requires="a14">
        <xdr:graphicFrame macro="">
          <xdr:nvGraphicFramePr>
            <xdr:cNvPr id="8" name="Warehouse">
              <a:extLst>
                <a:ext uri="{FF2B5EF4-FFF2-40B4-BE49-F238E27FC236}">
                  <a16:creationId xmlns:a16="http://schemas.microsoft.com/office/drawing/2014/main" id="{86A947F8-E516-4C6E-DA43-FD7E4C7EFA44}"/>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98638" y="5042187"/>
              <a:ext cx="1402058" cy="1226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103909</xdr:colOff>
      <xdr:row>20</xdr:row>
      <xdr:rowOff>2599</xdr:rowOff>
    </xdr:from>
    <xdr:to>
      <xdr:col>2</xdr:col>
      <xdr:colOff>311727</xdr:colOff>
      <xdr:row>24</xdr:row>
      <xdr:rowOff>125557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C102D5C-0267-0E4A-3881-780261BE56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909" y="4037735"/>
              <a:ext cx="1420091" cy="884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86590</xdr:colOff>
      <xdr:row>11</xdr:row>
      <xdr:rowOff>149803</xdr:rowOff>
    </xdr:from>
    <xdr:to>
      <xdr:col>2</xdr:col>
      <xdr:colOff>294408</xdr:colOff>
      <xdr:row>19</xdr:row>
      <xdr:rowOff>77932</xdr:rowOff>
    </xdr:to>
    <mc:AlternateContent xmlns:mc="http://schemas.openxmlformats.org/markup-compatibility/2006" xmlns:a14="http://schemas.microsoft.com/office/drawing/2010/main">
      <mc:Choice Requires="a14">
        <xdr:graphicFrame macro="">
          <xdr:nvGraphicFramePr>
            <xdr:cNvPr id="12" name="Months (Order_Date)">
              <a:extLst>
                <a:ext uri="{FF2B5EF4-FFF2-40B4-BE49-F238E27FC236}">
                  <a16:creationId xmlns:a16="http://schemas.microsoft.com/office/drawing/2014/main" id="{5511E98D-B435-6C22-8EB7-354408E323B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6590" y="2470439"/>
              <a:ext cx="1420091" cy="1452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450272</xdr:colOff>
      <xdr:row>1</xdr:row>
      <xdr:rowOff>73603</xdr:rowOff>
    </xdr:from>
    <xdr:to>
      <xdr:col>6</xdr:col>
      <xdr:colOff>86590</xdr:colOff>
      <xdr:row>5</xdr:row>
      <xdr:rowOff>92653</xdr:rowOff>
    </xdr:to>
    <xdr:sp macro="" textlink="'pivot table'!I62">
      <xdr:nvSpPr>
        <xdr:cNvPr id="13" name="Rectangle 12">
          <a:extLst>
            <a:ext uri="{FF2B5EF4-FFF2-40B4-BE49-F238E27FC236}">
              <a16:creationId xmlns:a16="http://schemas.microsoft.com/office/drawing/2014/main" id="{FD0186AB-CC58-CEE2-DE22-B80862F16CBC}"/>
            </a:ext>
          </a:extLst>
        </xdr:cNvPr>
        <xdr:cNvSpPr/>
      </xdr:nvSpPr>
      <xdr:spPr>
        <a:xfrm>
          <a:off x="1662545" y="489239"/>
          <a:ext cx="2060863" cy="781050"/>
        </a:xfrm>
        <a:prstGeom prst="rect">
          <a:avLst/>
        </a:prstGeom>
        <a:solidFill>
          <a:schemeClr val="bg1"/>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2AF071-DBD0-4659-82BC-6F2C259538D3}" type="TxLink">
            <a:rPr lang="en-US" sz="2000" b="0" i="0" u="none" strike="noStrike">
              <a:solidFill>
                <a:srgbClr val="000000"/>
              </a:solidFill>
              <a:latin typeface="Calibri"/>
              <a:ea typeface="Calibri"/>
              <a:cs typeface="Calibri"/>
            </a:rPr>
            <a:pPr algn="ctr"/>
            <a:t>₹ 11,55,809.51</a:t>
          </a:fld>
          <a:endParaRPr lang="en-US" sz="2000"/>
        </a:p>
      </xdr:txBody>
    </xdr:sp>
    <xdr:clientData/>
  </xdr:twoCellAnchor>
  <xdr:twoCellAnchor>
    <xdr:from>
      <xdr:col>16</xdr:col>
      <xdr:colOff>1132956</xdr:colOff>
      <xdr:row>1</xdr:row>
      <xdr:rowOff>103909</xdr:rowOff>
    </xdr:from>
    <xdr:to>
      <xdr:col>20</xdr:col>
      <xdr:colOff>463608</xdr:colOff>
      <xdr:row>5</xdr:row>
      <xdr:rowOff>122959</xdr:rowOff>
    </xdr:to>
    <xdr:sp macro="" textlink="'pivot table'!I66">
      <xdr:nvSpPr>
        <xdr:cNvPr id="14" name="Rectangle 13">
          <a:extLst>
            <a:ext uri="{FF2B5EF4-FFF2-40B4-BE49-F238E27FC236}">
              <a16:creationId xmlns:a16="http://schemas.microsoft.com/office/drawing/2014/main" id="{D5456CEF-6FC5-465D-A50C-BBBE57A5840F}"/>
            </a:ext>
          </a:extLst>
        </xdr:cNvPr>
        <xdr:cNvSpPr/>
      </xdr:nvSpPr>
      <xdr:spPr>
        <a:xfrm>
          <a:off x="10831138" y="519545"/>
          <a:ext cx="2699038" cy="781050"/>
        </a:xfrm>
        <a:prstGeom prst="rect">
          <a:avLst/>
        </a:prstGeom>
        <a:solidFill>
          <a:schemeClr val="bg1"/>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610934E-58E2-494D-9269-09FA229163FD}" type="TxLink">
            <a:rPr lang="en-US" sz="2000" b="0" i="0" u="none" strike="noStrike">
              <a:solidFill>
                <a:srgbClr val="000000"/>
              </a:solidFill>
              <a:latin typeface="Calibri"/>
              <a:ea typeface="Calibri"/>
              <a:cs typeface="Calibri"/>
            </a:rPr>
            <a:pPr algn="ctr"/>
            <a:t>78.11</a:t>
          </a:fld>
          <a:endParaRPr lang="en-IN" sz="2000" b="1"/>
        </a:p>
      </xdr:txBody>
    </xdr:sp>
    <xdr:clientData/>
  </xdr:twoCellAnchor>
  <xdr:twoCellAnchor>
    <xdr:from>
      <xdr:col>6</xdr:col>
      <xdr:colOff>220460</xdr:colOff>
      <xdr:row>1</xdr:row>
      <xdr:rowOff>95250</xdr:rowOff>
    </xdr:from>
    <xdr:to>
      <xdr:col>9</xdr:col>
      <xdr:colOff>418753</xdr:colOff>
      <xdr:row>5</xdr:row>
      <xdr:rowOff>114300</xdr:rowOff>
    </xdr:to>
    <xdr:sp macro="" textlink="'pivot table'!I63">
      <xdr:nvSpPr>
        <xdr:cNvPr id="15" name="Rectangle 14">
          <a:extLst>
            <a:ext uri="{FF2B5EF4-FFF2-40B4-BE49-F238E27FC236}">
              <a16:creationId xmlns:a16="http://schemas.microsoft.com/office/drawing/2014/main" id="{3C8C40AB-4EE8-4071-822A-75BF6763934A}"/>
            </a:ext>
          </a:extLst>
        </xdr:cNvPr>
        <xdr:cNvSpPr/>
      </xdr:nvSpPr>
      <xdr:spPr>
        <a:xfrm>
          <a:off x="3857278" y="510886"/>
          <a:ext cx="2016702" cy="781050"/>
        </a:xfrm>
        <a:prstGeom prst="rect">
          <a:avLst/>
        </a:prstGeom>
        <a:solidFill>
          <a:schemeClr val="bg1"/>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54647F7-213B-4B8A-80E0-56AB4B7A8C0C}" type="TxLink">
            <a:rPr lang="en-US" sz="2000" b="0" i="0" u="none" strike="noStrike">
              <a:solidFill>
                <a:srgbClr val="000000"/>
              </a:solidFill>
              <a:latin typeface="Calibri"/>
              <a:ea typeface="Calibri"/>
              <a:cs typeface="Calibri"/>
            </a:rPr>
            <a:pPr algn="ctr"/>
            <a:t>₹ 3,14,656.57</a:t>
          </a:fld>
          <a:endParaRPr lang="en-IN" sz="2000" b="1"/>
        </a:p>
      </xdr:txBody>
    </xdr:sp>
    <xdr:clientData/>
  </xdr:twoCellAnchor>
  <xdr:twoCellAnchor>
    <xdr:from>
      <xdr:col>13</xdr:col>
      <xdr:colOff>470015</xdr:colOff>
      <xdr:row>1</xdr:row>
      <xdr:rowOff>93518</xdr:rowOff>
    </xdr:from>
    <xdr:to>
      <xdr:col>16</xdr:col>
      <xdr:colOff>999086</xdr:colOff>
      <xdr:row>5</xdr:row>
      <xdr:rowOff>112568</xdr:rowOff>
    </xdr:to>
    <xdr:sp macro="" textlink="'pivot table'!I65">
      <xdr:nvSpPr>
        <xdr:cNvPr id="16" name="Rectangle 15">
          <a:extLst>
            <a:ext uri="{FF2B5EF4-FFF2-40B4-BE49-F238E27FC236}">
              <a16:creationId xmlns:a16="http://schemas.microsoft.com/office/drawing/2014/main" id="{C54CD51B-D645-4442-BFEA-EDB0AFCE9E84}"/>
            </a:ext>
          </a:extLst>
        </xdr:cNvPr>
        <xdr:cNvSpPr/>
      </xdr:nvSpPr>
      <xdr:spPr>
        <a:xfrm>
          <a:off x="8349788" y="509154"/>
          <a:ext cx="2347480" cy="781050"/>
        </a:xfrm>
        <a:prstGeom prst="rect">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6D1803-1325-4B8E-925B-B62CED76D905}" type="TxLink">
            <a:rPr lang="en-US" sz="2000" b="0" i="0" u="none" strike="noStrike">
              <a:solidFill>
                <a:srgbClr val="000000"/>
              </a:solidFill>
              <a:latin typeface="Calibri"/>
              <a:ea typeface="Calibri"/>
              <a:cs typeface="Calibri"/>
            </a:rPr>
            <a:pPr algn="ctr"/>
            <a:t>3.67</a:t>
          </a:fld>
          <a:endParaRPr lang="en-IN" sz="2000" b="1"/>
        </a:p>
      </xdr:txBody>
    </xdr:sp>
    <xdr:clientData/>
  </xdr:twoCellAnchor>
  <xdr:twoCellAnchor>
    <xdr:from>
      <xdr:col>9</xdr:col>
      <xdr:colOff>552623</xdr:colOff>
      <xdr:row>1</xdr:row>
      <xdr:rowOff>111702</xdr:rowOff>
    </xdr:from>
    <xdr:to>
      <xdr:col>13</xdr:col>
      <xdr:colOff>336145</xdr:colOff>
      <xdr:row>5</xdr:row>
      <xdr:rowOff>130752</xdr:rowOff>
    </xdr:to>
    <xdr:sp macro="" textlink="'pivot table'!I64">
      <xdr:nvSpPr>
        <xdr:cNvPr id="17" name="Rectangle 16">
          <a:extLst>
            <a:ext uri="{FF2B5EF4-FFF2-40B4-BE49-F238E27FC236}">
              <a16:creationId xmlns:a16="http://schemas.microsoft.com/office/drawing/2014/main" id="{7FADF02D-10E7-4CA3-BDFF-5C9DBF43F311}"/>
            </a:ext>
          </a:extLst>
        </xdr:cNvPr>
        <xdr:cNvSpPr/>
      </xdr:nvSpPr>
      <xdr:spPr>
        <a:xfrm>
          <a:off x="6007850" y="527338"/>
          <a:ext cx="2208068" cy="781050"/>
        </a:xfrm>
        <a:prstGeom prst="rect">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783F8C-83C1-4A96-BB42-AC6013EF421E}" type="TxLink">
            <a:rPr lang="en-US" sz="2000" b="0" i="0" u="none" strike="noStrike" baseline="0">
              <a:solidFill>
                <a:srgbClr val="000000"/>
              </a:solidFill>
              <a:latin typeface="Calibri"/>
              <a:ea typeface="Calibri"/>
              <a:cs typeface="Calibri"/>
            </a:rPr>
            <a:pPr algn="ctr"/>
            <a:t>5</a:t>
          </a:fld>
          <a:endParaRPr lang="en-IN" sz="2000" b="1">
            <a:solidFill>
              <a:schemeClr val="accent2">
                <a:lumMod val="60000"/>
                <a:lumOff val="40000"/>
              </a:schemeClr>
            </a:solidFill>
          </a:endParaRPr>
        </a:p>
      </xdr:txBody>
    </xdr:sp>
    <xdr:clientData/>
  </xdr:twoCellAnchor>
  <xdr:twoCellAnchor>
    <xdr:from>
      <xdr:col>20</xdr:col>
      <xdr:colOff>597478</xdr:colOff>
      <xdr:row>1</xdr:row>
      <xdr:rowOff>102177</xdr:rowOff>
    </xdr:from>
    <xdr:to>
      <xdr:col>24</xdr:col>
      <xdr:colOff>554182</xdr:colOff>
      <xdr:row>5</xdr:row>
      <xdr:rowOff>121227</xdr:rowOff>
    </xdr:to>
    <xdr:sp macro="" textlink="'pivot table'!I67">
      <xdr:nvSpPr>
        <xdr:cNvPr id="19" name="Rectangle 18">
          <a:extLst>
            <a:ext uri="{FF2B5EF4-FFF2-40B4-BE49-F238E27FC236}">
              <a16:creationId xmlns:a16="http://schemas.microsoft.com/office/drawing/2014/main" id="{A553179E-C5D6-4EF8-84F2-B0E5F083DC2A}"/>
            </a:ext>
          </a:extLst>
        </xdr:cNvPr>
        <xdr:cNvSpPr/>
      </xdr:nvSpPr>
      <xdr:spPr>
        <a:xfrm>
          <a:off x="13664046" y="517813"/>
          <a:ext cx="2381250" cy="781050"/>
        </a:xfrm>
        <a:prstGeom prst="rect">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E3A689B9-A308-4A0B-94EF-BD6A7ADBABD5}" type="TxLink">
            <a:rPr lang="en-US" sz="2000" b="0"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a:t>
          </a:fld>
          <a:endParaRPr lang="en-IN" sz="2000" b="1">
            <a:solidFill>
              <a:schemeClr val="accent2">
                <a:lumMod val="60000"/>
                <a:lumOff val="40000"/>
              </a:schemeClr>
            </a:solidFill>
          </a:endParaRPr>
        </a:p>
      </xdr:txBody>
    </xdr:sp>
    <xdr:clientData/>
  </xdr:twoCellAnchor>
  <xdr:twoCellAnchor>
    <xdr:from>
      <xdr:col>3</xdr:col>
      <xdr:colOff>152400</xdr:colOff>
      <xdr:row>3</xdr:row>
      <xdr:rowOff>142875</xdr:rowOff>
    </xdr:from>
    <xdr:to>
      <xdr:col>5</xdr:col>
      <xdr:colOff>219075</xdr:colOff>
      <xdr:row>5</xdr:row>
      <xdr:rowOff>38100</xdr:rowOff>
    </xdr:to>
    <xdr:sp macro="" textlink="">
      <xdr:nvSpPr>
        <xdr:cNvPr id="18" name="TextBox 17">
          <a:extLst>
            <a:ext uri="{FF2B5EF4-FFF2-40B4-BE49-F238E27FC236}">
              <a16:creationId xmlns:a16="http://schemas.microsoft.com/office/drawing/2014/main" id="{87BB9A8A-8CA7-79AF-98B3-20F05AA08B29}"/>
            </a:ext>
          </a:extLst>
        </xdr:cNvPr>
        <xdr:cNvSpPr txBox="1"/>
      </xdr:nvSpPr>
      <xdr:spPr>
        <a:xfrm>
          <a:off x="1981200" y="942975"/>
          <a:ext cx="12858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Revenue</a:t>
          </a:r>
        </a:p>
      </xdr:txBody>
    </xdr:sp>
    <xdr:clientData/>
  </xdr:twoCellAnchor>
  <xdr:twoCellAnchor>
    <xdr:from>
      <xdr:col>6</xdr:col>
      <xdr:colOff>536864</xdr:colOff>
      <xdr:row>3</xdr:row>
      <xdr:rowOff>147205</xdr:rowOff>
    </xdr:from>
    <xdr:to>
      <xdr:col>9</xdr:col>
      <xdr:colOff>225136</xdr:colOff>
      <xdr:row>5</xdr:row>
      <xdr:rowOff>43295</xdr:rowOff>
    </xdr:to>
    <xdr:sp macro="" textlink="">
      <xdr:nvSpPr>
        <xdr:cNvPr id="20" name="TextBox 19">
          <a:extLst>
            <a:ext uri="{FF2B5EF4-FFF2-40B4-BE49-F238E27FC236}">
              <a16:creationId xmlns:a16="http://schemas.microsoft.com/office/drawing/2014/main" id="{58508241-9EED-05A0-02ED-CCA15BD756FF}"/>
            </a:ext>
          </a:extLst>
        </xdr:cNvPr>
        <xdr:cNvSpPr txBox="1"/>
      </xdr:nvSpPr>
      <xdr:spPr>
        <a:xfrm>
          <a:off x="4173682" y="943841"/>
          <a:ext cx="1506681"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Profit</a:t>
          </a:r>
        </a:p>
      </xdr:txBody>
    </xdr:sp>
    <xdr:clientData/>
  </xdr:twoCellAnchor>
  <xdr:twoCellAnchor>
    <xdr:from>
      <xdr:col>10</xdr:col>
      <xdr:colOff>95250</xdr:colOff>
      <xdr:row>3</xdr:row>
      <xdr:rowOff>163657</xdr:rowOff>
    </xdr:from>
    <xdr:to>
      <xdr:col>13</xdr:col>
      <xdr:colOff>103908</xdr:colOff>
      <xdr:row>5</xdr:row>
      <xdr:rowOff>59747</xdr:rowOff>
    </xdr:to>
    <xdr:sp macro="" textlink="">
      <xdr:nvSpPr>
        <xdr:cNvPr id="21" name="TextBox 20">
          <a:extLst>
            <a:ext uri="{FF2B5EF4-FFF2-40B4-BE49-F238E27FC236}">
              <a16:creationId xmlns:a16="http://schemas.microsoft.com/office/drawing/2014/main" id="{4B57E87E-2374-480E-9731-9AB31D6D3DAB}"/>
            </a:ext>
          </a:extLst>
        </xdr:cNvPr>
        <xdr:cNvSpPr txBox="1"/>
      </xdr:nvSpPr>
      <xdr:spPr>
        <a:xfrm>
          <a:off x="6156614" y="960293"/>
          <a:ext cx="1827067"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 Shipping Time (Days)</a:t>
          </a:r>
        </a:p>
      </xdr:txBody>
    </xdr:sp>
    <xdr:clientData/>
  </xdr:twoCellAnchor>
  <xdr:twoCellAnchor>
    <xdr:from>
      <xdr:col>14</xdr:col>
      <xdr:colOff>258906</xdr:colOff>
      <xdr:row>3</xdr:row>
      <xdr:rowOff>154131</xdr:rowOff>
    </xdr:from>
    <xdr:to>
      <xdr:col>16</xdr:col>
      <xdr:colOff>553314</xdr:colOff>
      <xdr:row>5</xdr:row>
      <xdr:rowOff>50221</xdr:rowOff>
    </xdr:to>
    <xdr:sp macro="" textlink="">
      <xdr:nvSpPr>
        <xdr:cNvPr id="22" name="TextBox 21">
          <a:extLst>
            <a:ext uri="{FF2B5EF4-FFF2-40B4-BE49-F238E27FC236}">
              <a16:creationId xmlns:a16="http://schemas.microsoft.com/office/drawing/2014/main" id="{59104FE4-9F2A-43B5-915D-D86FB51FE79E}"/>
            </a:ext>
          </a:extLst>
        </xdr:cNvPr>
        <xdr:cNvSpPr txBox="1"/>
      </xdr:nvSpPr>
      <xdr:spPr>
        <a:xfrm>
          <a:off x="8744815" y="950767"/>
          <a:ext cx="1506681"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Gross Profit Margin </a:t>
          </a:r>
        </a:p>
      </xdr:txBody>
    </xdr:sp>
    <xdr:clientData/>
  </xdr:twoCellAnchor>
  <xdr:twoCellAnchor>
    <xdr:from>
      <xdr:col>16</xdr:col>
      <xdr:colOff>1541318</xdr:colOff>
      <xdr:row>3</xdr:row>
      <xdr:rowOff>185304</xdr:rowOff>
    </xdr:from>
    <xdr:to>
      <xdr:col>20</xdr:col>
      <xdr:colOff>0</xdr:colOff>
      <xdr:row>5</xdr:row>
      <xdr:rowOff>81394</xdr:rowOff>
    </xdr:to>
    <xdr:sp macro="" textlink="">
      <xdr:nvSpPr>
        <xdr:cNvPr id="23" name="TextBox 22">
          <a:extLst>
            <a:ext uri="{FF2B5EF4-FFF2-40B4-BE49-F238E27FC236}">
              <a16:creationId xmlns:a16="http://schemas.microsoft.com/office/drawing/2014/main" id="{4F9821E8-DA00-4E9A-88E2-389CC4C09F42}"/>
            </a:ext>
          </a:extLst>
        </xdr:cNvPr>
        <xdr:cNvSpPr txBox="1"/>
      </xdr:nvSpPr>
      <xdr:spPr>
        <a:xfrm>
          <a:off x="11239500" y="981940"/>
          <a:ext cx="1827068"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On-Time Delivery Rate </a:t>
          </a:r>
        </a:p>
      </xdr:txBody>
    </xdr:sp>
    <xdr:clientData/>
  </xdr:twoCellAnchor>
  <xdr:twoCellAnchor>
    <xdr:from>
      <xdr:col>21</xdr:col>
      <xdr:colOff>494433</xdr:colOff>
      <xdr:row>3</xdr:row>
      <xdr:rowOff>155864</xdr:rowOff>
    </xdr:from>
    <xdr:to>
      <xdr:col>24</xdr:col>
      <xdr:colOff>182705</xdr:colOff>
      <xdr:row>5</xdr:row>
      <xdr:rowOff>51954</xdr:rowOff>
    </xdr:to>
    <xdr:sp macro="" textlink="">
      <xdr:nvSpPr>
        <xdr:cNvPr id="24" name="TextBox 23">
          <a:extLst>
            <a:ext uri="{FF2B5EF4-FFF2-40B4-BE49-F238E27FC236}">
              <a16:creationId xmlns:a16="http://schemas.microsoft.com/office/drawing/2014/main" id="{E0D9D13B-F35A-4EDF-A114-9E8515E81C18}"/>
            </a:ext>
          </a:extLst>
        </xdr:cNvPr>
        <xdr:cNvSpPr txBox="1"/>
      </xdr:nvSpPr>
      <xdr:spPr>
        <a:xfrm>
          <a:off x="14167138" y="952500"/>
          <a:ext cx="1506681" cy="277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Category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kasbekar" refreshedDate="46183.840082060182" createdVersion="8" refreshedVersion="8" minRefreshableVersion="3" recordCount="2000" xr:uid="{8AD51A60-1D53-41DF-8199-0B46FCC76295}">
  <cacheSource type="worksheet">
    <worksheetSource name="Profit"/>
  </cacheSource>
  <cacheFields count="21">
    <cacheField name="Order_ID" numFmtId="0">
      <sharedItems/>
    </cacheField>
    <cacheField name="Order_Date" numFmtId="14">
      <sharedItems containsSemiMixedTypes="0" containsNonDate="0" containsDate="1" containsString="0" minDate="2023-01-01T00:00:00" maxDate="2025-12-30T00:00:00" count="894">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7T00:00:00"/>
        <d v="2023-01-28T00:00:00"/>
        <d v="2023-01-29T00:00:00"/>
        <d v="2023-02-01T00:00:00"/>
        <d v="2023-02-03T00:00:00"/>
        <d v="2023-02-04T00:00:00"/>
        <d v="2023-02-05T00:00:00"/>
        <d v="2023-02-06T00:00:00"/>
        <d v="2023-02-07T00:00:00"/>
        <d v="2023-02-08T00:00:00"/>
        <d v="2023-02-09T00:00:00"/>
        <d v="2023-02-10T00:00:00"/>
        <d v="2023-02-11T00:00:00"/>
        <d v="2023-02-12T00:00:00"/>
        <d v="2023-02-16T00:00:00"/>
        <d v="2023-02-17T00:00:00"/>
        <d v="2023-02-19T00:00:00"/>
        <d v="2023-02-20T00:00:00"/>
        <d v="2023-02-22T00:00:00"/>
        <d v="2023-02-23T00:00:00"/>
        <d v="2023-02-24T00:00:00"/>
        <d v="2023-02-25T00:00:00"/>
        <d v="2023-02-27T00:00:00"/>
        <d v="2023-02-28T00:00:00"/>
        <d v="2023-03-02T00:00:00"/>
        <d v="2023-03-03T00:00:00"/>
        <d v="2023-03-04T00:00:00"/>
        <d v="2023-03-06T00:00:00"/>
        <d v="2023-03-07T00:00:00"/>
        <d v="2023-03-08T00:00:00"/>
        <d v="2023-03-10T00:00:00"/>
        <d v="2023-03-13T00:00:00"/>
        <d v="2023-03-14T00:00:00"/>
        <d v="2023-03-16T00:00:00"/>
        <d v="2023-03-17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8T00:00:00"/>
        <d v="2023-04-09T00:00:00"/>
        <d v="2023-04-10T00:00:00"/>
        <d v="2023-04-11T00:00:00"/>
        <d v="2023-04-12T00:00:00"/>
        <d v="2023-04-13T00:00:00"/>
        <d v="2023-04-14T00:00:00"/>
        <d v="2023-04-15T00:00:00"/>
        <d v="2023-04-16T00:00:00"/>
        <d v="2023-04-17T00:00:00"/>
        <d v="2023-04-18T00:00:00"/>
        <d v="2023-04-19T00:00:00"/>
        <d v="2023-04-21T00:00:00"/>
        <d v="2023-04-23T00:00:00"/>
        <d v="2023-04-24T00:00:00"/>
        <d v="2023-04-25T00:00:00"/>
        <d v="2023-04-26T00:00:00"/>
        <d v="2023-04-27T00:00:00"/>
        <d v="2023-04-28T00:00:00"/>
        <d v="2023-04-29T00:00:00"/>
        <d v="2023-04-30T00:00:00"/>
        <d v="2023-05-02T00:00:00"/>
        <d v="2023-05-03T00:00:00"/>
        <d v="2023-05-04T00:00:00"/>
        <d v="2023-05-06T00:00:00"/>
        <d v="2023-05-07T00:00:00"/>
        <d v="2023-05-08T00:00:00"/>
        <d v="2023-05-09T00:00:00"/>
        <d v="2023-05-10T00:00:00"/>
        <d v="2023-05-11T00:00:00"/>
        <d v="2023-05-12T00:00:00"/>
        <d v="2023-05-13T00:00:00"/>
        <d v="2023-05-14T00:00:00"/>
        <d v="2023-05-15T00:00:00"/>
        <d v="2023-05-17T00:00:00"/>
        <d v="2023-05-18T00:00:00"/>
        <d v="2023-05-19T00:00:00"/>
        <d v="2023-05-20T00:00:00"/>
        <d v="2023-05-21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3T00:00:00"/>
        <d v="2023-06-14T00:00:00"/>
        <d v="2023-06-15T00:00:00"/>
        <d v="2023-06-16T00:00:00"/>
        <d v="2023-06-17T00:00:00"/>
        <d v="2023-06-18T00:00:00"/>
        <d v="2023-06-19T00:00:00"/>
        <d v="2023-06-21T00:00:00"/>
        <d v="2023-06-22T00:00:00"/>
        <d v="2023-06-26T00:00:00"/>
        <d v="2023-06-30T00:00:00"/>
        <d v="2023-07-01T00:00:00"/>
        <d v="2023-07-02T00:00:00"/>
        <d v="2023-07-03T00:00:00"/>
        <d v="2023-07-05T00:00:00"/>
        <d v="2023-07-06T00:00:00"/>
        <d v="2023-07-07T00:00:00"/>
        <d v="2023-07-09T00:00:00"/>
        <d v="2023-07-10T00:00:00"/>
        <d v="2023-07-11T00:00:00"/>
        <d v="2023-07-13T00:00:00"/>
        <d v="2023-07-15T00:00:00"/>
        <d v="2023-07-17T00:00:00"/>
        <d v="2023-07-18T00:00:00"/>
        <d v="2023-07-19T00:00:00"/>
        <d v="2023-07-20T00:00:00"/>
        <d v="2023-07-21T00:00:00"/>
        <d v="2023-07-22T00:00:00"/>
        <d v="2023-07-24T00:00:00"/>
        <d v="2023-07-25T00:00:00"/>
        <d v="2023-07-26T00:00:00"/>
        <d v="2023-07-27T00:00:00"/>
        <d v="2023-07-29T00:00:00"/>
        <d v="2023-08-01T00:00:00"/>
        <d v="2023-08-02T00:00:00"/>
        <d v="2023-08-03T00:00:00"/>
        <d v="2023-08-04T00:00:00"/>
        <d v="2023-08-05T00:00:00"/>
        <d v="2023-08-06T00:00:00"/>
        <d v="2023-08-08T00:00:00"/>
        <d v="2023-08-11T00:00:00"/>
        <d v="2023-08-12T00:00:00"/>
        <d v="2023-08-13T00:00:00"/>
        <d v="2023-08-14T00:00:00"/>
        <d v="2023-08-16T00:00:00"/>
        <d v="2023-08-17T00:00:00"/>
        <d v="2023-08-18T00:00:00"/>
        <d v="2023-08-19T00:00:00"/>
        <d v="2023-08-20T00:00:00"/>
        <d v="2023-08-21T00:00:00"/>
        <d v="2023-08-23T00:00:00"/>
        <d v="2023-08-24T00:00:00"/>
        <d v="2023-08-25T00:00:00"/>
        <d v="2023-08-26T00:00:00"/>
        <d v="2023-08-27T00:00:00"/>
        <d v="2023-08-30T00:00:00"/>
        <d v="2023-08-31T00:00:00"/>
        <d v="2023-09-01T00:00:00"/>
        <d v="2023-09-02T00:00:00"/>
        <d v="2023-09-03T00:00:00"/>
        <d v="2023-09-04T00:00:00"/>
        <d v="2023-09-06T00:00:00"/>
        <d v="2023-09-07T00:00:00"/>
        <d v="2023-09-08T00:00:00"/>
        <d v="2023-09-10T00:00:00"/>
        <d v="2023-09-11T00:00:00"/>
        <d v="2023-09-13T00:00:00"/>
        <d v="2023-09-15T00:00:00"/>
        <d v="2023-09-16T00:00:00"/>
        <d v="2023-09-18T00:00:00"/>
        <d v="2023-09-19T00:00:00"/>
        <d v="2023-09-20T00:00:00"/>
        <d v="2023-09-21T00:00:00"/>
        <d v="2023-09-22T00:00:00"/>
        <d v="2023-09-23T00:00:00"/>
        <d v="2023-09-25T00:00:00"/>
        <d v="2023-09-26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8T00:00:00"/>
        <d v="2023-10-20T00:00:00"/>
        <d v="2023-10-21T00:00:00"/>
        <d v="2023-10-22T00:00:00"/>
        <d v="2023-10-23T00:00:00"/>
        <d v="2023-10-25T00:00:00"/>
        <d v="2023-10-28T00:00:00"/>
        <d v="2023-10-29T00:00:00"/>
        <d v="2023-10-30T00:00:00"/>
        <d v="2023-10-31T00:00:00"/>
        <d v="2023-11-01T00:00:00"/>
        <d v="2023-11-02T00:00:00"/>
        <d v="2023-11-03T00:00:00"/>
        <d v="2023-11-04T00:00:00"/>
        <d v="2023-11-05T00:00:00"/>
        <d v="2023-11-07T00:00:00"/>
        <d v="2023-11-08T00:00:00"/>
        <d v="2023-11-09T00:00:00"/>
        <d v="2023-11-10T00:00:00"/>
        <d v="2023-11-11T00:00:00"/>
        <d v="2023-11-12T00:00:00"/>
        <d v="2023-11-13T00:00:00"/>
        <d v="2023-11-14T00:00:00"/>
        <d v="2023-11-16T00:00:00"/>
        <d v="2023-11-17T00:00:00"/>
        <d v="2023-11-20T00:00:00"/>
        <d v="2023-11-22T00:00:00"/>
        <d v="2023-11-23T00:00:00"/>
        <d v="2023-11-24T00:00:00"/>
        <d v="2023-11-25T00:00:00"/>
        <d v="2023-11-26T00:00:00"/>
        <d v="2023-11-27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9T00:00:00"/>
        <d v="2023-12-20T00:00:00"/>
        <d v="2023-12-22T00:00:00"/>
        <d v="2023-12-23T00:00:00"/>
        <d v="2023-12-24T00:00:00"/>
        <d v="2023-12-26T00:00:00"/>
        <d v="2023-12-27T00:00:00"/>
        <d v="2023-12-29T00:00:00"/>
        <d v="2023-12-30T00:00:00"/>
        <d v="2023-12-31T00:00:00"/>
        <d v="2024-01-01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4T00:00:00"/>
        <d v="2024-02-17T00:00:00"/>
        <d v="2024-02-18T00:00:00"/>
        <d v="2024-02-22T00:00:00"/>
        <d v="2024-02-23T00:00:00"/>
        <d v="2024-02-24T00:00:00"/>
        <d v="2024-02-26T00:00:00"/>
        <d v="2024-02-29T00:00:00"/>
        <d v="2024-03-01T00:00:00"/>
        <d v="2024-03-02T00:00:00"/>
        <d v="2024-03-03T00:00:00"/>
        <d v="2024-03-04T00:00:00"/>
        <d v="2024-03-05T00:00:00"/>
        <d v="2024-03-07T00:00:00"/>
        <d v="2024-03-10T00:00:00"/>
        <d v="2024-03-11T00:00:00"/>
        <d v="2024-03-13T00:00:00"/>
        <d v="2024-03-16T00:00:00"/>
        <d v="2024-03-17T00:00:00"/>
        <d v="2024-03-18T00:00:00"/>
        <d v="2024-03-19T00:00:00"/>
        <d v="2024-03-20T00:00:00"/>
        <d v="2024-03-21T00:00:00"/>
        <d v="2024-03-22T00:00:00"/>
        <d v="2024-03-23T00:00:00"/>
        <d v="2024-03-24T00:00:00"/>
        <d v="2024-03-25T00:00:00"/>
        <d v="2024-03-27T00:00:00"/>
        <d v="2024-03-28T00:00:00"/>
        <d v="2024-03-29T00:00:00"/>
        <d v="2024-03-30T00:00:00"/>
        <d v="2024-03-31T00:00:00"/>
        <d v="2024-04-01T00:00:00"/>
        <d v="2024-04-03T00:00:00"/>
        <d v="2024-04-04T00:00:00"/>
        <d v="2024-04-05T00:00:00"/>
        <d v="2024-04-07T00:00:00"/>
        <d v="2024-04-08T00:00:00"/>
        <d v="2024-04-09T00:00:00"/>
        <d v="2024-04-10T00:00:00"/>
        <d v="2024-04-11T00:00:00"/>
        <d v="2024-04-12T00:00:00"/>
        <d v="2024-04-13T00:00:00"/>
        <d v="2024-04-14T00:00:00"/>
        <d v="2024-04-15T00:00:00"/>
        <d v="2024-04-17T00:00:00"/>
        <d v="2024-04-18T00:00:00"/>
        <d v="2024-04-19T00:00:00"/>
        <d v="2024-04-20T00:00:00"/>
        <d v="2024-04-21T00:00:00"/>
        <d v="2024-04-22T00:00:00"/>
        <d v="2024-04-25T00:00:00"/>
        <d v="2024-04-26T00:00:00"/>
        <d v="2024-04-27T00:00:00"/>
        <d v="2024-04-28T00:00:00"/>
        <d v="2024-04-29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7T00:00:00"/>
        <d v="2024-05-18T00:00:00"/>
        <d v="2024-05-19T00:00:00"/>
        <d v="2024-05-20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7T00:00:00"/>
        <d v="2024-06-18T00:00:00"/>
        <d v="2024-06-20T00:00:00"/>
        <d v="2024-06-21T00:00:00"/>
        <d v="2024-06-23T00:00:00"/>
        <d v="2024-06-24T00:00:00"/>
        <d v="2024-06-25T00:00:00"/>
        <d v="2024-06-26T00:00:00"/>
        <d v="2024-06-29T00:00:00"/>
        <d v="2024-06-30T00:00:00"/>
        <d v="2024-07-01T00:00:00"/>
        <d v="2024-07-02T00:00:00"/>
        <d v="2024-07-03T00:00:00"/>
        <d v="2024-07-04T00:00:00"/>
        <d v="2024-07-05T00:00:00"/>
        <d v="2024-07-06T00:00:00"/>
        <d v="2024-07-07T00:00:00"/>
        <d v="2024-07-10T00:00:00"/>
        <d v="2024-07-12T00:00:00"/>
        <d v="2024-07-13T00:00:00"/>
        <d v="2024-07-14T00:00:00"/>
        <d v="2024-07-16T00:00:00"/>
        <d v="2024-07-17T00:00:00"/>
        <d v="2024-07-18T00:00:00"/>
        <d v="2024-07-19T00:00:00"/>
        <d v="2024-07-20T00:00:00"/>
        <d v="2024-07-22T00:00:00"/>
        <d v="2024-07-23T00:00:00"/>
        <d v="2024-07-24T00:00:00"/>
        <d v="2024-07-25T00:00:00"/>
        <d v="2024-07-27T00:00:00"/>
        <d v="2024-07-28T00:00:00"/>
        <d v="2024-07-29T00:00:00"/>
        <d v="2024-07-30T00:00:00"/>
        <d v="2024-07-31T00:00:00"/>
        <d v="2024-08-01T00:00:00"/>
        <d v="2024-08-02T00:00:00"/>
        <d v="2024-08-03T00:00:00"/>
        <d v="2024-08-06T00:00:00"/>
        <d v="2024-08-07T00:00:00"/>
        <d v="2024-08-08T00:00:00"/>
        <d v="2024-08-09T00:00:00"/>
        <d v="2024-08-10T00:00:00"/>
        <d v="2024-08-11T00:00:00"/>
        <d v="2024-08-12T00:00:00"/>
        <d v="2024-08-13T00:00:00"/>
        <d v="2024-08-14T00:00:00"/>
        <d v="2024-08-15T00:00:00"/>
        <d v="2024-08-16T00:00:00"/>
        <d v="2024-08-17T00:00:00"/>
        <d v="2024-08-18T00:00:00"/>
        <d v="2024-08-20T00:00:00"/>
        <d v="2024-08-23T00:00:00"/>
        <d v="2024-08-26T00:00:00"/>
        <d v="2024-08-27T00:00:00"/>
        <d v="2024-08-29T00:00:00"/>
        <d v="2024-08-30T00:00:00"/>
        <d v="2024-08-31T00:00:00"/>
        <d v="2024-09-01T00:00:00"/>
        <d v="2024-09-04T00:00:00"/>
        <d v="2024-09-05T00:00:00"/>
        <d v="2024-09-06T00:00:00"/>
        <d v="2024-09-07T00:00:00"/>
        <d v="2024-09-08T00:00:00"/>
        <d v="2024-09-09T00:00:00"/>
        <d v="2024-09-10T00:00:00"/>
        <d v="2024-09-11T00:00:00"/>
        <d v="2024-09-12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30T00:00:00"/>
        <d v="2024-10-01T00:00:00"/>
        <d v="2024-10-02T00:00:00"/>
        <d v="2024-10-03T00:00:00"/>
        <d v="2024-10-04T00:00:00"/>
        <d v="2024-10-05T00:00:00"/>
        <d v="2024-10-06T00:00:00"/>
        <d v="2024-10-07T00:00:00"/>
        <d v="2024-10-08T00:00:00"/>
        <d v="2024-10-09T00:00:00"/>
        <d v="2024-10-10T00:00:00"/>
        <d v="2024-10-11T00:00:00"/>
        <d v="2024-10-13T00:00:00"/>
        <d v="2024-10-14T00:00:00"/>
        <d v="2024-10-15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2T00:00:00"/>
        <d v="2024-11-03T00:00:00"/>
        <d v="2024-11-04T00:00:00"/>
        <d v="2024-11-05T00:00:00"/>
        <d v="2024-11-06T00:00:00"/>
        <d v="2024-11-07T00:00:00"/>
        <d v="2024-11-08T00:00:00"/>
        <d v="2024-11-12T00:00:00"/>
        <d v="2024-11-13T00:00:00"/>
        <d v="2024-11-14T00:00:00"/>
        <d v="2024-11-15T00:00:00"/>
        <d v="2024-11-16T00:00:00"/>
        <d v="2024-11-17T00:00:00"/>
        <d v="2024-11-18T00:00:00"/>
        <d v="2024-11-19T00:00:00"/>
        <d v="2024-11-20T00:00:00"/>
        <d v="2024-11-21T00:00:00"/>
        <d v="2024-11-22T00:00:00"/>
        <d v="2024-11-23T00:00:00"/>
        <d v="2024-11-25T00:00:00"/>
        <d v="2024-11-27T00:00:00"/>
        <d v="2024-11-28T00:00:00"/>
        <d v="2024-11-29T00:00:00"/>
        <d v="2024-11-30T00:00:00"/>
        <d v="2024-12-02T00:00:00"/>
        <d v="2024-12-03T00:00:00"/>
        <d v="2024-12-04T00:00:00"/>
        <d v="2024-12-05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9T00:00:00"/>
        <d v="2024-12-30T00:00:00"/>
        <d v="2024-12-31T00:00:00"/>
        <d v="2025-01-01T00:00:00"/>
        <d v="2025-01-02T00:00:00"/>
        <d v="2025-01-03T00:00:00"/>
        <d v="2025-01-04T00:00:00"/>
        <d v="2025-01-05T00:00:00"/>
        <d v="2025-01-07T00:00:00"/>
        <d v="2025-01-08T00:00:00"/>
        <d v="2025-01-09T00:00:00"/>
        <d v="2025-01-10T00:00:00"/>
        <d v="2025-01-11T00:00:00"/>
        <d v="2025-01-12T00:00:00"/>
        <d v="2025-01-13T00:00:00"/>
        <d v="2025-01-15T00:00:00"/>
        <d v="2025-01-17T00:00:00"/>
        <d v="2025-01-18T00:00:00"/>
        <d v="2025-01-19T00:00:00"/>
        <d v="2025-01-20T00:00:00"/>
        <d v="2025-01-21T00:00:00"/>
        <d v="2025-01-22T00:00:00"/>
        <d v="2025-01-23T00:00:00"/>
        <d v="2025-01-24T00:00:00"/>
        <d v="2025-01-27T00:00:00"/>
        <d v="2025-01-28T00:00:00"/>
        <d v="2025-01-30T00:00:00"/>
        <d v="2025-01-31T00:00:00"/>
        <d v="2025-02-01T00:00:00"/>
        <d v="2025-02-02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1T00:00:00"/>
        <d v="2025-02-22T00:00:00"/>
        <d v="2025-02-23T00:00:00"/>
        <d v="2025-02-25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7T00:00:00"/>
        <d v="2025-03-19T00:00:00"/>
        <d v="2025-03-22T00:00:00"/>
        <d v="2025-03-24T00:00:00"/>
        <d v="2025-03-25T00:00:00"/>
        <d v="2025-03-26T00:00:00"/>
        <d v="2025-03-27T00:00:00"/>
        <d v="2025-03-29T00:00:00"/>
        <d v="2025-03-30T00:00:00"/>
        <d v="2025-03-31T00:00:00"/>
        <d v="2025-04-01T00:00:00"/>
        <d v="2025-04-02T00:00:00"/>
        <d v="2025-04-03T00:00:00"/>
        <d v="2025-04-04T00:00:00"/>
        <d v="2025-04-05T00:00:00"/>
        <d v="2025-04-06T00:00:00"/>
        <d v="2025-04-07T00:00:00"/>
        <d v="2025-04-08T00:00:00"/>
        <d v="2025-04-10T00:00:00"/>
        <d v="2025-04-11T00:00:00"/>
        <d v="2025-04-12T00:00:00"/>
        <d v="2025-04-13T00:00:00"/>
        <d v="2025-04-14T00:00:00"/>
        <d v="2025-04-15T00:00:00"/>
        <d v="2025-04-16T00:00:00"/>
        <d v="2025-04-17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8T00:00:00"/>
        <d v="2025-05-09T00:00:00"/>
        <d v="2025-05-10T00:00:00"/>
        <d v="2025-05-11T00:00:00"/>
        <d v="2025-05-13T00:00:00"/>
        <d v="2025-05-14T00:00:00"/>
        <d v="2025-05-15T00:00:00"/>
        <d v="2025-05-16T00:00:00"/>
        <d v="2025-05-18T00:00:00"/>
        <d v="2025-05-20T00:00:00"/>
        <d v="2025-05-21T00:00:00"/>
        <d v="2025-05-22T00:00:00"/>
        <d v="2025-05-23T00:00:00"/>
        <d v="2025-05-25T00:00:00"/>
        <d v="2025-05-26T00:00:00"/>
        <d v="2025-05-27T00:00:00"/>
        <d v="2025-05-28T00:00:00"/>
        <d v="2025-05-30T00:00:00"/>
        <d v="2025-06-0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6T00:00:00"/>
        <d v="2025-07-17T00:00:00"/>
        <d v="2025-07-18T00:00:00"/>
        <d v="2025-07-19T00:00:00"/>
        <d v="2025-07-20T00:00:00"/>
        <d v="2025-07-22T00:00:00"/>
        <d v="2025-07-23T00:00:00"/>
        <d v="2025-07-24T00:00:00"/>
        <d v="2025-07-25T00:00:00"/>
        <d v="2025-07-27T00:00:00"/>
        <d v="2025-07-28T00:00:00"/>
        <d v="2025-07-30T00:00:00"/>
        <d v="2025-07-31T00:00:00"/>
        <d v="2025-08-01T00:00:00"/>
        <d v="2025-08-02T00:00:00"/>
        <d v="2025-08-03T00:00:00"/>
        <d v="2025-08-04T00:00:00"/>
        <d v="2025-08-05T00:00:00"/>
        <d v="2025-08-06T00:00:00"/>
        <d v="2025-08-08T00:00:00"/>
        <d v="2025-08-09T00:00:00"/>
        <d v="2025-08-11T00:00:00"/>
        <d v="2025-08-12T00:00:00"/>
        <d v="2025-08-13T00:00:00"/>
        <d v="2025-08-14T00:00:00"/>
        <d v="2025-08-15T00:00:00"/>
        <d v="2025-08-16T00:00:00"/>
        <d v="2025-08-17T00:00:00"/>
        <d v="2025-08-18T00:00:00"/>
        <d v="2025-08-19T00:00:00"/>
        <d v="2025-08-20T00:00:00"/>
        <d v="2025-08-21T00:00:00"/>
        <d v="2025-08-24T00:00:00"/>
        <d v="2025-08-25T00:00:00"/>
        <d v="2025-08-26T00:00:00"/>
        <d v="2025-08-27T00:00:00"/>
        <d v="2025-08-28T00:00:00"/>
        <d v="2025-08-29T00:00:00"/>
        <d v="2025-08-30T00:00:00"/>
        <d v="2025-08-31T00:00:00"/>
        <d v="2025-09-01T00:00:00"/>
        <d v="2025-09-02T00:00:00"/>
        <d v="2025-09-04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5T00:00:00"/>
        <d v="2025-09-27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6T00:00:00"/>
        <d v="2025-10-17T00:00:00"/>
        <d v="2025-10-18T00:00:00"/>
        <d v="2025-10-19T00:00:00"/>
        <d v="2025-10-21T00:00:00"/>
        <d v="2025-10-22T00:00:00"/>
        <d v="2025-10-23T00:00:00"/>
        <d v="2025-10-25T00:00:00"/>
        <d v="2025-10-27T00:00:00"/>
        <d v="2025-10-28T00:00:00"/>
        <d v="2025-10-29T00:00:00"/>
        <d v="2025-10-30T00:00:00"/>
        <d v="2025-11-01T00:00:00"/>
        <d v="2025-11-02T00:00:00"/>
        <d v="2025-11-04T00:00:00"/>
        <d v="2025-11-05T00:00:00"/>
        <d v="2025-11-06T00:00:00"/>
        <d v="2025-11-08T00:00:00"/>
        <d v="2025-11-09T00:00:00"/>
        <d v="2025-11-10T00:00:00"/>
        <d v="2025-11-11T00:00:00"/>
        <d v="2025-11-12T00:00:00"/>
        <d v="2025-11-14T00:00:00"/>
        <d v="2025-11-15T00:00:00"/>
        <d v="2025-11-16T00:00:00"/>
        <d v="2025-11-17T00:00:00"/>
        <d v="2025-11-18T00:00:00"/>
        <d v="2025-11-20T00:00:00"/>
        <d v="2025-11-22T00:00:00"/>
        <d v="2025-11-24T00:00:00"/>
        <d v="2025-11-25T00:00:00"/>
        <d v="2025-11-26T00:00:00"/>
        <d v="2025-11-28T00:00:00"/>
        <d v="2025-11-29T00:00:00"/>
        <d v="2025-11-30T00:00:00"/>
        <d v="2025-12-01T00:00:00"/>
        <d v="2025-12-02T00:00:00"/>
        <d v="2025-12-03T00:00:00"/>
        <d v="2025-12-05T00:00:00"/>
        <d v="2025-12-06T00:00:00"/>
        <d v="2025-12-07T00:00:00"/>
        <d v="2025-12-08T00:00:00"/>
        <d v="2025-12-10T00:00:00"/>
        <d v="2025-12-12T00:00:00"/>
        <d v="2025-12-13T00:00:00"/>
        <d v="2025-12-15T00:00:00"/>
        <d v="2025-12-17T00:00:00"/>
        <d v="2025-12-18T00:00:00"/>
        <d v="2025-12-19T00:00:00"/>
        <d v="2025-12-21T00:00:00"/>
        <d v="2025-12-22T00:00:00"/>
        <d v="2025-12-23T00:00:00"/>
        <d v="2025-12-24T00:00:00"/>
        <d v="2025-12-26T00:00:00"/>
        <d v="2025-12-28T00:00:00"/>
        <d v="2025-12-29T00:00:00"/>
      </sharedItems>
      <fieldGroup par="20"/>
    </cacheField>
    <cacheField name="Delivery_Date" numFmtId="14">
      <sharedItems containsSemiMixedTypes="0" containsNonDate="0" containsDate="1" containsString="0" minDate="2023-01-03T00:00:00" maxDate="2026-01-05T00:00:00"/>
    </cacheField>
    <cacheField name="Product_Name" numFmtId="0">
      <sharedItems count="16">
        <s v="Organic Coffee"/>
        <s v="Bulk Almonds"/>
        <s v="Winter Jacket"/>
        <s v="Running Shoes"/>
        <s v="Bookshelf"/>
        <s v="Wireless Earbuds"/>
        <s v="4K Monitor"/>
        <s v="Denim Jeans"/>
        <s v="Office Chair"/>
        <s v="Ergonomic Desk"/>
        <s v="Energy Drinks"/>
        <s v="Smartphone X"/>
        <s v="Laptop Pro"/>
        <s v="Smart Watch Band"/>
        <s v="Leather Wallet"/>
        <s v="Backpack"/>
      </sharedItems>
    </cacheField>
    <cacheField name="Category" numFmtId="0">
      <sharedItems count="5">
        <s v="Grocery"/>
        <s v="Clothing"/>
        <s v="Furniture"/>
        <s v="Electronics"/>
        <s v="Accessories"/>
      </sharedItems>
    </cacheField>
    <cacheField name="Supplier" numFmtId="0">
      <sharedItems count="5">
        <s v="FreshFoods"/>
        <s v="Vogue Apparel"/>
        <s v="TimberCraft"/>
        <s v="TechCorp"/>
        <s v="Apex Goods"/>
      </sharedItems>
    </cacheField>
    <cacheField name="Warehouse" numFmtId="0">
      <sharedItems count="3">
        <s v="Warehouse A"/>
        <s v="Warehouse C"/>
        <s v="Warehouse B"/>
      </sharedItems>
    </cacheField>
    <cacheField name="Region" numFmtId="0">
      <sharedItems count="4">
        <s v="South"/>
        <s v="East"/>
        <s v="West"/>
        <s v="North"/>
      </sharedItems>
    </cacheField>
    <cacheField name="Quantity" numFmtId="0">
      <sharedItems containsSemiMixedTypes="0" containsString="0" containsNumber="1" containsInteger="1" minValue="1" maxValue="14"/>
    </cacheField>
    <cacheField name="Unit_Price" numFmtId="0">
      <sharedItems containsSemiMixedTypes="0" containsString="0" containsNumber="1" minValue="10" maxValue="1197.23"/>
    </cacheField>
    <cacheField name="Shipping_Cost" numFmtId="0">
      <sharedItems containsSemiMixedTypes="0" containsString="0" containsNumber="1" minValue="8" maxValue="112.5"/>
    </cacheField>
    <cacheField name="Inventory_Level" numFmtId="0">
      <sharedItems containsSemiMixedTypes="0" containsString="0" containsNumber="1" containsInteger="1" minValue="0" maxValue="399"/>
    </cacheField>
    <cacheField name="Profit" numFmtId="0">
      <sharedItems containsSemiMixedTypes="0" containsString="0" containsNumber="1" minValue="-452.61" maxValue="1225.71"/>
    </cacheField>
    <cacheField name="Delivery_Status" numFmtId="0">
      <sharedItems count="3">
        <s v="On Time"/>
        <s v="Critical Delay"/>
        <s v="Delayed"/>
      </sharedItems>
    </cacheField>
    <cacheField name="shipping_time" numFmtId="0">
      <sharedItems containsSemiMixedTypes="0" containsString="0" containsNumber="1" containsInteger="1" minValue="1" maxValue="17"/>
    </cacheField>
    <cacheField name="total_revenue" numFmtId="0">
      <sharedItems containsSemiMixedTypes="0" containsString="0" containsNumber="1" minValue="21.18" maxValue="3537.75"/>
    </cacheField>
    <cacheField name="total_cost" numFmtId="0">
      <sharedItems containsSemiMixedTypes="0" containsString="0" containsNumber="1" minValue="39.18" maxValue="3571.5"/>
    </cacheField>
    <cacheField name="Inventory_Health_Alert" numFmtId="0">
      <sharedItems count="3">
        <s v="Healthy"/>
        <s v="Low Stock"/>
        <s v="Critical Reorder"/>
      </sharedItems>
    </cacheField>
    <cacheField name="Months (Order_Date)" numFmtId="0" databaseField="0">
      <fieldGroup base="1">
        <rangePr groupBy="months" startDate="2023-01-01T00:00:00" endDate="2025-12-30T00:00:00"/>
        <groupItems count="14">
          <s v="&lt;01-01-2023"/>
          <s v="Jan"/>
          <s v="Feb"/>
          <s v="Mar"/>
          <s v="Apr"/>
          <s v="May"/>
          <s v="Jun"/>
          <s v="Jul"/>
          <s v="Aug"/>
          <s v="Sep"/>
          <s v="Oct"/>
          <s v="Nov"/>
          <s v="Dec"/>
          <s v="&gt;30-12-2025"/>
        </groupItems>
      </fieldGroup>
    </cacheField>
    <cacheField name="Quarters (Order_Date)" numFmtId="0" databaseField="0">
      <fieldGroup base="1">
        <rangePr groupBy="quarters" startDate="2023-01-01T00:00:00" endDate="2025-12-30T00:00:00"/>
        <groupItems count="6">
          <s v="&lt;01-01-2023"/>
          <s v="Qtr1"/>
          <s v="Qtr2"/>
          <s v="Qtr3"/>
          <s v="Qtr4"/>
          <s v="&gt;30-12-2025"/>
        </groupItems>
      </fieldGroup>
    </cacheField>
    <cacheField name="Years (Order_Date)" numFmtId="0" databaseField="0">
      <fieldGroup base="1">
        <rangePr groupBy="years" startDate="2023-01-01T00:00:00" endDate="2025-12-30T00:00:00"/>
        <groupItems count="5">
          <s v="&lt;01-01-2023"/>
          <s v="2023"/>
          <s v="2024"/>
          <s v="2025"/>
          <s v="&gt;30-12-2025"/>
        </groupItems>
      </fieldGroup>
    </cacheField>
  </cacheFields>
  <extLst>
    <ext xmlns:x14="http://schemas.microsoft.com/office/spreadsheetml/2009/9/main" uri="{725AE2AE-9491-48be-B2B4-4EB974FC3084}">
      <x14:pivotCacheDefinition pivotCacheId="1206420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0"/>
    <x v="0"/>
    <d v="2023-01-05T00:00:00"/>
    <x v="0"/>
    <x v="0"/>
    <x v="0"/>
    <x v="0"/>
    <x v="0"/>
    <n v="10"/>
    <n v="30.33"/>
    <n v="8"/>
    <n v="314"/>
    <n v="20.27"/>
    <x v="0"/>
    <n v="4"/>
    <n v="303.29999999999995"/>
    <n v="311.29999999999995"/>
    <x v="0"/>
  </r>
  <r>
    <s v="ORD-10001"/>
    <x v="0"/>
    <d v="2023-01-04T00:00:00"/>
    <x v="1"/>
    <x v="0"/>
    <x v="0"/>
    <x v="1"/>
    <x v="1"/>
    <n v="12"/>
    <n v="32.32"/>
    <n v="8"/>
    <n v="123"/>
    <n v="27.03"/>
    <x v="0"/>
    <n v="3"/>
    <n v="387.84000000000003"/>
    <n v="395.84000000000003"/>
    <x v="0"/>
  </r>
  <r>
    <s v="ORD-10002"/>
    <x v="1"/>
    <d v="2023-01-07T00:00:00"/>
    <x v="2"/>
    <x v="1"/>
    <x v="1"/>
    <x v="1"/>
    <x v="2"/>
    <n v="3"/>
    <n v="92.16"/>
    <n v="12"/>
    <n v="131"/>
    <n v="104.59"/>
    <x v="0"/>
    <n v="5"/>
    <n v="276.48"/>
    <n v="288.48"/>
    <x v="0"/>
  </r>
  <r>
    <s v="ORD-10003"/>
    <x v="1"/>
    <d v="2023-01-03T00:00:00"/>
    <x v="3"/>
    <x v="1"/>
    <x v="1"/>
    <x v="2"/>
    <x v="0"/>
    <n v="4"/>
    <n v="129.19999999999999"/>
    <n v="12"/>
    <n v="33"/>
    <n v="200.71"/>
    <x v="0"/>
    <n v="1"/>
    <n v="516.79999999999995"/>
    <n v="528.79999999999995"/>
    <x v="1"/>
  </r>
  <r>
    <s v="ORD-10004"/>
    <x v="1"/>
    <d v="2023-01-07T00:00:00"/>
    <x v="4"/>
    <x v="2"/>
    <x v="2"/>
    <x v="2"/>
    <x v="3"/>
    <n v="1"/>
    <n v="288.13"/>
    <n v="112.5"/>
    <n v="151"/>
    <n v="1.38"/>
    <x v="0"/>
    <n v="5"/>
    <n v="288.13"/>
    <n v="400.63"/>
    <x v="0"/>
  </r>
  <r>
    <s v="ORD-10005"/>
    <x v="1"/>
    <d v="2023-01-06T00:00:00"/>
    <x v="1"/>
    <x v="0"/>
    <x v="0"/>
    <x v="2"/>
    <x v="3"/>
    <n v="12"/>
    <n v="26.5"/>
    <n v="12"/>
    <n v="3"/>
    <n v="19.440000000000001"/>
    <x v="0"/>
    <n v="4"/>
    <n v="318"/>
    <n v="330"/>
    <x v="2"/>
  </r>
  <r>
    <s v="ORD-10006"/>
    <x v="1"/>
    <d v="2023-01-06T00:00:00"/>
    <x v="5"/>
    <x v="3"/>
    <x v="3"/>
    <x v="0"/>
    <x v="1"/>
    <n v="1"/>
    <n v="923.4"/>
    <n v="25"/>
    <n v="74"/>
    <n v="310.69"/>
    <x v="0"/>
    <n v="4"/>
    <n v="923.4"/>
    <n v="948.4"/>
    <x v="0"/>
  </r>
  <r>
    <s v="ORD-10007"/>
    <x v="2"/>
    <d v="2023-01-19T00:00:00"/>
    <x v="3"/>
    <x v="1"/>
    <x v="1"/>
    <x v="2"/>
    <x v="1"/>
    <n v="4"/>
    <n v="124.65"/>
    <n v="12"/>
    <n v="324"/>
    <n v="193.44"/>
    <x v="1"/>
    <n v="16"/>
    <n v="498.6"/>
    <n v="510.6"/>
    <x v="0"/>
  </r>
  <r>
    <s v="ORD-10008"/>
    <x v="2"/>
    <d v="2023-01-07T00:00:00"/>
    <x v="0"/>
    <x v="0"/>
    <x v="0"/>
    <x v="1"/>
    <x v="1"/>
    <n v="11"/>
    <n v="15.9"/>
    <n v="8"/>
    <n v="338"/>
    <n v="9.99"/>
    <x v="0"/>
    <n v="4"/>
    <n v="174.9"/>
    <n v="182.9"/>
    <x v="0"/>
  </r>
  <r>
    <s v="ORD-10009"/>
    <x v="3"/>
    <d v="2023-01-08T00:00:00"/>
    <x v="6"/>
    <x v="3"/>
    <x v="3"/>
    <x v="1"/>
    <x v="2"/>
    <n v="2"/>
    <n v="933.62"/>
    <n v="25"/>
    <n v="217"/>
    <n v="641.03"/>
    <x v="0"/>
    <n v="4"/>
    <n v="1867.24"/>
    <n v="1892.24"/>
    <x v="0"/>
  </r>
  <r>
    <s v="ORD-10010"/>
    <x v="3"/>
    <d v="2023-01-20T00:00:00"/>
    <x v="7"/>
    <x v="1"/>
    <x v="1"/>
    <x v="2"/>
    <x v="3"/>
    <n v="3"/>
    <n v="129.16999999999999"/>
    <n v="18"/>
    <n v="109"/>
    <n v="146.01"/>
    <x v="1"/>
    <n v="16"/>
    <n v="387.51"/>
    <n v="405.51"/>
    <x v="0"/>
  </r>
  <r>
    <s v="ORD-10011"/>
    <x v="4"/>
    <d v="2023-01-08T00:00:00"/>
    <x v="8"/>
    <x v="2"/>
    <x v="2"/>
    <x v="2"/>
    <x v="3"/>
    <n v="2"/>
    <n v="334.59"/>
    <n v="112.5"/>
    <n v="384"/>
    <n v="77.59"/>
    <x v="0"/>
    <n v="3"/>
    <n v="669.18"/>
    <n v="781.68"/>
    <x v="0"/>
  </r>
  <r>
    <s v="ORD-10012"/>
    <x v="4"/>
    <d v="2023-01-10T00:00:00"/>
    <x v="9"/>
    <x v="2"/>
    <x v="2"/>
    <x v="1"/>
    <x v="0"/>
    <n v="1"/>
    <n v="436.77"/>
    <n v="75"/>
    <n v="93"/>
    <n v="49.85"/>
    <x v="0"/>
    <n v="5"/>
    <n v="436.77"/>
    <n v="511.77"/>
    <x v="0"/>
  </r>
  <r>
    <s v="ORD-10013"/>
    <x v="5"/>
    <d v="2023-01-21T00:00:00"/>
    <x v="10"/>
    <x v="0"/>
    <x v="0"/>
    <x v="2"/>
    <x v="1"/>
    <n v="7"/>
    <n v="46.16"/>
    <n v="8"/>
    <n v="345"/>
    <n v="21.85"/>
    <x v="1"/>
    <n v="15"/>
    <n v="323.12"/>
    <n v="331.12"/>
    <x v="0"/>
  </r>
  <r>
    <s v="ORD-10014"/>
    <x v="6"/>
    <d v="2023-01-11T00:00:00"/>
    <x v="1"/>
    <x v="0"/>
    <x v="0"/>
    <x v="0"/>
    <x v="1"/>
    <n v="14"/>
    <n v="21.31"/>
    <n v="8"/>
    <n v="182"/>
    <n v="19.87"/>
    <x v="0"/>
    <n v="4"/>
    <n v="298.33999999999997"/>
    <n v="306.33999999999997"/>
    <x v="0"/>
  </r>
  <r>
    <s v="ORD-10015"/>
    <x v="6"/>
    <d v="2023-01-23T00:00:00"/>
    <x v="10"/>
    <x v="0"/>
    <x v="0"/>
    <x v="2"/>
    <x v="2"/>
    <n v="10"/>
    <n v="27.99"/>
    <n v="8"/>
    <n v="203"/>
    <n v="18.39"/>
    <x v="1"/>
    <n v="16"/>
    <n v="279.89999999999998"/>
    <n v="287.89999999999998"/>
    <x v="0"/>
  </r>
  <r>
    <s v="ORD-10016"/>
    <x v="6"/>
    <d v="2023-01-20T00:00:00"/>
    <x v="7"/>
    <x v="1"/>
    <x v="1"/>
    <x v="2"/>
    <x v="3"/>
    <n v="2"/>
    <n v="65.150000000000006"/>
    <n v="18"/>
    <n v="222"/>
    <n v="43.12"/>
    <x v="1"/>
    <n v="13"/>
    <n v="130.30000000000001"/>
    <n v="148.30000000000001"/>
    <x v="0"/>
  </r>
  <r>
    <s v="ORD-10017"/>
    <x v="7"/>
    <d v="2023-01-15T00:00:00"/>
    <x v="9"/>
    <x v="2"/>
    <x v="2"/>
    <x v="2"/>
    <x v="2"/>
    <n v="1"/>
    <n v="297.79000000000002"/>
    <n v="75"/>
    <n v="150"/>
    <n v="22.06"/>
    <x v="2"/>
    <n v="7"/>
    <n v="297.79000000000002"/>
    <n v="372.79"/>
    <x v="0"/>
  </r>
  <r>
    <s v="ORD-10018"/>
    <x v="8"/>
    <d v="2023-01-10T00:00:00"/>
    <x v="2"/>
    <x v="1"/>
    <x v="1"/>
    <x v="0"/>
    <x v="2"/>
    <n v="2"/>
    <n v="34.83"/>
    <n v="12"/>
    <n v="346"/>
    <n v="21.86"/>
    <x v="0"/>
    <n v="1"/>
    <n v="69.66"/>
    <n v="81.66"/>
    <x v="0"/>
  </r>
  <r>
    <s v="ORD-10019"/>
    <x v="8"/>
    <d v="2023-01-11T00:00:00"/>
    <x v="3"/>
    <x v="1"/>
    <x v="1"/>
    <x v="0"/>
    <x v="3"/>
    <n v="1"/>
    <n v="90.53"/>
    <n v="18"/>
    <n v="217"/>
    <n v="27.21"/>
    <x v="0"/>
    <n v="2"/>
    <n v="90.53"/>
    <n v="108.53"/>
    <x v="0"/>
  </r>
  <r>
    <s v="ORD-10020"/>
    <x v="9"/>
    <d v="2023-01-14T00:00:00"/>
    <x v="2"/>
    <x v="1"/>
    <x v="1"/>
    <x v="0"/>
    <x v="3"/>
    <n v="2"/>
    <n v="106.97"/>
    <n v="18"/>
    <n v="144"/>
    <n v="76.58"/>
    <x v="0"/>
    <n v="4"/>
    <n v="213.94"/>
    <n v="231.94"/>
    <x v="0"/>
  </r>
  <r>
    <s v="ORD-10021"/>
    <x v="9"/>
    <d v="2023-01-15T00:00:00"/>
    <x v="5"/>
    <x v="3"/>
    <x v="3"/>
    <x v="1"/>
    <x v="0"/>
    <n v="3"/>
    <n v="1178.06"/>
    <n v="25"/>
    <n v="51"/>
    <n v="1224.47"/>
    <x v="0"/>
    <n v="5"/>
    <n v="3534.18"/>
    <n v="3559.18"/>
    <x v="0"/>
  </r>
  <r>
    <s v="ORD-10022"/>
    <x v="9"/>
    <d v="2023-01-25T00:00:00"/>
    <x v="5"/>
    <x v="3"/>
    <x v="3"/>
    <x v="2"/>
    <x v="3"/>
    <n v="1"/>
    <n v="217.95"/>
    <n v="37.5"/>
    <n v="135"/>
    <n v="57.53"/>
    <x v="1"/>
    <n v="15"/>
    <n v="217.95"/>
    <n v="255.45"/>
    <x v="0"/>
  </r>
  <r>
    <s v="ORD-10023"/>
    <x v="10"/>
    <d v="2023-01-13T00:00:00"/>
    <x v="7"/>
    <x v="1"/>
    <x v="1"/>
    <x v="0"/>
    <x v="1"/>
    <n v="3"/>
    <n v="91.83"/>
    <n v="12"/>
    <n v="116"/>
    <n v="104.19"/>
    <x v="0"/>
    <n v="2"/>
    <n v="275.49"/>
    <n v="287.49"/>
    <x v="0"/>
  </r>
  <r>
    <s v="ORD-10024"/>
    <x v="10"/>
    <d v="2023-01-27T00:00:00"/>
    <x v="2"/>
    <x v="1"/>
    <x v="1"/>
    <x v="2"/>
    <x v="3"/>
    <n v="3"/>
    <n v="71.66"/>
    <n v="18"/>
    <n v="326"/>
    <n v="76.989999999999995"/>
    <x v="1"/>
    <n v="16"/>
    <n v="214.98"/>
    <n v="232.98"/>
    <x v="0"/>
  </r>
  <r>
    <s v="ORD-10025"/>
    <x v="10"/>
    <d v="2023-01-13T00:00:00"/>
    <x v="11"/>
    <x v="3"/>
    <x v="3"/>
    <x v="0"/>
    <x v="0"/>
    <n v="3"/>
    <n v="476.44"/>
    <n v="25"/>
    <n v="257"/>
    <n v="487.77"/>
    <x v="0"/>
    <n v="2"/>
    <n v="1429.32"/>
    <n v="1454.32"/>
    <x v="0"/>
  </r>
  <r>
    <s v="ORD-10026"/>
    <x v="10"/>
    <d v="2023-01-14T00:00:00"/>
    <x v="6"/>
    <x v="3"/>
    <x v="3"/>
    <x v="2"/>
    <x v="1"/>
    <n v="1"/>
    <n v="813.47"/>
    <n v="25"/>
    <n v="133"/>
    <n v="272.20999999999998"/>
    <x v="0"/>
    <n v="3"/>
    <n v="813.47"/>
    <n v="838.47"/>
    <x v="0"/>
  </r>
  <r>
    <s v="ORD-10027"/>
    <x v="11"/>
    <d v="2023-01-15T00:00:00"/>
    <x v="12"/>
    <x v="3"/>
    <x v="3"/>
    <x v="2"/>
    <x v="3"/>
    <n v="3"/>
    <n v="932.64"/>
    <n v="37.5"/>
    <n v="385"/>
    <n v="960.52"/>
    <x v="0"/>
    <n v="3"/>
    <n v="2797.92"/>
    <n v="2835.42"/>
    <x v="0"/>
  </r>
  <r>
    <s v="ORD-10028"/>
    <x v="11"/>
    <d v="2023-01-16T00:00:00"/>
    <x v="10"/>
    <x v="0"/>
    <x v="0"/>
    <x v="0"/>
    <x v="0"/>
    <n v="9"/>
    <n v="29.41"/>
    <n v="8"/>
    <n v="279"/>
    <n v="17.18"/>
    <x v="0"/>
    <n v="4"/>
    <n v="264.69"/>
    <n v="272.69"/>
    <x v="0"/>
  </r>
  <r>
    <s v="ORD-10029"/>
    <x v="11"/>
    <d v="2023-01-16T00:00:00"/>
    <x v="13"/>
    <x v="4"/>
    <x v="4"/>
    <x v="1"/>
    <x v="0"/>
    <n v="3"/>
    <n v="109.29"/>
    <n v="12"/>
    <n v="300"/>
    <n v="141.55000000000001"/>
    <x v="0"/>
    <n v="4"/>
    <n v="327.87"/>
    <n v="339.87"/>
    <x v="0"/>
  </r>
  <r>
    <s v="ORD-10030"/>
    <x v="11"/>
    <d v="2023-01-15T00:00:00"/>
    <x v="14"/>
    <x v="4"/>
    <x v="4"/>
    <x v="2"/>
    <x v="3"/>
    <n v="1"/>
    <n v="63.79"/>
    <n v="18"/>
    <n v="153"/>
    <n v="19.71"/>
    <x v="0"/>
    <n v="3"/>
    <n v="63.79"/>
    <n v="81.789999999999992"/>
    <x v="0"/>
  </r>
  <r>
    <s v="ORD-10031"/>
    <x v="12"/>
    <d v="2023-01-15T00:00:00"/>
    <x v="14"/>
    <x v="4"/>
    <x v="4"/>
    <x v="0"/>
    <x v="2"/>
    <n v="3"/>
    <n v="53.06"/>
    <n v="12"/>
    <n v="305"/>
    <n v="65.64"/>
    <x v="0"/>
    <n v="2"/>
    <n v="159.18"/>
    <n v="171.18"/>
    <x v="0"/>
  </r>
  <r>
    <s v="ORD-10032"/>
    <x v="13"/>
    <d v="2023-01-16T00:00:00"/>
    <x v="12"/>
    <x v="3"/>
    <x v="3"/>
    <x v="2"/>
    <x v="3"/>
    <n v="2"/>
    <n v="439.87"/>
    <n v="37.5"/>
    <n v="357"/>
    <n v="289.16000000000003"/>
    <x v="0"/>
    <n v="2"/>
    <n v="879.74"/>
    <n v="917.24"/>
    <x v="0"/>
  </r>
  <r>
    <s v="ORD-10033"/>
    <x v="13"/>
    <d v="2023-01-19T00:00:00"/>
    <x v="2"/>
    <x v="1"/>
    <x v="1"/>
    <x v="0"/>
    <x v="1"/>
    <n v="3"/>
    <n v="124.81"/>
    <n v="12"/>
    <n v="231"/>
    <n v="143.77000000000001"/>
    <x v="0"/>
    <n v="5"/>
    <n v="374.43"/>
    <n v="386.43"/>
    <x v="0"/>
  </r>
  <r>
    <s v="ORD-10034"/>
    <x v="13"/>
    <d v="2023-01-17T00:00:00"/>
    <x v="10"/>
    <x v="0"/>
    <x v="0"/>
    <x v="2"/>
    <x v="3"/>
    <n v="13"/>
    <n v="17"/>
    <n v="12"/>
    <n v="266"/>
    <n v="11.68"/>
    <x v="0"/>
    <n v="3"/>
    <n v="221"/>
    <n v="233"/>
    <x v="0"/>
  </r>
  <r>
    <s v="ORD-10035"/>
    <x v="14"/>
    <d v="2023-01-19T00:00:00"/>
    <x v="7"/>
    <x v="1"/>
    <x v="1"/>
    <x v="2"/>
    <x v="3"/>
    <n v="5"/>
    <n v="119.21"/>
    <n v="18"/>
    <n v="161"/>
    <n v="229.42"/>
    <x v="0"/>
    <n v="4"/>
    <n v="596.04999999999995"/>
    <n v="614.04999999999995"/>
    <x v="0"/>
  </r>
  <r>
    <s v="ORD-10036"/>
    <x v="14"/>
    <d v="2023-01-19T00:00:00"/>
    <x v="10"/>
    <x v="0"/>
    <x v="0"/>
    <x v="0"/>
    <x v="1"/>
    <n v="5"/>
    <n v="20.41"/>
    <n v="8"/>
    <n v="1"/>
    <n v="4.16"/>
    <x v="0"/>
    <n v="4"/>
    <n v="102.05"/>
    <n v="110.05"/>
    <x v="2"/>
  </r>
  <r>
    <s v="ORD-10037"/>
    <x v="15"/>
    <d v="2023-01-18T00:00:00"/>
    <x v="4"/>
    <x v="2"/>
    <x v="2"/>
    <x v="2"/>
    <x v="3"/>
    <n v="2"/>
    <n v="144.29"/>
    <n v="112.5"/>
    <n v="363"/>
    <n v="-43.29"/>
    <x v="0"/>
    <n v="2"/>
    <n v="288.58"/>
    <n v="401.08"/>
    <x v="0"/>
  </r>
  <r>
    <s v="ORD-10038"/>
    <x v="16"/>
    <d v="2023-01-30T00:00:00"/>
    <x v="6"/>
    <x v="3"/>
    <x v="3"/>
    <x v="2"/>
    <x v="1"/>
    <n v="3"/>
    <n v="1026.04"/>
    <n v="25"/>
    <n v="192"/>
    <n v="1064.8399999999999"/>
    <x v="1"/>
    <n v="13"/>
    <n v="3078.12"/>
    <n v="3103.12"/>
    <x v="0"/>
  </r>
  <r>
    <s v="ORD-10039"/>
    <x v="16"/>
    <d v="2023-01-31T00:00:00"/>
    <x v="3"/>
    <x v="1"/>
    <x v="1"/>
    <x v="2"/>
    <x v="1"/>
    <n v="4"/>
    <n v="35.630000000000003"/>
    <n v="12"/>
    <n v="305"/>
    <n v="51.01"/>
    <x v="1"/>
    <n v="14"/>
    <n v="142.52000000000001"/>
    <n v="154.52000000000001"/>
    <x v="0"/>
  </r>
  <r>
    <s v="ORD-10040"/>
    <x v="16"/>
    <d v="2023-01-20T00:00:00"/>
    <x v="4"/>
    <x v="2"/>
    <x v="2"/>
    <x v="0"/>
    <x v="2"/>
    <n v="2"/>
    <n v="190.54"/>
    <n v="75"/>
    <n v="215"/>
    <n v="38.72"/>
    <x v="0"/>
    <n v="3"/>
    <n v="381.08"/>
    <n v="456.08"/>
    <x v="0"/>
  </r>
  <r>
    <s v="ORD-10041"/>
    <x v="17"/>
    <d v="2023-01-23T00:00:00"/>
    <x v="14"/>
    <x v="4"/>
    <x v="4"/>
    <x v="0"/>
    <x v="2"/>
    <n v="1"/>
    <n v="97.12"/>
    <n v="12"/>
    <n v="274"/>
    <n v="37.700000000000003"/>
    <x v="0"/>
    <n v="5"/>
    <n v="97.12"/>
    <n v="109.12"/>
    <x v="0"/>
  </r>
  <r>
    <s v="ORD-10042"/>
    <x v="17"/>
    <d v="2023-01-25T00:00:00"/>
    <x v="10"/>
    <x v="0"/>
    <x v="0"/>
    <x v="2"/>
    <x v="3"/>
    <n v="6"/>
    <n v="49.82"/>
    <n v="12"/>
    <n v="323"/>
    <n v="17.91"/>
    <x v="2"/>
    <n v="7"/>
    <n v="298.92"/>
    <n v="310.92"/>
    <x v="0"/>
  </r>
  <r>
    <s v="ORD-10043"/>
    <x v="18"/>
    <d v="2023-01-23T00:00:00"/>
    <x v="10"/>
    <x v="0"/>
    <x v="0"/>
    <x v="0"/>
    <x v="0"/>
    <n v="12"/>
    <n v="43.17"/>
    <n v="8"/>
    <n v="6"/>
    <n v="37.44"/>
    <x v="0"/>
    <n v="4"/>
    <n v="518.04"/>
    <n v="526.04"/>
    <x v="2"/>
  </r>
  <r>
    <s v="ORD-10044"/>
    <x v="19"/>
    <d v="2023-01-25T00:00:00"/>
    <x v="14"/>
    <x v="4"/>
    <x v="4"/>
    <x v="1"/>
    <x v="0"/>
    <n v="4"/>
    <n v="64.31"/>
    <n v="12"/>
    <n v="251"/>
    <n v="109.75"/>
    <x v="0"/>
    <n v="5"/>
    <n v="257.24"/>
    <n v="269.24"/>
    <x v="0"/>
  </r>
  <r>
    <s v="ORD-10045"/>
    <x v="20"/>
    <d v="2023-01-26T00:00:00"/>
    <x v="10"/>
    <x v="0"/>
    <x v="0"/>
    <x v="0"/>
    <x v="1"/>
    <n v="11"/>
    <n v="19.5"/>
    <n v="8"/>
    <n v="95"/>
    <n v="13.16"/>
    <x v="0"/>
    <n v="5"/>
    <n v="214.5"/>
    <n v="222.5"/>
    <x v="0"/>
  </r>
  <r>
    <s v="ORD-10046"/>
    <x v="20"/>
    <d v="2023-02-02T00:00:00"/>
    <x v="13"/>
    <x v="4"/>
    <x v="4"/>
    <x v="2"/>
    <x v="3"/>
    <n v="1"/>
    <n v="116.67"/>
    <n v="18"/>
    <n v="281"/>
    <n v="43.5"/>
    <x v="1"/>
    <n v="12"/>
    <n v="116.67"/>
    <n v="134.67000000000002"/>
    <x v="0"/>
  </r>
  <r>
    <s v="ORD-10047"/>
    <x v="20"/>
    <d v="2023-01-24T00:00:00"/>
    <x v="12"/>
    <x v="3"/>
    <x v="3"/>
    <x v="2"/>
    <x v="3"/>
    <n v="1"/>
    <n v="650.47"/>
    <n v="37.5"/>
    <n v="161"/>
    <n v="208.91"/>
    <x v="0"/>
    <n v="3"/>
    <n v="650.47"/>
    <n v="687.97"/>
    <x v="0"/>
  </r>
  <r>
    <s v="ORD-10048"/>
    <x v="20"/>
    <d v="2023-01-25T00:00:00"/>
    <x v="3"/>
    <x v="1"/>
    <x v="1"/>
    <x v="0"/>
    <x v="1"/>
    <n v="1"/>
    <n v="131.04"/>
    <n v="12"/>
    <n v="62"/>
    <n v="46.42"/>
    <x v="0"/>
    <n v="4"/>
    <n v="131.04"/>
    <n v="143.04"/>
    <x v="0"/>
  </r>
  <r>
    <s v="ORD-10049"/>
    <x v="20"/>
    <d v="2023-01-22T00:00:00"/>
    <x v="12"/>
    <x v="3"/>
    <x v="3"/>
    <x v="2"/>
    <x v="3"/>
    <n v="2"/>
    <n v="418.51"/>
    <n v="37.5"/>
    <n v="252"/>
    <n v="274.20999999999998"/>
    <x v="0"/>
    <n v="1"/>
    <n v="837.02"/>
    <n v="874.52"/>
    <x v="0"/>
  </r>
  <r>
    <s v="ORD-10050"/>
    <x v="21"/>
    <d v="2023-01-25T00:00:00"/>
    <x v="4"/>
    <x v="2"/>
    <x v="2"/>
    <x v="0"/>
    <x v="2"/>
    <n v="1"/>
    <n v="451.95"/>
    <n v="75"/>
    <n v="211"/>
    <n v="52.89"/>
    <x v="0"/>
    <n v="3"/>
    <n v="451.95"/>
    <n v="526.95000000000005"/>
    <x v="0"/>
  </r>
  <r>
    <s v="ORD-10051"/>
    <x v="21"/>
    <d v="2023-01-26T00:00:00"/>
    <x v="5"/>
    <x v="3"/>
    <x v="3"/>
    <x v="1"/>
    <x v="0"/>
    <n v="3"/>
    <n v="365.2"/>
    <n v="25"/>
    <n v="128"/>
    <n v="370.96"/>
    <x v="0"/>
    <n v="4"/>
    <n v="1095.5999999999999"/>
    <n v="1120.5999999999999"/>
    <x v="0"/>
  </r>
  <r>
    <s v="ORD-10052"/>
    <x v="21"/>
    <d v="2023-01-23T00:00:00"/>
    <x v="1"/>
    <x v="0"/>
    <x v="0"/>
    <x v="2"/>
    <x v="3"/>
    <n v="13"/>
    <n v="38.86"/>
    <n v="12"/>
    <n v="6"/>
    <n v="34.409999999999997"/>
    <x v="0"/>
    <n v="1"/>
    <n v="505.18"/>
    <n v="517.18000000000006"/>
    <x v="2"/>
  </r>
  <r>
    <s v="ORD-10053"/>
    <x v="22"/>
    <d v="2023-02-08T00:00:00"/>
    <x v="10"/>
    <x v="0"/>
    <x v="0"/>
    <x v="2"/>
    <x v="3"/>
    <n v="9"/>
    <n v="36.51"/>
    <n v="12"/>
    <n v="103"/>
    <n v="20.28"/>
    <x v="1"/>
    <n v="16"/>
    <n v="328.59"/>
    <n v="340.59"/>
    <x v="0"/>
  </r>
  <r>
    <s v="ORD-10054"/>
    <x v="22"/>
    <d v="2023-01-31T00:00:00"/>
    <x v="4"/>
    <x v="2"/>
    <x v="2"/>
    <x v="2"/>
    <x v="1"/>
    <n v="2"/>
    <n v="358.44"/>
    <n v="75"/>
    <n v="350"/>
    <n v="105.88"/>
    <x v="2"/>
    <n v="8"/>
    <n v="716.88"/>
    <n v="791.88"/>
    <x v="0"/>
  </r>
  <r>
    <s v="ORD-10055"/>
    <x v="23"/>
    <d v="2023-01-27T00:00:00"/>
    <x v="6"/>
    <x v="3"/>
    <x v="3"/>
    <x v="2"/>
    <x v="3"/>
    <n v="3"/>
    <n v="923.97"/>
    <n v="37.5"/>
    <n v="112"/>
    <n v="951.42"/>
    <x v="0"/>
    <n v="3"/>
    <n v="2771.91"/>
    <n v="2809.41"/>
    <x v="0"/>
  </r>
  <r>
    <s v="ORD-10056"/>
    <x v="24"/>
    <d v="2023-01-30T00:00:00"/>
    <x v="6"/>
    <x v="3"/>
    <x v="3"/>
    <x v="2"/>
    <x v="3"/>
    <n v="3"/>
    <n v="648.85"/>
    <n v="37.5"/>
    <n v="376"/>
    <n v="662.55"/>
    <x v="0"/>
    <n v="5"/>
    <n v="1946.5500000000002"/>
    <n v="1984.0500000000002"/>
    <x v="0"/>
  </r>
  <r>
    <s v="ORD-10057"/>
    <x v="24"/>
    <d v="2023-01-30T00:00:00"/>
    <x v="5"/>
    <x v="3"/>
    <x v="3"/>
    <x v="0"/>
    <x v="0"/>
    <n v="2"/>
    <n v="1045.5999999999999"/>
    <n v="25"/>
    <n v="118"/>
    <n v="719.42"/>
    <x v="0"/>
    <n v="5"/>
    <n v="2091.1999999999998"/>
    <n v="2116.1999999999998"/>
    <x v="0"/>
  </r>
  <r>
    <s v="ORD-10058"/>
    <x v="24"/>
    <d v="2023-01-26T00:00:00"/>
    <x v="8"/>
    <x v="2"/>
    <x v="2"/>
    <x v="2"/>
    <x v="3"/>
    <n v="1"/>
    <n v="253.7"/>
    <n v="112.5"/>
    <n v="354"/>
    <n v="-5.51"/>
    <x v="0"/>
    <n v="1"/>
    <n v="253.7"/>
    <n v="366.2"/>
    <x v="0"/>
  </r>
  <r>
    <s v="ORD-10059"/>
    <x v="25"/>
    <d v="2023-02-07T00:00:00"/>
    <x v="4"/>
    <x v="2"/>
    <x v="2"/>
    <x v="2"/>
    <x v="1"/>
    <n v="2"/>
    <n v="340.43"/>
    <n v="75"/>
    <n v="186"/>
    <n v="98.67"/>
    <x v="1"/>
    <n v="11"/>
    <n v="680.86"/>
    <n v="755.86"/>
    <x v="0"/>
  </r>
  <r>
    <s v="ORD-10060"/>
    <x v="25"/>
    <d v="2023-02-08T00:00:00"/>
    <x v="10"/>
    <x v="0"/>
    <x v="0"/>
    <x v="2"/>
    <x v="3"/>
    <n v="14"/>
    <n v="16.18"/>
    <n v="12"/>
    <n v="145"/>
    <n v="12.12"/>
    <x v="1"/>
    <n v="12"/>
    <n v="226.51999999999998"/>
    <n v="238.51999999999998"/>
    <x v="0"/>
  </r>
  <r>
    <s v="ORD-10061"/>
    <x v="26"/>
    <d v="2023-01-31T00:00:00"/>
    <x v="0"/>
    <x v="0"/>
    <x v="0"/>
    <x v="2"/>
    <x v="0"/>
    <n v="5"/>
    <n v="14.21"/>
    <n v="8"/>
    <n v="395"/>
    <n v="1.68"/>
    <x v="0"/>
    <n v="3"/>
    <n v="71.050000000000011"/>
    <n v="79.050000000000011"/>
    <x v="0"/>
  </r>
  <r>
    <s v="ORD-10062"/>
    <x v="26"/>
    <d v="2023-02-08T00:00:00"/>
    <x v="6"/>
    <x v="3"/>
    <x v="3"/>
    <x v="2"/>
    <x v="3"/>
    <n v="2"/>
    <n v="587.99"/>
    <n v="37.5"/>
    <n v="281"/>
    <n v="392.84"/>
    <x v="1"/>
    <n v="11"/>
    <n v="1175.98"/>
    <n v="1213.48"/>
    <x v="0"/>
  </r>
  <r>
    <s v="ORD-10063"/>
    <x v="26"/>
    <d v="2023-02-01T00:00:00"/>
    <x v="9"/>
    <x v="2"/>
    <x v="2"/>
    <x v="0"/>
    <x v="2"/>
    <n v="1"/>
    <n v="482.37"/>
    <n v="75"/>
    <n v="153"/>
    <n v="58.97"/>
    <x v="0"/>
    <n v="4"/>
    <n v="482.37"/>
    <n v="557.37"/>
    <x v="0"/>
  </r>
  <r>
    <s v="ORD-10064"/>
    <x v="27"/>
    <d v="2023-02-02T00:00:00"/>
    <x v="14"/>
    <x v="4"/>
    <x v="4"/>
    <x v="0"/>
    <x v="0"/>
    <n v="4"/>
    <n v="98.89"/>
    <n v="12"/>
    <n v="243"/>
    <n v="-59.34"/>
    <x v="0"/>
    <n v="4"/>
    <n v="395.56"/>
    <n v="407.56"/>
    <x v="0"/>
  </r>
  <r>
    <s v="ORD-10065"/>
    <x v="27"/>
    <d v="2023-01-31T00:00:00"/>
    <x v="15"/>
    <x v="4"/>
    <x v="4"/>
    <x v="0"/>
    <x v="0"/>
    <n v="5"/>
    <n v="41.88"/>
    <n v="12"/>
    <n v="61"/>
    <n v="88.24"/>
    <x v="0"/>
    <n v="2"/>
    <n v="209.4"/>
    <n v="221.4"/>
    <x v="0"/>
  </r>
  <r>
    <s v="ORD-10066"/>
    <x v="27"/>
    <d v="2023-02-12T00:00:00"/>
    <x v="8"/>
    <x v="2"/>
    <x v="2"/>
    <x v="2"/>
    <x v="3"/>
    <n v="1"/>
    <n v="370.95"/>
    <n v="112.5"/>
    <n v="378"/>
    <n v="17.940000000000001"/>
    <x v="1"/>
    <n v="14"/>
    <n v="370.95"/>
    <n v="483.45"/>
    <x v="0"/>
  </r>
  <r>
    <s v="ORD-10067"/>
    <x v="27"/>
    <d v="2023-01-30T00:00:00"/>
    <x v="13"/>
    <x v="4"/>
    <x v="4"/>
    <x v="2"/>
    <x v="3"/>
    <n v="3"/>
    <n v="121.71"/>
    <n v="18"/>
    <n v="123"/>
    <n v="155.31"/>
    <x v="0"/>
    <n v="1"/>
    <n v="365.13"/>
    <n v="383.13"/>
    <x v="0"/>
  </r>
  <r>
    <s v="ORD-10068"/>
    <x v="27"/>
    <d v="2023-02-03T00:00:00"/>
    <x v="2"/>
    <x v="1"/>
    <x v="1"/>
    <x v="0"/>
    <x v="1"/>
    <n v="3"/>
    <n v="112.42"/>
    <n v="12"/>
    <n v="110"/>
    <n v="128.9"/>
    <x v="0"/>
    <n v="5"/>
    <n v="337.26"/>
    <n v="349.26"/>
    <x v="0"/>
  </r>
  <r>
    <s v="ORD-10069"/>
    <x v="27"/>
    <d v="2023-01-30T00:00:00"/>
    <x v="3"/>
    <x v="1"/>
    <x v="1"/>
    <x v="1"/>
    <x v="0"/>
    <n v="3"/>
    <n v="36.979999999999997"/>
    <n v="12"/>
    <n v="24"/>
    <n v="38.380000000000003"/>
    <x v="0"/>
    <n v="1"/>
    <n v="110.94"/>
    <n v="122.94"/>
    <x v="1"/>
  </r>
  <r>
    <s v="ORD-10070"/>
    <x v="28"/>
    <d v="2023-02-03T00:00:00"/>
    <x v="1"/>
    <x v="0"/>
    <x v="0"/>
    <x v="2"/>
    <x v="0"/>
    <n v="7"/>
    <n v="15.95"/>
    <n v="8"/>
    <n v="3"/>
    <n v="4.93"/>
    <x v="0"/>
    <n v="2"/>
    <n v="111.64999999999999"/>
    <n v="119.64999999999999"/>
    <x v="2"/>
  </r>
  <r>
    <s v="ORD-10071"/>
    <x v="29"/>
    <d v="2023-02-08T00:00:00"/>
    <x v="7"/>
    <x v="1"/>
    <x v="1"/>
    <x v="1"/>
    <x v="1"/>
    <n v="1"/>
    <n v="98.75"/>
    <n v="12"/>
    <n v="198"/>
    <n v="33.5"/>
    <x v="0"/>
    <n v="5"/>
    <n v="98.75"/>
    <n v="110.75"/>
    <x v="0"/>
  </r>
  <r>
    <s v="ORD-10072"/>
    <x v="29"/>
    <d v="2023-02-04T00:00:00"/>
    <x v="13"/>
    <x v="4"/>
    <x v="4"/>
    <x v="1"/>
    <x v="0"/>
    <n v="4"/>
    <n v="119.39"/>
    <n v="12"/>
    <n v="182"/>
    <n v="208.9"/>
    <x v="0"/>
    <n v="1"/>
    <n v="477.56"/>
    <n v="489.56"/>
    <x v="0"/>
  </r>
  <r>
    <s v="ORD-10073"/>
    <x v="29"/>
    <d v="2023-02-16T00:00:00"/>
    <x v="12"/>
    <x v="3"/>
    <x v="3"/>
    <x v="2"/>
    <x v="3"/>
    <n v="3"/>
    <n v="1093.0899999999999"/>
    <n v="37.5"/>
    <n v="342"/>
    <n v="1128.99"/>
    <x v="1"/>
    <n v="13"/>
    <n v="3279.2699999999995"/>
    <n v="3316.7699999999995"/>
    <x v="0"/>
  </r>
  <r>
    <s v="ORD-10074"/>
    <x v="30"/>
    <d v="2023-02-09T00:00:00"/>
    <x v="5"/>
    <x v="3"/>
    <x v="3"/>
    <x v="0"/>
    <x v="0"/>
    <n v="2"/>
    <n v="922.71"/>
    <n v="25"/>
    <n v="339"/>
    <n v="633.39"/>
    <x v="0"/>
    <n v="5"/>
    <n v="1845.42"/>
    <n v="1870.42"/>
    <x v="0"/>
  </r>
  <r>
    <s v="ORD-10075"/>
    <x v="30"/>
    <d v="2023-02-06T00:00:00"/>
    <x v="8"/>
    <x v="2"/>
    <x v="2"/>
    <x v="1"/>
    <x v="2"/>
    <n v="1"/>
    <n v="482.98"/>
    <n v="75"/>
    <n v="389"/>
    <n v="59.1"/>
    <x v="0"/>
    <n v="2"/>
    <n v="482.98"/>
    <n v="557.98"/>
    <x v="0"/>
  </r>
  <r>
    <s v="ORD-10076"/>
    <x v="30"/>
    <d v="2023-02-09T00:00:00"/>
    <x v="0"/>
    <x v="0"/>
    <x v="0"/>
    <x v="2"/>
    <x v="3"/>
    <n v="9"/>
    <n v="23.67"/>
    <n v="12"/>
    <n v="7"/>
    <n v="11.04"/>
    <x v="0"/>
    <n v="5"/>
    <n v="213.03000000000003"/>
    <n v="225.03000000000003"/>
    <x v="2"/>
  </r>
  <r>
    <s v="ORD-10077"/>
    <x v="31"/>
    <d v="2023-02-08T00:00:00"/>
    <x v="1"/>
    <x v="0"/>
    <x v="0"/>
    <x v="1"/>
    <x v="2"/>
    <n v="11"/>
    <n v="14.18"/>
    <n v="8"/>
    <n v="3"/>
    <n v="8.48"/>
    <x v="0"/>
    <n v="3"/>
    <n v="155.97999999999999"/>
    <n v="163.98"/>
    <x v="2"/>
  </r>
  <r>
    <s v="ORD-10078"/>
    <x v="31"/>
    <d v="2023-02-18T00:00:00"/>
    <x v="9"/>
    <x v="2"/>
    <x v="2"/>
    <x v="2"/>
    <x v="3"/>
    <n v="1"/>
    <n v="379.1"/>
    <n v="112.5"/>
    <n v="142"/>
    <n v="19.57"/>
    <x v="1"/>
    <n v="13"/>
    <n v="379.1"/>
    <n v="491.6"/>
    <x v="0"/>
  </r>
  <r>
    <s v="ORD-10079"/>
    <x v="31"/>
    <d v="2023-02-08T00:00:00"/>
    <x v="1"/>
    <x v="0"/>
    <x v="0"/>
    <x v="2"/>
    <x v="3"/>
    <n v="12"/>
    <n v="12.92"/>
    <n v="12"/>
    <n v="314"/>
    <n v="6.4"/>
    <x v="0"/>
    <n v="3"/>
    <n v="155.04"/>
    <n v="167.04"/>
    <x v="0"/>
  </r>
  <r>
    <s v="ORD-10080"/>
    <x v="32"/>
    <d v="2023-02-11T00:00:00"/>
    <x v="15"/>
    <x v="4"/>
    <x v="4"/>
    <x v="1"/>
    <x v="0"/>
    <n v="5"/>
    <n v="61.79"/>
    <n v="12"/>
    <n v="252"/>
    <n v="133.04"/>
    <x v="0"/>
    <n v="5"/>
    <n v="308.95"/>
    <n v="320.95"/>
    <x v="0"/>
  </r>
  <r>
    <s v="ORD-10081"/>
    <x v="32"/>
    <d v="2023-02-08T00:00:00"/>
    <x v="12"/>
    <x v="3"/>
    <x v="3"/>
    <x v="2"/>
    <x v="3"/>
    <n v="1"/>
    <n v="322.92"/>
    <n v="37.5"/>
    <n v="51"/>
    <n v="94.27"/>
    <x v="0"/>
    <n v="2"/>
    <n v="322.92"/>
    <n v="360.42"/>
    <x v="0"/>
  </r>
  <r>
    <s v="ORD-10082"/>
    <x v="32"/>
    <d v="2023-02-19T00:00:00"/>
    <x v="1"/>
    <x v="0"/>
    <x v="0"/>
    <x v="2"/>
    <x v="3"/>
    <n v="8"/>
    <n v="28.53"/>
    <n v="12"/>
    <n v="49"/>
    <n v="12.26"/>
    <x v="1"/>
    <n v="13"/>
    <n v="228.24"/>
    <n v="240.24"/>
    <x v="1"/>
  </r>
  <r>
    <s v="ORD-10083"/>
    <x v="33"/>
    <d v="2023-02-08T00:00:00"/>
    <x v="1"/>
    <x v="0"/>
    <x v="0"/>
    <x v="1"/>
    <x v="0"/>
    <n v="12"/>
    <n v="45.28"/>
    <n v="8"/>
    <n v="0"/>
    <n v="39.47"/>
    <x v="0"/>
    <n v="1"/>
    <n v="543.36"/>
    <n v="551.36"/>
    <x v="2"/>
  </r>
  <r>
    <s v="ORD-10084"/>
    <x v="33"/>
    <d v="2023-02-09T00:00:00"/>
    <x v="5"/>
    <x v="3"/>
    <x v="3"/>
    <x v="2"/>
    <x v="0"/>
    <n v="2"/>
    <n v="476.17"/>
    <n v="25"/>
    <n v="107"/>
    <n v="320.82"/>
    <x v="0"/>
    <n v="2"/>
    <n v="952.34"/>
    <n v="977.34"/>
    <x v="0"/>
  </r>
  <r>
    <s v="ORD-10085"/>
    <x v="34"/>
    <d v="2023-02-12T00:00:00"/>
    <x v="4"/>
    <x v="2"/>
    <x v="2"/>
    <x v="0"/>
    <x v="2"/>
    <n v="1"/>
    <n v="430.69"/>
    <n v="75"/>
    <n v="181"/>
    <n v="48.64"/>
    <x v="0"/>
    <n v="4"/>
    <n v="430.69"/>
    <n v="505.69"/>
    <x v="0"/>
  </r>
  <r>
    <s v="ORD-10086"/>
    <x v="34"/>
    <d v="2023-02-10T00:00:00"/>
    <x v="2"/>
    <x v="1"/>
    <x v="1"/>
    <x v="1"/>
    <x v="2"/>
    <n v="4"/>
    <n v="74.91"/>
    <n v="12"/>
    <n v="205"/>
    <n v="113.86"/>
    <x v="0"/>
    <n v="2"/>
    <n v="299.64"/>
    <n v="311.64"/>
    <x v="0"/>
  </r>
  <r>
    <s v="ORD-10087"/>
    <x v="34"/>
    <d v="2023-02-13T00:00:00"/>
    <x v="7"/>
    <x v="1"/>
    <x v="1"/>
    <x v="0"/>
    <x v="2"/>
    <n v="5"/>
    <n v="20.57"/>
    <n v="12"/>
    <n v="32"/>
    <n v="35.14"/>
    <x v="0"/>
    <n v="5"/>
    <n v="102.85"/>
    <n v="114.85"/>
    <x v="1"/>
  </r>
  <r>
    <s v="ORD-10088"/>
    <x v="34"/>
    <d v="2023-02-12T00:00:00"/>
    <x v="13"/>
    <x v="4"/>
    <x v="4"/>
    <x v="0"/>
    <x v="1"/>
    <n v="1"/>
    <n v="142.72"/>
    <n v="12"/>
    <n v="230"/>
    <n v="58.22"/>
    <x v="0"/>
    <n v="4"/>
    <n v="142.72"/>
    <n v="154.72"/>
    <x v="0"/>
  </r>
  <r>
    <s v="ORD-10089"/>
    <x v="35"/>
    <d v="2023-02-22T00:00:00"/>
    <x v="13"/>
    <x v="4"/>
    <x v="4"/>
    <x v="2"/>
    <x v="3"/>
    <n v="1"/>
    <n v="85.05"/>
    <n v="18"/>
    <n v="165"/>
    <n v="29.27"/>
    <x v="1"/>
    <n v="13"/>
    <n v="85.05"/>
    <n v="103.05"/>
    <x v="0"/>
  </r>
  <r>
    <s v="ORD-10090"/>
    <x v="35"/>
    <d v="2023-02-14T00:00:00"/>
    <x v="10"/>
    <x v="0"/>
    <x v="0"/>
    <x v="0"/>
    <x v="0"/>
    <n v="13"/>
    <n v="38.79"/>
    <n v="8"/>
    <n v="119"/>
    <n v="36.340000000000003"/>
    <x v="0"/>
    <n v="5"/>
    <n v="504.27"/>
    <n v="512.27"/>
    <x v="0"/>
  </r>
  <r>
    <s v="ORD-10091"/>
    <x v="36"/>
    <d v="2023-02-14T00:00:00"/>
    <x v="10"/>
    <x v="0"/>
    <x v="0"/>
    <x v="2"/>
    <x v="3"/>
    <n v="7"/>
    <n v="15.03"/>
    <n v="12"/>
    <n v="168"/>
    <n v="2.42"/>
    <x v="0"/>
    <n v="4"/>
    <n v="105.21"/>
    <n v="117.21"/>
    <x v="0"/>
  </r>
  <r>
    <s v="ORD-10092"/>
    <x v="36"/>
    <d v="2023-02-15T00:00:00"/>
    <x v="6"/>
    <x v="3"/>
    <x v="3"/>
    <x v="1"/>
    <x v="2"/>
    <n v="1"/>
    <n v="866.87"/>
    <n v="25"/>
    <n v="157"/>
    <n v="290.89999999999998"/>
    <x v="0"/>
    <n v="5"/>
    <n v="866.87"/>
    <n v="891.87"/>
    <x v="0"/>
  </r>
  <r>
    <s v="ORD-10093"/>
    <x v="36"/>
    <d v="2023-02-14T00:00:00"/>
    <x v="9"/>
    <x v="2"/>
    <x v="2"/>
    <x v="2"/>
    <x v="2"/>
    <n v="2"/>
    <n v="251.64"/>
    <n v="75"/>
    <n v="356"/>
    <n v="63.16"/>
    <x v="0"/>
    <n v="4"/>
    <n v="503.28"/>
    <n v="578.28"/>
    <x v="0"/>
  </r>
  <r>
    <s v="ORD-10094"/>
    <x v="37"/>
    <d v="2023-02-13T00:00:00"/>
    <x v="12"/>
    <x v="3"/>
    <x v="3"/>
    <x v="2"/>
    <x v="1"/>
    <n v="1"/>
    <n v="1106.07"/>
    <n v="25"/>
    <n v="247"/>
    <n v="374.62"/>
    <x v="0"/>
    <n v="2"/>
    <n v="1106.07"/>
    <n v="1131.07"/>
    <x v="0"/>
  </r>
  <r>
    <s v="ORD-10095"/>
    <x v="37"/>
    <d v="2023-02-26T00:00:00"/>
    <x v="10"/>
    <x v="0"/>
    <x v="0"/>
    <x v="2"/>
    <x v="3"/>
    <n v="14"/>
    <n v="18.79"/>
    <n v="12"/>
    <n v="189"/>
    <n v="15.05"/>
    <x v="1"/>
    <n v="15"/>
    <n v="263.06"/>
    <n v="275.06"/>
    <x v="0"/>
  </r>
  <r>
    <s v="ORD-10096"/>
    <x v="37"/>
    <d v="2023-02-28T00:00:00"/>
    <x v="12"/>
    <x v="3"/>
    <x v="3"/>
    <x v="2"/>
    <x v="3"/>
    <n v="3"/>
    <n v="541.79999999999995"/>
    <n v="37.5"/>
    <n v="263"/>
    <n v="550.14"/>
    <x v="1"/>
    <n v="17"/>
    <n v="1625.3999999999999"/>
    <n v="1662.8999999999999"/>
    <x v="0"/>
  </r>
  <r>
    <s v="ORD-10097"/>
    <x v="38"/>
    <d v="2023-02-15T00:00:00"/>
    <x v="10"/>
    <x v="0"/>
    <x v="0"/>
    <x v="1"/>
    <x v="0"/>
    <n v="12"/>
    <n v="10.94"/>
    <n v="8"/>
    <n v="64"/>
    <n v="6.51"/>
    <x v="0"/>
    <n v="3"/>
    <n v="131.28"/>
    <n v="139.28"/>
    <x v="0"/>
  </r>
  <r>
    <s v="ORD-10098"/>
    <x v="38"/>
    <d v="2023-02-16T00:00:00"/>
    <x v="8"/>
    <x v="2"/>
    <x v="2"/>
    <x v="2"/>
    <x v="3"/>
    <n v="1"/>
    <n v="341.32"/>
    <n v="112.5"/>
    <n v="237"/>
    <n v="12.01"/>
    <x v="0"/>
    <n v="4"/>
    <n v="341.32"/>
    <n v="453.82"/>
    <x v="0"/>
  </r>
  <r>
    <s v="ORD-10099"/>
    <x v="38"/>
    <d v="2023-02-15T00:00:00"/>
    <x v="13"/>
    <x v="4"/>
    <x v="4"/>
    <x v="2"/>
    <x v="1"/>
    <n v="4"/>
    <n v="145.16"/>
    <n v="12"/>
    <n v="36"/>
    <n v="255.29"/>
    <x v="0"/>
    <n v="3"/>
    <n v="580.64"/>
    <n v="592.64"/>
    <x v="1"/>
  </r>
  <r>
    <s v="ORD-10100"/>
    <x v="38"/>
    <d v="2023-02-16T00:00:00"/>
    <x v="1"/>
    <x v="0"/>
    <x v="0"/>
    <x v="0"/>
    <x v="2"/>
    <n v="7"/>
    <n v="22.61"/>
    <n v="8"/>
    <n v="379"/>
    <n v="8.66"/>
    <x v="0"/>
    <n v="4"/>
    <n v="158.26999999999998"/>
    <n v="166.26999999999998"/>
    <x v="0"/>
  </r>
  <r>
    <s v="ORD-10101"/>
    <x v="39"/>
    <d v="2023-02-17T00:00:00"/>
    <x v="9"/>
    <x v="2"/>
    <x v="2"/>
    <x v="1"/>
    <x v="1"/>
    <n v="2"/>
    <n v="238.08"/>
    <n v="75"/>
    <n v="207"/>
    <n v="57.73"/>
    <x v="0"/>
    <n v="1"/>
    <n v="476.16"/>
    <n v="551.16000000000008"/>
    <x v="0"/>
  </r>
  <r>
    <s v="ORD-10102"/>
    <x v="39"/>
    <d v="2023-02-23T00:00:00"/>
    <x v="15"/>
    <x v="4"/>
    <x v="4"/>
    <x v="2"/>
    <x v="1"/>
    <n v="5"/>
    <n v="39.15"/>
    <n v="12"/>
    <n v="380"/>
    <n v="82.09"/>
    <x v="2"/>
    <n v="7"/>
    <n v="195.75"/>
    <n v="207.75"/>
    <x v="0"/>
  </r>
  <r>
    <s v="ORD-10103"/>
    <x v="39"/>
    <d v="2023-02-18T00:00:00"/>
    <x v="14"/>
    <x v="4"/>
    <x v="4"/>
    <x v="1"/>
    <x v="0"/>
    <n v="5"/>
    <n v="143.38"/>
    <n v="12"/>
    <n v="81"/>
    <n v="316.61"/>
    <x v="0"/>
    <n v="2"/>
    <n v="716.9"/>
    <n v="728.9"/>
    <x v="0"/>
  </r>
  <r>
    <s v="ORD-10104"/>
    <x v="39"/>
    <d v="2023-02-20T00:00:00"/>
    <x v="7"/>
    <x v="1"/>
    <x v="1"/>
    <x v="2"/>
    <x v="3"/>
    <n v="5"/>
    <n v="41.55"/>
    <n v="18"/>
    <n v="254"/>
    <n v="74.099999999999994"/>
    <x v="0"/>
    <n v="4"/>
    <n v="207.75"/>
    <n v="225.75"/>
    <x v="0"/>
  </r>
  <r>
    <s v="ORD-10105"/>
    <x v="39"/>
    <d v="2023-02-20T00:00:00"/>
    <x v="13"/>
    <x v="4"/>
    <x v="4"/>
    <x v="1"/>
    <x v="1"/>
    <n v="1"/>
    <n v="51.46"/>
    <n v="12"/>
    <n v="374"/>
    <n v="17.16"/>
    <x v="0"/>
    <n v="4"/>
    <n v="51.46"/>
    <n v="63.46"/>
    <x v="0"/>
  </r>
  <r>
    <s v="ORD-10106"/>
    <x v="40"/>
    <d v="2023-03-01T00:00:00"/>
    <x v="15"/>
    <x v="4"/>
    <x v="4"/>
    <x v="2"/>
    <x v="1"/>
    <n v="3"/>
    <n v="94.04"/>
    <n v="12"/>
    <n v="293"/>
    <n v="120.95"/>
    <x v="1"/>
    <n v="12"/>
    <n v="282.12"/>
    <n v="294.12"/>
    <x v="0"/>
  </r>
  <r>
    <s v="ORD-10107"/>
    <x v="41"/>
    <d v="2023-02-21T00:00:00"/>
    <x v="0"/>
    <x v="0"/>
    <x v="0"/>
    <x v="1"/>
    <x v="2"/>
    <n v="6"/>
    <n v="46.32"/>
    <n v="8"/>
    <n v="355"/>
    <n v="18.23"/>
    <x v="0"/>
    <n v="2"/>
    <n v="277.92"/>
    <n v="285.92"/>
    <x v="0"/>
  </r>
  <r>
    <s v="ORD-10108"/>
    <x v="42"/>
    <d v="2023-02-23T00:00:00"/>
    <x v="15"/>
    <x v="4"/>
    <x v="4"/>
    <x v="2"/>
    <x v="0"/>
    <n v="1"/>
    <n v="113.38"/>
    <n v="12"/>
    <n v="100"/>
    <n v="45.02"/>
    <x v="0"/>
    <n v="3"/>
    <n v="113.38"/>
    <n v="125.38"/>
    <x v="0"/>
  </r>
  <r>
    <s v="ORD-10109"/>
    <x v="42"/>
    <d v="2023-02-23T00:00:00"/>
    <x v="0"/>
    <x v="0"/>
    <x v="0"/>
    <x v="0"/>
    <x v="2"/>
    <n v="9"/>
    <n v="10.36"/>
    <n v="8"/>
    <n v="274"/>
    <n v="3.46"/>
    <x v="0"/>
    <n v="3"/>
    <n v="93.24"/>
    <n v="101.24"/>
    <x v="0"/>
  </r>
  <r>
    <s v="ORD-10110"/>
    <x v="42"/>
    <d v="2023-02-21T00:00:00"/>
    <x v="6"/>
    <x v="3"/>
    <x v="3"/>
    <x v="2"/>
    <x v="2"/>
    <n v="3"/>
    <n v="928.86"/>
    <n v="25"/>
    <n v="174"/>
    <n v="962.8"/>
    <x v="0"/>
    <n v="1"/>
    <n v="2786.58"/>
    <n v="2811.58"/>
    <x v="0"/>
  </r>
  <r>
    <s v="ORD-10111"/>
    <x v="42"/>
    <d v="2023-02-21T00:00:00"/>
    <x v="15"/>
    <x v="4"/>
    <x v="4"/>
    <x v="0"/>
    <x v="3"/>
    <n v="3"/>
    <n v="71.72"/>
    <n v="18"/>
    <n v="148"/>
    <n v="87.82"/>
    <x v="0"/>
    <n v="1"/>
    <n v="215.16"/>
    <n v="233.16"/>
    <x v="0"/>
  </r>
  <r>
    <s v="ORD-10112"/>
    <x v="43"/>
    <d v="2023-02-24T00:00:00"/>
    <x v="1"/>
    <x v="0"/>
    <x v="0"/>
    <x v="0"/>
    <x v="0"/>
    <n v="5"/>
    <n v="46.74"/>
    <n v="8"/>
    <n v="36"/>
    <n v="14.7"/>
    <x v="0"/>
    <n v="2"/>
    <n v="233.70000000000002"/>
    <n v="241.70000000000002"/>
    <x v="1"/>
  </r>
  <r>
    <s v="ORD-10113"/>
    <x v="44"/>
    <d v="2023-02-25T00:00:00"/>
    <x v="13"/>
    <x v="4"/>
    <x v="4"/>
    <x v="0"/>
    <x v="0"/>
    <n v="1"/>
    <n v="74.03"/>
    <n v="12"/>
    <n v="77"/>
    <n v="27.31"/>
    <x v="0"/>
    <n v="2"/>
    <n v="74.03"/>
    <n v="86.03"/>
    <x v="0"/>
  </r>
  <r>
    <s v="ORD-10114"/>
    <x v="44"/>
    <d v="2023-02-25T00:00:00"/>
    <x v="13"/>
    <x v="4"/>
    <x v="4"/>
    <x v="2"/>
    <x v="3"/>
    <n v="5"/>
    <n v="117.73"/>
    <n v="18"/>
    <n v="297"/>
    <n v="-88.3"/>
    <x v="0"/>
    <n v="2"/>
    <n v="588.65"/>
    <n v="606.65"/>
    <x v="0"/>
  </r>
  <r>
    <s v="ORD-10115"/>
    <x v="45"/>
    <d v="2023-02-27T00:00:00"/>
    <x v="11"/>
    <x v="3"/>
    <x v="3"/>
    <x v="1"/>
    <x v="0"/>
    <n v="3"/>
    <n v="780.09"/>
    <n v="25"/>
    <n v="390"/>
    <n v="806.59"/>
    <x v="0"/>
    <n v="3"/>
    <n v="2340.27"/>
    <n v="2365.27"/>
    <x v="0"/>
  </r>
  <r>
    <s v="ORD-10116"/>
    <x v="45"/>
    <d v="2023-02-26T00:00:00"/>
    <x v="6"/>
    <x v="3"/>
    <x v="3"/>
    <x v="1"/>
    <x v="0"/>
    <n v="1"/>
    <n v="1045.8499999999999"/>
    <n v="25"/>
    <n v="151"/>
    <n v="353.55"/>
    <x v="0"/>
    <n v="2"/>
    <n v="1045.8499999999999"/>
    <n v="1070.8499999999999"/>
    <x v="0"/>
  </r>
  <r>
    <s v="ORD-10117"/>
    <x v="45"/>
    <d v="2023-02-28T00:00:00"/>
    <x v="14"/>
    <x v="4"/>
    <x v="4"/>
    <x v="0"/>
    <x v="0"/>
    <n v="3"/>
    <n v="53.19"/>
    <n v="12"/>
    <n v="65"/>
    <n v="65.81"/>
    <x v="0"/>
    <n v="4"/>
    <n v="159.57"/>
    <n v="171.57"/>
    <x v="0"/>
  </r>
  <r>
    <s v="ORD-10118"/>
    <x v="45"/>
    <d v="2023-03-01T00:00:00"/>
    <x v="10"/>
    <x v="0"/>
    <x v="0"/>
    <x v="2"/>
    <x v="0"/>
    <n v="5"/>
    <n v="45.18"/>
    <n v="8"/>
    <n v="59"/>
    <n v="14.07"/>
    <x v="0"/>
    <n v="5"/>
    <n v="225.9"/>
    <n v="233.9"/>
    <x v="0"/>
  </r>
  <r>
    <s v="ORD-10119"/>
    <x v="46"/>
    <d v="2023-03-02T00:00:00"/>
    <x v="1"/>
    <x v="0"/>
    <x v="0"/>
    <x v="1"/>
    <x v="0"/>
    <n v="11"/>
    <n v="45.04"/>
    <n v="8"/>
    <n v="384"/>
    <n v="35.630000000000003"/>
    <x v="0"/>
    <n v="5"/>
    <n v="495.44"/>
    <n v="503.44"/>
    <x v="0"/>
  </r>
  <r>
    <s v="ORD-10120"/>
    <x v="47"/>
    <d v="2023-02-28T00:00:00"/>
    <x v="9"/>
    <x v="2"/>
    <x v="2"/>
    <x v="0"/>
    <x v="0"/>
    <n v="2"/>
    <n v="336.17"/>
    <n v="75"/>
    <n v="376"/>
    <n v="96.97"/>
    <x v="0"/>
    <n v="1"/>
    <n v="672.34"/>
    <n v="747.34"/>
    <x v="0"/>
  </r>
  <r>
    <s v="ORD-10121"/>
    <x v="47"/>
    <d v="2023-03-02T00:00:00"/>
    <x v="14"/>
    <x v="4"/>
    <x v="4"/>
    <x v="2"/>
    <x v="3"/>
    <n v="3"/>
    <n v="76.87"/>
    <n v="18"/>
    <n v="351"/>
    <n v="94.78"/>
    <x v="0"/>
    <n v="3"/>
    <n v="230.61"/>
    <n v="248.61"/>
    <x v="0"/>
  </r>
  <r>
    <s v="ORD-10122"/>
    <x v="48"/>
    <d v="2023-03-01T00:00:00"/>
    <x v="1"/>
    <x v="0"/>
    <x v="0"/>
    <x v="1"/>
    <x v="2"/>
    <n v="9"/>
    <n v="22.12"/>
    <n v="8"/>
    <n v="225"/>
    <n v="11.92"/>
    <x v="0"/>
    <n v="1"/>
    <n v="199.08"/>
    <n v="207.08"/>
    <x v="0"/>
  </r>
  <r>
    <s v="ORD-10123"/>
    <x v="49"/>
    <d v="2023-03-15T00:00:00"/>
    <x v="4"/>
    <x v="2"/>
    <x v="2"/>
    <x v="2"/>
    <x v="2"/>
    <n v="2"/>
    <n v="188.2"/>
    <n v="75"/>
    <n v="168"/>
    <n v="37.78"/>
    <x v="1"/>
    <n v="13"/>
    <n v="376.4"/>
    <n v="451.4"/>
    <x v="0"/>
  </r>
  <r>
    <s v="ORD-10124"/>
    <x v="49"/>
    <d v="2023-03-03T00:00:00"/>
    <x v="3"/>
    <x v="1"/>
    <x v="1"/>
    <x v="1"/>
    <x v="1"/>
    <n v="1"/>
    <n v="121.48"/>
    <n v="12"/>
    <n v="29"/>
    <n v="42.59"/>
    <x v="0"/>
    <n v="1"/>
    <n v="121.48"/>
    <n v="133.48000000000002"/>
    <x v="1"/>
  </r>
  <r>
    <s v="ORD-10125"/>
    <x v="49"/>
    <d v="2023-03-03T00:00:00"/>
    <x v="9"/>
    <x v="2"/>
    <x v="2"/>
    <x v="1"/>
    <x v="2"/>
    <n v="1"/>
    <n v="151.97999999999999"/>
    <n v="75"/>
    <n v="340"/>
    <n v="-7.1"/>
    <x v="0"/>
    <n v="1"/>
    <n v="151.97999999999999"/>
    <n v="226.98"/>
    <x v="0"/>
  </r>
  <r>
    <s v="ORD-10126"/>
    <x v="50"/>
    <d v="2023-03-04T00:00:00"/>
    <x v="11"/>
    <x v="3"/>
    <x v="3"/>
    <x v="1"/>
    <x v="2"/>
    <n v="3"/>
    <n v="359.03"/>
    <n v="25"/>
    <n v="398"/>
    <n v="364.48"/>
    <x v="0"/>
    <n v="1"/>
    <n v="1077.0899999999999"/>
    <n v="1102.0899999999999"/>
    <x v="0"/>
  </r>
  <r>
    <s v="ORD-10127"/>
    <x v="50"/>
    <d v="2023-03-08T00:00:00"/>
    <x v="12"/>
    <x v="3"/>
    <x v="3"/>
    <x v="0"/>
    <x v="3"/>
    <n v="3"/>
    <n v="474.07"/>
    <n v="37.5"/>
    <n v="92"/>
    <n v="479.02"/>
    <x v="0"/>
    <n v="5"/>
    <n v="1422.21"/>
    <n v="1459.71"/>
    <x v="0"/>
  </r>
  <r>
    <s v="ORD-10128"/>
    <x v="51"/>
    <d v="2023-03-09T00:00:00"/>
    <x v="6"/>
    <x v="3"/>
    <x v="3"/>
    <x v="0"/>
    <x v="1"/>
    <n v="1"/>
    <n v="318.87"/>
    <n v="25"/>
    <n v="194"/>
    <n v="99.1"/>
    <x v="0"/>
    <n v="5"/>
    <n v="318.87"/>
    <n v="343.87"/>
    <x v="0"/>
  </r>
  <r>
    <s v="ORD-10129"/>
    <x v="51"/>
    <d v="2023-03-07T00:00:00"/>
    <x v="15"/>
    <x v="4"/>
    <x v="4"/>
    <x v="1"/>
    <x v="0"/>
    <n v="4"/>
    <n v="41.19"/>
    <n v="12"/>
    <n v="358"/>
    <n v="68.150000000000006"/>
    <x v="0"/>
    <n v="3"/>
    <n v="164.76"/>
    <n v="176.76"/>
    <x v="0"/>
  </r>
  <r>
    <s v="ORD-10130"/>
    <x v="52"/>
    <d v="2023-03-07T00:00:00"/>
    <x v="1"/>
    <x v="0"/>
    <x v="0"/>
    <x v="2"/>
    <x v="3"/>
    <n v="11"/>
    <n v="43.73"/>
    <n v="12"/>
    <n v="358"/>
    <n v="32.479999999999997"/>
    <x v="0"/>
    <n v="1"/>
    <n v="481.03"/>
    <n v="493.03"/>
    <x v="0"/>
  </r>
  <r>
    <s v="ORD-10131"/>
    <x v="52"/>
    <d v="2023-03-10T00:00:00"/>
    <x v="7"/>
    <x v="1"/>
    <x v="1"/>
    <x v="0"/>
    <x v="0"/>
    <n v="5"/>
    <n v="82.69"/>
    <n v="12"/>
    <n v="166"/>
    <n v="159.38999999999999"/>
    <x v="0"/>
    <n v="4"/>
    <n v="413.45"/>
    <n v="425.45"/>
    <x v="0"/>
  </r>
  <r>
    <s v="ORD-10132"/>
    <x v="53"/>
    <d v="2023-03-10T00:00:00"/>
    <x v="11"/>
    <x v="3"/>
    <x v="3"/>
    <x v="0"/>
    <x v="2"/>
    <n v="3"/>
    <n v="877.15"/>
    <n v="25"/>
    <n v="41"/>
    <n v="908.51"/>
    <x v="0"/>
    <n v="3"/>
    <n v="2631.45"/>
    <n v="2656.45"/>
    <x v="1"/>
  </r>
  <r>
    <s v="ORD-10133"/>
    <x v="54"/>
    <d v="2023-03-19T00:00:00"/>
    <x v="7"/>
    <x v="1"/>
    <x v="1"/>
    <x v="2"/>
    <x v="3"/>
    <n v="3"/>
    <n v="94.33"/>
    <n v="18"/>
    <n v="347"/>
    <n v="104.19"/>
    <x v="1"/>
    <n v="11"/>
    <n v="282.99"/>
    <n v="300.99"/>
    <x v="0"/>
  </r>
  <r>
    <s v="ORD-10134"/>
    <x v="54"/>
    <d v="2023-03-11T00:00:00"/>
    <x v="8"/>
    <x v="2"/>
    <x v="2"/>
    <x v="0"/>
    <x v="0"/>
    <n v="1"/>
    <n v="233.62"/>
    <n v="75"/>
    <n v="88"/>
    <n v="9.2200000000000006"/>
    <x v="0"/>
    <n v="3"/>
    <n v="233.62"/>
    <n v="308.62"/>
    <x v="0"/>
  </r>
  <r>
    <s v="ORD-10135"/>
    <x v="55"/>
    <d v="2023-03-14T00:00:00"/>
    <x v="8"/>
    <x v="2"/>
    <x v="2"/>
    <x v="2"/>
    <x v="3"/>
    <n v="2"/>
    <n v="232.98"/>
    <n v="112.5"/>
    <n v="186"/>
    <n v="36.94"/>
    <x v="0"/>
    <n v="4"/>
    <n v="465.96"/>
    <n v="578.46"/>
    <x v="0"/>
  </r>
  <r>
    <s v="ORD-10136"/>
    <x v="55"/>
    <d v="2023-03-12T00:00:00"/>
    <x v="1"/>
    <x v="0"/>
    <x v="0"/>
    <x v="1"/>
    <x v="1"/>
    <n v="10"/>
    <n v="41.24"/>
    <n v="8"/>
    <n v="299"/>
    <n v="28.99"/>
    <x v="0"/>
    <n v="2"/>
    <n v="412.40000000000003"/>
    <n v="420.40000000000003"/>
    <x v="0"/>
  </r>
  <r>
    <s v="ORD-10137"/>
    <x v="55"/>
    <d v="2023-03-15T00:00:00"/>
    <x v="15"/>
    <x v="4"/>
    <x v="4"/>
    <x v="2"/>
    <x v="2"/>
    <n v="1"/>
    <n v="87.43"/>
    <n v="12"/>
    <n v="77"/>
    <n v="33.340000000000003"/>
    <x v="0"/>
    <n v="5"/>
    <n v="87.43"/>
    <n v="99.43"/>
    <x v="0"/>
  </r>
  <r>
    <s v="ORD-10138"/>
    <x v="56"/>
    <d v="2023-03-15T00:00:00"/>
    <x v="2"/>
    <x v="1"/>
    <x v="1"/>
    <x v="2"/>
    <x v="3"/>
    <n v="4"/>
    <n v="65.05"/>
    <n v="18"/>
    <n v="285"/>
    <n v="95.08"/>
    <x v="0"/>
    <n v="2"/>
    <n v="260.2"/>
    <n v="278.2"/>
    <x v="0"/>
  </r>
  <r>
    <s v="ORD-10139"/>
    <x v="57"/>
    <d v="2023-03-26T00:00:00"/>
    <x v="8"/>
    <x v="2"/>
    <x v="2"/>
    <x v="2"/>
    <x v="3"/>
    <n v="1"/>
    <n v="157.58000000000001"/>
    <n v="112.5"/>
    <n v="176"/>
    <n v="-24.73"/>
    <x v="1"/>
    <n v="12"/>
    <n v="157.58000000000001"/>
    <n v="270.08000000000004"/>
    <x v="0"/>
  </r>
  <r>
    <s v="ORD-10140"/>
    <x v="57"/>
    <d v="2023-03-17T00:00:00"/>
    <x v="10"/>
    <x v="0"/>
    <x v="0"/>
    <x v="1"/>
    <x v="0"/>
    <n v="9"/>
    <n v="32.14"/>
    <n v="8"/>
    <n v="226"/>
    <n v="-43.38"/>
    <x v="0"/>
    <n v="3"/>
    <n v="289.26"/>
    <n v="297.26"/>
    <x v="0"/>
  </r>
  <r>
    <s v="ORD-10141"/>
    <x v="57"/>
    <d v="2023-03-31T00:00:00"/>
    <x v="0"/>
    <x v="0"/>
    <x v="0"/>
    <x v="2"/>
    <x v="1"/>
    <n v="6"/>
    <n v="31.03"/>
    <n v="8"/>
    <n v="173"/>
    <n v="10.89"/>
    <x v="1"/>
    <n v="17"/>
    <n v="186.18"/>
    <n v="194.18"/>
    <x v="0"/>
  </r>
  <r>
    <s v="ORD-10142"/>
    <x v="58"/>
    <d v="2023-03-20T00:00:00"/>
    <x v="1"/>
    <x v="0"/>
    <x v="0"/>
    <x v="1"/>
    <x v="2"/>
    <n v="13"/>
    <n v="35.01"/>
    <n v="8"/>
    <n v="320"/>
    <n v="32.409999999999997"/>
    <x v="0"/>
    <n v="4"/>
    <n v="455.13"/>
    <n v="463.13"/>
    <x v="0"/>
  </r>
  <r>
    <s v="ORD-10143"/>
    <x v="58"/>
    <d v="2023-03-17T00:00:00"/>
    <x v="14"/>
    <x v="4"/>
    <x v="4"/>
    <x v="1"/>
    <x v="0"/>
    <n v="1"/>
    <n v="48.66"/>
    <n v="12"/>
    <n v="125"/>
    <n v="15.9"/>
    <x v="0"/>
    <n v="1"/>
    <n v="48.66"/>
    <n v="60.66"/>
    <x v="0"/>
  </r>
  <r>
    <s v="ORD-10144"/>
    <x v="58"/>
    <d v="2023-03-20T00:00:00"/>
    <x v="7"/>
    <x v="1"/>
    <x v="1"/>
    <x v="2"/>
    <x v="1"/>
    <n v="5"/>
    <n v="135.71"/>
    <n v="12"/>
    <n v="386"/>
    <n v="265.42"/>
    <x v="0"/>
    <n v="4"/>
    <n v="678.55000000000007"/>
    <n v="690.55000000000007"/>
    <x v="0"/>
  </r>
  <r>
    <s v="ORD-10145"/>
    <x v="58"/>
    <d v="2023-03-17T00:00:00"/>
    <x v="0"/>
    <x v="0"/>
    <x v="0"/>
    <x v="2"/>
    <x v="3"/>
    <n v="13"/>
    <n v="31.88"/>
    <n v="12"/>
    <n v="187"/>
    <n v="27.15"/>
    <x v="0"/>
    <n v="1"/>
    <n v="414.44"/>
    <n v="426.44"/>
    <x v="0"/>
  </r>
  <r>
    <s v="ORD-10146"/>
    <x v="59"/>
    <d v="2023-03-20T00:00:00"/>
    <x v="12"/>
    <x v="3"/>
    <x v="3"/>
    <x v="1"/>
    <x v="2"/>
    <n v="1"/>
    <n v="414.41"/>
    <n v="25"/>
    <n v="309"/>
    <n v="132.54"/>
    <x v="0"/>
    <n v="3"/>
    <n v="414.41"/>
    <n v="439.41"/>
    <x v="0"/>
  </r>
  <r>
    <s v="ORD-10147"/>
    <x v="60"/>
    <d v="2023-03-21T00:00:00"/>
    <x v="2"/>
    <x v="1"/>
    <x v="1"/>
    <x v="2"/>
    <x v="1"/>
    <n v="2"/>
    <n v="107.47"/>
    <n v="12"/>
    <n v="157"/>
    <n v="79.98"/>
    <x v="0"/>
    <n v="2"/>
    <n v="214.94"/>
    <n v="226.94"/>
    <x v="0"/>
  </r>
  <r>
    <s v="ORD-10148"/>
    <x v="60"/>
    <d v="2023-03-22T00:00:00"/>
    <x v="1"/>
    <x v="0"/>
    <x v="0"/>
    <x v="0"/>
    <x v="2"/>
    <n v="10"/>
    <n v="25.9"/>
    <n v="8"/>
    <n v="257"/>
    <n v="16.72"/>
    <x v="0"/>
    <n v="3"/>
    <n v="259"/>
    <n v="267"/>
    <x v="0"/>
  </r>
  <r>
    <s v="ORD-10149"/>
    <x v="61"/>
    <d v="2023-03-25T00:00:00"/>
    <x v="1"/>
    <x v="0"/>
    <x v="0"/>
    <x v="0"/>
    <x v="0"/>
    <n v="11"/>
    <n v="41.99"/>
    <n v="8"/>
    <n v="201"/>
    <n v="32.950000000000003"/>
    <x v="0"/>
    <n v="5"/>
    <n v="461.89000000000004"/>
    <n v="469.89000000000004"/>
    <x v="0"/>
  </r>
  <r>
    <s v="ORD-10150"/>
    <x v="61"/>
    <d v="2023-03-23T00:00:00"/>
    <x v="1"/>
    <x v="0"/>
    <x v="0"/>
    <x v="0"/>
    <x v="1"/>
    <n v="10"/>
    <n v="35.21"/>
    <n v="8"/>
    <n v="271"/>
    <n v="24.17"/>
    <x v="0"/>
    <n v="3"/>
    <n v="352.1"/>
    <n v="360.1"/>
    <x v="0"/>
  </r>
  <r>
    <s v="ORD-10151"/>
    <x v="62"/>
    <d v="2023-03-26T00:00:00"/>
    <x v="15"/>
    <x v="4"/>
    <x v="4"/>
    <x v="2"/>
    <x v="3"/>
    <n v="2"/>
    <n v="122.06"/>
    <n v="18"/>
    <n v="279"/>
    <n v="-36.619999999999997"/>
    <x v="0"/>
    <n v="5"/>
    <n v="244.12"/>
    <n v="262.12"/>
    <x v="0"/>
  </r>
  <r>
    <s v="ORD-10152"/>
    <x v="63"/>
    <d v="2023-04-02T00:00:00"/>
    <x v="6"/>
    <x v="3"/>
    <x v="3"/>
    <x v="2"/>
    <x v="3"/>
    <n v="2"/>
    <n v="609.66999999999996"/>
    <n v="37.5"/>
    <n v="121"/>
    <n v="408.02"/>
    <x v="1"/>
    <n v="11"/>
    <n v="1219.3399999999999"/>
    <n v="1256.8399999999999"/>
    <x v="0"/>
  </r>
  <r>
    <s v="ORD-10153"/>
    <x v="64"/>
    <d v="2023-03-27T00:00:00"/>
    <x v="10"/>
    <x v="0"/>
    <x v="0"/>
    <x v="2"/>
    <x v="2"/>
    <n v="8"/>
    <n v="38.82"/>
    <n v="8"/>
    <n v="148"/>
    <n v="20.85"/>
    <x v="0"/>
    <n v="4"/>
    <n v="310.56"/>
    <n v="318.56"/>
    <x v="0"/>
  </r>
  <r>
    <s v="ORD-10154"/>
    <x v="64"/>
    <d v="2023-03-28T00:00:00"/>
    <x v="2"/>
    <x v="1"/>
    <x v="1"/>
    <x v="0"/>
    <x v="1"/>
    <n v="2"/>
    <n v="116.53"/>
    <n v="12"/>
    <n v="172"/>
    <n v="87.22"/>
    <x v="0"/>
    <n v="5"/>
    <n v="233.06"/>
    <n v="245.06"/>
    <x v="0"/>
  </r>
  <r>
    <s v="ORD-10155"/>
    <x v="65"/>
    <d v="2023-03-25T00:00:00"/>
    <x v="8"/>
    <x v="2"/>
    <x v="2"/>
    <x v="0"/>
    <x v="2"/>
    <n v="2"/>
    <n v="241.77"/>
    <n v="75"/>
    <n v="355"/>
    <n v="59.21"/>
    <x v="0"/>
    <n v="1"/>
    <n v="483.54"/>
    <n v="558.54"/>
    <x v="0"/>
  </r>
  <r>
    <s v="ORD-10156"/>
    <x v="65"/>
    <d v="2023-03-29T00:00:00"/>
    <x v="4"/>
    <x v="2"/>
    <x v="2"/>
    <x v="2"/>
    <x v="2"/>
    <n v="1"/>
    <n v="431.55"/>
    <n v="75"/>
    <n v="137"/>
    <n v="48.81"/>
    <x v="0"/>
    <n v="5"/>
    <n v="431.55"/>
    <n v="506.55"/>
    <x v="0"/>
  </r>
  <r>
    <s v="ORD-10157"/>
    <x v="66"/>
    <d v="2023-03-30T00:00:00"/>
    <x v="1"/>
    <x v="0"/>
    <x v="0"/>
    <x v="1"/>
    <x v="2"/>
    <n v="10"/>
    <n v="27.57"/>
    <n v="8"/>
    <n v="106"/>
    <n v="18.05"/>
    <x v="0"/>
    <n v="5"/>
    <n v="275.7"/>
    <n v="283.7"/>
    <x v="0"/>
  </r>
  <r>
    <s v="ORD-10158"/>
    <x v="67"/>
    <d v="2023-03-28T00:00:00"/>
    <x v="0"/>
    <x v="0"/>
    <x v="0"/>
    <x v="1"/>
    <x v="0"/>
    <n v="12"/>
    <n v="16.61"/>
    <n v="8"/>
    <n v="127"/>
    <n v="11.95"/>
    <x v="0"/>
    <n v="2"/>
    <n v="199.32"/>
    <n v="207.32"/>
    <x v="0"/>
  </r>
  <r>
    <s v="ORD-10159"/>
    <x v="68"/>
    <d v="2023-03-29T00:00:00"/>
    <x v="9"/>
    <x v="2"/>
    <x v="2"/>
    <x v="2"/>
    <x v="0"/>
    <n v="2"/>
    <n v="265.68"/>
    <n v="75"/>
    <n v="141"/>
    <n v="68.77"/>
    <x v="0"/>
    <n v="2"/>
    <n v="531.36"/>
    <n v="606.36"/>
    <x v="0"/>
  </r>
  <r>
    <s v="ORD-10160"/>
    <x v="68"/>
    <d v="2023-03-30T00:00:00"/>
    <x v="7"/>
    <x v="1"/>
    <x v="1"/>
    <x v="2"/>
    <x v="3"/>
    <n v="3"/>
    <n v="51.9"/>
    <n v="18"/>
    <n v="171"/>
    <n v="53.28"/>
    <x v="0"/>
    <n v="3"/>
    <n v="155.69999999999999"/>
    <n v="173.7"/>
    <x v="0"/>
  </r>
  <r>
    <s v="ORD-10161"/>
    <x v="69"/>
    <d v="2023-03-31T00:00:00"/>
    <x v="7"/>
    <x v="1"/>
    <x v="1"/>
    <x v="1"/>
    <x v="0"/>
    <n v="2"/>
    <n v="110.54"/>
    <n v="12"/>
    <n v="373"/>
    <n v="82.43"/>
    <x v="0"/>
    <n v="3"/>
    <n v="221.08"/>
    <n v="233.08"/>
    <x v="0"/>
  </r>
  <r>
    <s v="ORD-10162"/>
    <x v="69"/>
    <d v="2023-04-02T00:00:00"/>
    <x v="7"/>
    <x v="1"/>
    <x v="1"/>
    <x v="0"/>
    <x v="1"/>
    <n v="1"/>
    <n v="35"/>
    <n v="12"/>
    <n v="336"/>
    <n v="8"/>
    <x v="0"/>
    <n v="5"/>
    <n v="35"/>
    <n v="47"/>
    <x v="0"/>
  </r>
  <r>
    <s v="ORD-10163"/>
    <x v="69"/>
    <d v="2023-03-30T00:00:00"/>
    <x v="7"/>
    <x v="1"/>
    <x v="1"/>
    <x v="0"/>
    <x v="2"/>
    <n v="2"/>
    <n v="34.86"/>
    <n v="12"/>
    <n v="26"/>
    <n v="21.88"/>
    <x v="0"/>
    <n v="2"/>
    <n v="69.72"/>
    <n v="81.72"/>
    <x v="1"/>
  </r>
  <r>
    <s v="ORD-10164"/>
    <x v="69"/>
    <d v="2023-04-02T00:00:00"/>
    <x v="3"/>
    <x v="1"/>
    <x v="1"/>
    <x v="0"/>
    <x v="0"/>
    <n v="1"/>
    <n v="123.06"/>
    <n v="12"/>
    <n v="226"/>
    <n v="43.22"/>
    <x v="0"/>
    <n v="5"/>
    <n v="123.06"/>
    <n v="135.06"/>
    <x v="0"/>
  </r>
  <r>
    <s v="ORD-10165"/>
    <x v="70"/>
    <d v="2023-03-30T00:00:00"/>
    <x v="1"/>
    <x v="0"/>
    <x v="0"/>
    <x v="0"/>
    <x v="1"/>
    <n v="12"/>
    <n v="38.94"/>
    <n v="8"/>
    <n v="105"/>
    <n v="33.380000000000003"/>
    <x v="0"/>
    <n v="1"/>
    <n v="467.28"/>
    <n v="475.28"/>
    <x v="0"/>
  </r>
  <r>
    <s v="ORD-10166"/>
    <x v="70"/>
    <d v="2023-04-13T00:00:00"/>
    <x v="3"/>
    <x v="1"/>
    <x v="1"/>
    <x v="2"/>
    <x v="3"/>
    <n v="3"/>
    <n v="86.37"/>
    <n v="18"/>
    <n v="290"/>
    <n v="94.65"/>
    <x v="1"/>
    <n v="15"/>
    <n v="259.11"/>
    <n v="277.11"/>
    <x v="0"/>
  </r>
  <r>
    <s v="ORD-10167"/>
    <x v="71"/>
    <d v="2023-03-31T00:00:00"/>
    <x v="1"/>
    <x v="0"/>
    <x v="0"/>
    <x v="2"/>
    <x v="2"/>
    <n v="13"/>
    <n v="29.17"/>
    <n v="8"/>
    <n v="135"/>
    <n v="26.34"/>
    <x v="0"/>
    <n v="1"/>
    <n v="379.21000000000004"/>
    <n v="387.21000000000004"/>
    <x v="0"/>
  </r>
  <r>
    <s v="ORD-10168"/>
    <x v="72"/>
    <d v="2023-04-12T00:00:00"/>
    <x v="7"/>
    <x v="1"/>
    <x v="1"/>
    <x v="2"/>
    <x v="0"/>
    <n v="5"/>
    <n v="50.1"/>
    <n v="12"/>
    <n v="240"/>
    <n v="94.2"/>
    <x v="1"/>
    <n v="12"/>
    <n v="250.5"/>
    <n v="262.5"/>
    <x v="0"/>
  </r>
  <r>
    <s v="ORD-10169"/>
    <x v="72"/>
    <d v="2023-04-03T00:00:00"/>
    <x v="1"/>
    <x v="0"/>
    <x v="0"/>
    <x v="1"/>
    <x v="1"/>
    <n v="8"/>
    <n v="24.98"/>
    <n v="8"/>
    <n v="115"/>
    <n v="11.99"/>
    <x v="0"/>
    <n v="3"/>
    <n v="199.84"/>
    <n v="207.84"/>
    <x v="0"/>
  </r>
  <r>
    <s v="ORD-10170"/>
    <x v="72"/>
    <d v="2023-04-01T00:00:00"/>
    <x v="9"/>
    <x v="2"/>
    <x v="2"/>
    <x v="0"/>
    <x v="2"/>
    <n v="2"/>
    <n v="102.13"/>
    <n v="75"/>
    <n v="226"/>
    <n v="3.35"/>
    <x v="0"/>
    <n v="1"/>
    <n v="204.26"/>
    <n v="279.26"/>
    <x v="0"/>
  </r>
  <r>
    <s v="ORD-10171"/>
    <x v="72"/>
    <d v="2023-04-17T00:00:00"/>
    <x v="2"/>
    <x v="1"/>
    <x v="1"/>
    <x v="2"/>
    <x v="0"/>
    <n v="2"/>
    <n v="87.74"/>
    <n v="12"/>
    <n v="374"/>
    <n v="64.19"/>
    <x v="1"/>
    <n v="17"/>
    <n v="175.48"/>
    <n v="187.48"/>
    <x v="0"/>
  </r>
  <r>
    <s v="ORD-10172"/>
    <x v="72"/>
    <d v="2023-04-02T00:00:00"/>
    <x v="12"/>
    <x v="3"/>
    <x v="3"/>
    <x v="0"/>
    <x v="3"/>
    <n v="3"/>
    <n v="358.68"/>
    <n v="37.5"/>
    <n v="296"/>
    <n v="357.86"/>
    <x v="0"/>
    <n v="2"/>
    <n v="1076.04"/>
    <n v="1113.54"/>
    <x v="0"/>
  </r>
  <r>
    <s v="ORD-10173"/>
    <x v="73"/>
    <d v="2023-04-18T00:00:00"/>
    <x v="15"/>
    <x v="4"/>
    <x v="4"/>
    <x v="2"/>
    <x v="1"/>
    <n v="2"/>
    <n v="40.340000000000003"/>
    <n v="12"/>
    <n v="286"/>
    <n v="30.31"/>
    <x v="1"/>
    <n v="17"/>
    <n v="80.680000000000007"/>
    <n v="92.68"/>
    <x v="0"/>
  </r>
  <r>
    <s v="ORD-10174"/>
    <x v="74"/>
    <d v="2023-04-06T00:00:00"/>
    <x v="13"/>
    <x v="4"/>
    <x v="4"/>
    <x v="2"/>
    <x v="2"/>
    <n v="1"/>
    <n v="44.43"/>
    <n v="12"/>
    <n v="197"/>
    <n v="13.99"/>
    <x v="0"/>
    <n v="4"/>
    <n v="44.43"/>
    <n v="56.43"/>
    <x v="0"/>
  </r>
  <r>
    <s v="ORD-10175"/>
    <x v="74"/>
    <d v="2023-04-07T00:00:00"/>
    <x v="3"/>
    <x v="1"/>
    <x v="1"/>
    <x v="0"/>
    <x v="2"/>
    <n v="3"/>
    <n v="110.01"/>
    <n v="12"/>
    <n v="241"/>
    <n v="126.01"/>
    <x v="0"/>
    <n v="5"/>
    <n v="330.03000000000003"/>
    <n v="342.03000000000003"/>
    <x v="0"/>
  </r>
  <r>
    <s v="ORD-10176"/>
    <x v="74"/>
    <d v="2023-04-04T00:00:00"/>
    <x v="8"/>
    <x v="2"/>
    <x v="2"/>
    <x v="2"/>
    <x v="3"/>
    <n v="1"/>
    <n v="211.38"/>
    <n v="112.5"/>
    <n v="297"/>
    <n v="-13.97"/>
    <x v="0"/>
    <n v="2"/>
    <n v="211.38"/>
    <n v="323.88"/>
    <x v="0"/>
  </r>
  <r>
    <s v="ORD-10177"/>
    <x v="74"/>
    <d v="2023-04-06T00:00:00"/>
    <x v="10"/>
    <x v="0"/>
    <x v="0"/>
    <x v="1"/>
    <x v="1"/>
    <n v="8"/>
    <n v="17.510000000000002"/>
    <n v="8"/>
    <n v="180"/>
    <n v="7.21"/>
    <x v="0"/>
    <n v="4"/>
    <n v="140.08000000000001"/>
    <n v="148.08000000000001"/>
    <x v="0"/>
  </r>
  <r>
    <s v="ORD-10178"/>
    <x v="74"/>
    <d v="2023-04-04T00:00:00"/>
    <x v="5"/>
    <x v="3"/>
    <x v="3"/>
    <x v="2"/>
    <x v="0"/>
    <n v="3"/>
    <n v="615.24"/>
    <n v="25"/>
    <n v="335"/>
    <n v="633.5"/>
    <x v="0"/>
    <n v="2"/>
    <n v="1845.72"/>
    <n v="1870.72"/>
    <x v="0"/>
  </r>
  <r>
    <s v="ORD-10179"/>
    <x v="75"/>
    <d v="2023-04-06T00:00:00"/>
    <x v="7"/>
    <x v="1"/>
    <x v="1"/>
    <x v="2"/>
    <x v="3"/>
    <n v="5"/>
    <n v="137.12"/>
    <n v="18"/>
    <n v="277"/>
    <n v="265.25"/>
    <x v="0"/>
    <n v="3"/>
    <n v="685.6"/>
    <n v="703.6"/>
    <x v="0"/>
  </r>
  <r>
    <s v="ORD-10180"/>
    <x v="75"/>
    <d v="2023-04-08T00:00:00"/>
    <x v="10"/>
    <x v="0"/>
    <x v="0"/>
    <x v="1"/>
    <x v="2"/>
    <n v="14"/>
    <n v="47.34"/>
    <n v="8"/>
    <n v="370"/>
    <n v="-99.42"/>
    <x v="0"/>
    <n v="5"/>
    <n v="662.76"/>
    <n v="670.76"/>
    <x v="0"/>
  </r>
  <r>
    <s v="ORD-10181"/>
    <x v="76"/>
    <d v="2023-04-09T00:00:00"/>
    <x v="4"/>
    <x v="2"/>
    <x v="2"/>
    <x v="1"/>
    <x v="2"/>
    <n v="2"/>
    <n v="439.67"/>
    <n v="75"/>
    <n v="323"/>
    <n v="138.37"/>
    <x v="0"/>
    <n v="5"/>
    <n v="879.34"/>
    <n v="954.34"/>
    <x v="0"/>
  </r>
  <r>
    <s v="ORD-10182"/>
    <x v="77"/>
    <d v="2023-04-07T00:00:00"/>
    <x v="5"/>
    <x v="3"/>
    <x v="3"/>
    <x v="2"/>
    <x v="3"/>
    <n v="3"/>
    <n v="906.16"/>
    <n v="37.5"/>
    <n v="254"/>
    <n v="932.72"/>
    <x v="0"/>
    <n v="2"/>
    <n v="2718.48"/>
    <n v="2755.98"/>
    <x v="0"/>
  </r>
  <r>
    <s v="ORD-10183"/>
    <x v="77"/>
    <d v="2023-04-09T00:00:00"/>
    <x v="10"/>
    <x v="0"/>
    <x v="0"/>
    <x v="2"/>
    <x v="2"/>
    <n v="7"/>
    <n v="33.24"/>
    <n v="8"/>
    <n v="172"/>
    <n v="14.61"/>
    <x v="0"/>
    <n v="4"/>
    <n v="232.68"/>
    <n v="240.68"/>
    <x v="0"/>
  </r>
  <r>
    <s v="ORD-10184"/>
    <x v="77"/>
    <d v="2023-04-09T00:00:00"/>
    <x v="13"/>
    <x v="4"/>
    <x v="4"/>
    <x v="2"/>
    <x v="0"/>
    <n v="3"/>
    <n v="100.41"/>
    <n v="12"/>
    <n v="168"/>
    <n v="129.55000000000001"/>
    <x v="0"/>
    <n v="4"/>
    <n v="301.23"/>
    <n v="313.23"/>
    <x v="0"/>
  </r>
  <r>
    <s v="ORD-10185"/>
    <x v="77"/>
    <d v="2023-04-22T00:00:00"/>
    <x v="14"/>
    <x v="4"/>
    <x v="4"/>
    <x v="2"/>
    <x v="0"/>
    <n v="3"/>
    <n v="85.52"/>
    <n v="12"/>
    <n v="174"/>
    <n v="109.45"/>
    <x v="1"/>
    <n v="17"/>
    <n v="256.56"/>
    <n v="268.56"/>
    <x v="0"/>
  </r>
  <r>
    <s v="ORD-10186"/>
    <x v="78"/>
    <d v="2023-04-07T00:00:00"/>
    <x v="6"/>
    <x v="3"/>
    <x v="3"/>
    <x v="0"/>
    <x v="0"/>
    <n v="1"/>
    <n v="897.14"/>
    <n v="25"/>
    <n v="358"/>
    <n v="301.5"/>
    <x v="0"/>
    <n v="1"/>
    <n v="897.14"/>
    <n v="922.14"/>
    <x v="0"/>
  </r>
  <r>
    <s v="ORD-10187"/>
    <x v="78"/>
    <d v="2023-04-08T00:00:00"/>
    <x v="1"/>
    <x v="0"/>
    <x v="0"/>
    <x v="1"/>
    <x v="1"/>
    <n v="5"/>
    <n v="28.21"/>
    <n v="8"/>
    <n v="3"/>
    <n v="7.28"/>
    <x v="0"/>
    <n v="2"/>
    <n v="141.05000000000001"/>
    <n v="149.05000000000001"/>
    <x v="2"/>
  </r>
  <r>
    <s v="ORD-10188"/>
    <x v="78"/>
    <d v="2023-04-08T00:00:00"/>
    <x v="10"/>
    <x v="0"/>
    <x v="0"/>
    <x v="1"/>
    <x v="1"/>
    <n v="10"/>
    <n v="43.53"/>
    <n v="8"/>
    <n v="175"/>
    <n v="30.82"/>
    <x v="0"/>
    <n v="2"/>
    <n v="435.3"/>
    <n v="443.3"/>
    <x v="0"/>
  </r>
  <r>
    <s v="ORD-10189"/>
    <x v="79"/>
    <d v="2023-04-22T00:00:00"/>
    <x v="3"/>
    <x v="1"/>
    <x v="1"/>
    <x v="2"/>
    <x v="3"/>
    <n v="2"/>
    <n v="103.54"/>
    <n v="18"/>
    <n v="383"/>
    <n v="73.83"/>
    <x v="1"/>
    <n v="14"/>
    <n v="207.08"/>
    <n v="225.08"/>
    <x v="0"/>
  </r>
  <r>
    <s v="ORD-10190"/>
    <x v="79"/>
    <d v="2023-04-13T00:00:00"/>
    <x v="11"/>
    <x v="3"/>
    <x v="3"/>
    <x v="0"/>
    <x v="3"/>
    <n v="2"/>
    <n v="1080.97"/>
    <n v="37.5"/>
    <n v="26"/>
    <n v="737.93"/>
    <x v="0"/>
    <n v="5"/>
    <n v="2161.94"/>
    <n v="2199.44"/>
    <x v="1"/>
  </r>
  <r>
    <s v="ORD-10191"/>
    <x v="80"/>
    <d v="2023-04-14T00:00:00"/>
    <x v="14"/>
    <x v="4"/>
    <x v="4"/>
    <x v="1"/>
    <x v="1"/>
    <n v="1"/>
    <n v="124.01"/>
    <n v="12"/>
    <n v="231"/>
    <n v="49.8"/>
    <x v="0"/>
    <n v="5"/>
    <n v="124.01"/>
    <n v="136.01"/>
    <x v="0"/>
  </r>
  <r>
    <s v="ORD-10192"/>
    <x v="80"/>
    <d v="2023-04-13T00:00:00"/>
    <x v="14"/>
    <x v="4"/>
    <x v="4"/>
    <x v="1"/>
    <x v="1"/>
    <n v="5"/>
    <n v="80.45"/>
    <n v="12"/>
    <n v="295"/>
    <n v="175.02"/>
    <x v="0"/>
    <n v="4"/>
    <n v="402.25"/>
    <n v="414.25"/>
    <x v="0"/>
  </r>
  <r>
    <s v="ORD-10193"/>
    <x v="80"/>
    <d v="2023-04-11T00:00:00"/>
    <x v="12"/>
    <x v="3"/>
    <x v="3"/>
    <x v="0"/>
    <x v="2"/>
    <n v="2"/>
    <n v="1052.55"/>
    <n v="25"/>
    <n v="30"/>
    <n v="724.28"/>
    <x v="0"/>
    <n v="2"/>
    <n v="2105.1"/>
    <n v="2130.1"/>
    <x v="1"/>
  </r>
  <r>
    <s v="ORD-10194"/>
    <x v="81"/>
    <d v="2023-04-15T00:00:00"/>
    <x v="11"/>
    <x v="3"/>
    <x v="3"/>
    <x v="2"/>
    <x v="3"/>
    <n v="2"/>
    <n v="255.22"/>
    <n v="37.5"/>
    <n v="290"/>
    <n v="159.91"/>
    <x v="0"/>
    <n v="5"/>
    <n v="510.44"/>
    <n v="547.94000000000005"/>
    <x v="0"/>
  </r>
  <r>
    <s v="ORD-10195"/>
    <x v="82"/>
    <d v="2023-04-18T00:00:00"/>
    <x v="13"/>
    <x v="4"/>
    <x v="4"/>
    <x v="2"/>
    <x v="3"/>
    <n v="5"/>
    <n v="123.78"/>
    <n v="18"/>
    <n v="79"/>
    <n v="269.5"/>
    <x v="2"/>
    <n v="7"/>
    <n v="618.9"/>
    <n v="636.9"/>
    <x v="0"/>
  </r>
  <r>
    <s v="ORD-10196"/>
    <x v="82"/>
    <d v="2023-04-13T00:00:00"/>
    <x v="8"/>
    <x v="2"/>
    <x v="2"/>
    <x v="0"/>
    <x v="3"/>
    <n v="1"/>
    <n v="423.61"/>
    <n v="112.5"/>
    <n v="185"/>
    <n v="28.47"/>
    <x v="0"/>
    <n v="2"/>
    <n v="423.61"/>
    <n v="536.11"/>
    <x v="0"/>
  </r>
  <r>
    <s v="ORD-10197"/>
    <x v="83"/>
    <d v="2023-04-25T00:00:00"/>
    <x v="1"/>
    <x v="0"/>
    <x v="0"/>
    <x v="2"/>
    <x v="1"/>
    <n v="10"/>
    <n v="15.49"/>
    <n v="8"/>
    <n v="374"/>
    <n v="8.39"/>
    <x v="1"/>
    <n v="13"/>
    <n v="154.9"/>
    <n v="162.9"/>
    <x v="0"/>
  </r>
  <r>
    <s v="ORD-10198"/>
    <x v="83"/>
    <d v="2023-04-13T00:00:00"/>
    <x v="5"/>
    <x v="3"/>
    <x v="3"/>
    <x v="1"/>
    <x v="0"/>
    <n v="2"/>
    <n v="1022.38"/>
    <n v="25"/>
    <n v="245"/>
    <n v="703.17"/>
    <x v="0"/>
    <n v="1"/>
    <n v="2044.76"/>
    <n v="2069.7600000000002"/>
    <x v="0"/>
  </r>
  <r>
    <s v="ORD-10199"/>
    <x v="83"/>
    <d v="2023-04-17T00:00:00"/>
    <x v="11"/>
    <x v="3"/>
    <x v="3"/>
    <x v="2"/>
    <x v="3"/>
    <n v="3"/>
    <n v="977.05"/>
    <n v="37.5"/>
    <n v="338"/>
    <n v="1007.15"/>
    <x v="0"/>
    <n v="5"/>
    <n v="2931.1499999999996"/>
    <n v="2968.6499999999996"/>
    <x v="0"/>
  </r>
  <r>
    <s v="ORD-10200"/>
    <x v="84"/>
    <d v="2023-04-16T00:00:00"/>
    <x v="14"/>
    <x v="4"/>
    <x v="4"/>
    <x v="1"/>
    <x v="0"/>
    <n v="1"/>
    <n v="83.62"/>
    <n v="12"/>
    <n v="57"/>
    <n v="31.63"/>
    <x v="0"/>
    <n v="3"/>
    <n v="83.62"/>
    <n v="95.62"/>
    <x v="0"/>
  </r>
  <r>
    <s v="ORD-10201"/>
    <x v="85"/>
    <d v="2023-04-15T00:00:00"/>
    <x v="10"/>
    <x v="0"/>
    <x v="0"/>
    <x v="2"/>
    <x v="3"/>
    <n v="13"/>
    <n v="37.94"/>
    <n v="12"/>
    <n v="384"/>
    <n v="33.46"/>
    <x v="0"/>
    <n v="1"/>
    <n v="493.21999999999997"/>
    <n v="505.21999999999997"/>
    <x v="0"/>
  </r>
  <r>
    <s v="ORD-10202"/>
    <x v="85"/>
    <d v="2023-04-15T00:00:00"/>
    <x v="3"/>
    <x v="1"/>
    <x v="1"/>
    <x v="2"/>
    <x v="1"/>
    <n v="4"/>
    <n v="103.82"/>
    <n v="12"/>
    <n v="91"/>
    <n v="160.11000000000001"/>
    <x v="0"/>
    <n v="1"/>
    <n v="415.28"/>
    <n v="427.28"/>
    <x v="0"/>
  </r>
  <r>
    <s v="ORD-10203"/>
    <x v="86"/>
    <d v="2023-04-17T00:00:00"/>
    <x v="9"/>
    <x v="2"/>
    <x v="2"/>
    <x v="0"/>
    <x v="3"/>
    <n v="2"/>
    <n v="211.46"/>
    <n v="112.5"/>
    <n v="265"/>
    <n v="28.33"/>
    <x v="0"/>
    <n v="2"/>
    <n v="422.92"/>
    <n v="535.42000000000007"/>
    <x v="0"/>
  </r>
  <r>
    <s v="ORD-10204"/>
    <x v="86"/>
    <d v="2023-04-18T00:00:00"/>
    <x v="13"/>
    <x v="4"/>
    <x v="4"/>
    <x v="2"/>
    <x v="1"/>
    <n v="1"/>
    <n v="94.26"/>
    <n v="12"/>
    <n v="51"/>
    <n v="36.42"/>
    <x v="0"/>
    <n v="3"/>
    <n v="94.26"/>
    <n v="106.26"/>
    <x v="0"/>
  </r>
  <r>
    <s v="ORD-10205"/>
    <x v="87"/>
    <d v="2023-04-21T00:00:00"/>
    <x v="14"/>
    <x v="4"/>
    <x v="4"/>
    <x v="2"/>
    <x v="3"/>
    <n v="4"/>
    <n v="123.47"/>
    <n v="18"/>
    <n v="306"/>
    <n v="213.25"/>
    <x v="0"/>
    <n v="5"/>
    <n v="493.88"/>
    <n v="511.88"/>
    <x v="0"/>
  </r>
  <r>
    <s v="ORD-10206"/>
    <x v="87"/>
    <d v="2023-04-23T00:00:00"/>
    <x v="6"/>
    <x v="3"/>
    <x v="3"/>
    <x v="2"/>
    <x v="3"/>
    <n v="1"/>
    <n v="800.28"/>
    <n v="37.5"/>
    <n v="224"/>
    <n v="261.35000000000002"/>
    <x v="2"/>
    <n v="7"/>
    <n v="800.28"/>
    <n v="837.78"/>
    <x v="0"/>
  </r>
  <r>
    <s v="ORD-10207"/>
    <x v="88"/>
    <d v="2023-04-22T00:00:00"/>
    <x v="3"/>
    <x v="1"/>
    <x v="1"/>
    <x v="2"/>
    <x v="3"/>
    <n v="3"/>
    <n v="143.31"/>
    <n v="18"/>
    <n v="206"/>
    <n v="162.97"/>
    <x v="0"/>
    <n v="5"/>
    <n v="429.93"/>
    <n v="447.93"/>
    <x v="0"/>
  </r>
  <r>
    <s v="ORD-10208"/>
    <x v="89"/>
    <d v="2023-04-20T00:00:00"/>
    <x v="3"/>
    <x v="1"/>
    <x v="1"/>
    <x v="1"/>
    <x v="1"/>
    <n v="1"/>
    <n v="118.86"/>
    <n v="12"/>
    <n v="32"/>
    <n v="41.54"/>
    <x v="0"/>
    <n v="2"/>
    <n v="118.86"/>
    <n v="130.86000000000001"/>
    <x v="1"/>
  </r>
  <r>
    <s v="ORD-10209"/>
    <x v="90"/>
    <d v="2023-04-22T00:00:00"/>
    <x v="4"/>
    <x v="2"/>
    <x v="2"/>
    <x v="0"/>
    <x v="2"/>
    <n v="1"/>
    <n v="112.19"/>
    <n v="75"/>
    <n v="356"/>
    <n v="-15.06"/>
    <x v="0"/>
    <n v="3"/>
    <n v="112.19"/>
    <n v="187.19"/>
    <x v="0"/>
  </r>
  <r>
    <s v="ORD-10210"/>
    <x v="90"/>
    <d v="2023-04-20T00:00:00"/>
    <x v="10"/>
    <x v="0"/>
    <x v="0"/>
    <x v="2"/>
    <x v="2"/>
    <n v="8"/>
    <n v="14.94"/>
    <n v="8"/>
    <n v="156"/>
    <n v="5.56"/>
    <x v="0"/>
    <n v="1"/>
    <n v="119.52"/>
    <n v="127.52"/>
    <x v="0"/>
  </r>
  <r>
    <s v="ORD-10211"/>
    <x v="91"/>
    <d v="2023-05-05T00:00:00"/>
    <x v="0"/>
    <x v="0"/>
    <x v="0"/>
    <x v="2"/>
    <x v="3"/>
    <n v="13"/>
    <n v="40.94"/>
    <n v="12"/>
    <n v="209"/>
    <n v="36.57"/>
    <x v="1"/>
    <n v="14"/>
    <n v="532.22"/>
    <n v="544.22"/>
    <x v="0"/>
  </r>
  <r>
    <s v="ORD-10212"/>
    <x v="91"/>
    <d v="2023-04-30T00:00:00"/>
    <x v="6"/>
    <x v="3"/>
    <x v="3"/>
    <x v="2"/>
    <x v="3"/>
    <n v="2"/>
    <n v="972.77"/>
    <n v="37.5"/>
    <n v="360"/>
    <n v="662.19"/>
    <x v="2"/>
    <n v="9"/>
    <n v="1945.54"/>
    <n v="1983.04"/>
    <x v="0"/>
  </r>
  <r>
    <s v="ORD-10213"/>
    <x v="91"/>
    <d v="2023-04-24T00:00:00"/>
    <x v="7"/>
    <x v="1"/>
    <x v="1"/>
    <x v="1"/>
    <x v="1"/>
    <n v="1"/>
    <n v="64.86"/>
    <n v="12"/>
    <n v="82"/>
    <n v="19.940000000000001"/>
    <x v="0"/>
    <n v="3"/>
    <n v="64.86"/>
    <n v="76.86"/>
    <x v="0"/>
  </r>
  <r>
    <s v="ORD-10214"/>
    <x v="91"/>
    <d v="2023-04-28T00:00:00"/>
    <x v="10"/>
    <x v="0"/>
    <x v="0"/>
    <x v="2"/>
    <x v="1"/>
    <n v="6"/>
    <n v="17.690000000000001"/>
    <n v="8"/>
    <n v="263"/>
    <n v="4.49"/>
    <x v="2"/>
    <n v="7"/>
    <n v="106.14000000000001"/>
    <n v="114.14000000000001"/>
    <x v="0"/>
  </r>
  <r>
    <s v="ORD-10215"/>
    <x v="92"/>
    <d v="2023-05-07T00:00:00"/>
    <x v="9"/>
    <x v="2"/>
    <x v="2"/>
    <x v="2"/>
    <x v="2"/>
    <n v="1"/>
    <n v="382.5"/>
    <n v="75"/>
    <n v="102"/>
    <n v="39"/>
    <x v="1"/>
    <n v="14"/>
    <n v="382.5"/>
    <n v="457.5"/>
    <x v="0"/>
  </r>
  <r>
    <s v="ORD-10216"/>
    <x v="92"/>
    <d v="2023-04-25T00:00:00"/>
    <x v="8"/>
    <x v="2"/>
    <x v="2"/>
    <x v="2"/>
    <x v="2"/>
    <n v="1"/>
    <n v="496.68"/>
    <n v="75"/>
    <n v="227"/>
    <n v="61.84"/>
    <x v="0"/>
    <n v="2"/>
    <n v="496.68"/>
    <n v="571.68000000000006"/>
    <x v="0"/>
  </r>
  <r>
    <s v="ORD-10217"/>
    <x v="92"/>
    <d v="2023-05-07T00:00:00"/>
    <x v="11"/>
    <x v="3"/>
    <x v="3"/>
    <x v="2"/>
    <x v="3"/>
    <n v="3"/>
    <n v="472.95"/>
    <n v="37.5"/>
    <n v="44"/>
    <n v="477.85"/>
    <x v="1"/>
    <n v="14"/>
    <n v="1418.85"/>
    <n v="1456.35"/>
    <x v="1"/>
  </r>
  <r>
    <s v="ORD-10218"/>
    <x v="93"/>
    <d v="2023-05-09T00:00:00"/>
    <x v="3"/>
    <x v="1"/>
    <x v="1"/>
    <x v="2"/>
    <x v="1"/>
    <n v="5"/>
    <n v="43.04"/>
    <n v="12"/>
    <n v="302"/>
    <n v="80.069999999999993"/>
    <x v="1"/>
    <n v="15"/>
    <n v="215.2"/>
    <n v="227.2"/>
    <x v="0"/>
  </r>
  <r>
    <s v="ORD-10219"/>
    <x v="93"/>
    <d v="2023-04-25T00:00:00"/>
    <x v="10"/>
    <x v="0"/>
    <x v="0"/>
    <x v="2"/>
    <x v="0"/>
    <n v="8"/>
    <n v="45.38"/>
    <n v="8"/>
    <n v="195"/>
    <n v="25.05"/>
    <x v="0"/>
    <n v="1"/>
    <n v="363.04"/>
    <n v="371.04"/>
    <x v="0"/>
  </r>
  <r>
    <s v="ORD-10220"/>
    <x v="93"/>
    <d v="2023-04-29T00:00:00"/>
    <x v="0"/>
    <x v="0"/>
    <x v="0"/>
    <x v="0"/>
    <x v="2"/>
    <n v="8"/>
    <n v="44.53"/>
    <n v="8"/>
    <n v="391"/>
    <n v="24.5"/>
    <x v="0"/>
    <n v="5"/>
    <n v="356.24"/>
    <n v="364.24"/>
    <x v="0"/>
  </r>
  <r>
    <s v="ORD-10221"/>
    <x v="94"/>
    <d v="2023-05-08T00:00:00"/>
    <x v="3"/>
    <x v="1"/>
    <x v="1"/>
    <x v="2"/>
    <x v="3"/>
    <n v="1"/>
    <n v="102.19"/>
    <n v="18"/>
    <n v="89"/>
    <n v="31.88"/>
    <x v="1"/>
    <n v="13"/>
    <n v="102.19"/>
    <n v="120.19"/>
    <x v="0"/>
  </r>
  <r>
    <s v="ORD-10222"/>
    <x v="94"/>
    <d v="2023-04-26T00:00:00"/>
    <x v="1"/>
    <x v="0"/>
    <x v="0"/>
    <x v="1"/>
    <x v="2"/>
    <n v="7"/>
    <n v="30.93"/>
    <n v="8"/>
    <n v="199"/>
    <n v="13.32"/>
    <x v="0"/>
    <n v="1"/>
    <n v="216.51"/>
    <n v="224.51"/>
    <x v="0"/>
  </r>
  <r>
    <s v="ORD-10223"/>
    <x v="95"/>
    <d v="2023-05-13T00:00:00"/>
    <x v="5"/>
    <x v="3"/>
    <x v="3"/>
    <x v="2"/>
    <x v="3"/>
    <n v="3"/>
    <n v="776.86"/>
    <n v="37.5"/>
    <n v="256"/>
    <n v="796.95"/>
    <x v="1"/>
    <n v="17"/>
    <n v="2330.58"/>
    <n v="2368.08"/>
    <x v="0"/>
  </r>
  <r>
    <s v="ORD-10224"/>
    <x v="95"/>
    <d v="2023-05-01T00:00:00"/>
    <x v="3"/>
    <x v="1"/>
    <x v="1"/>
    <x v="1"/>
    <x v="1"/>
    <n v="4"/>
    <n v="132.25"/>
    <n v="12"/>
    <n v="109"/>
    <n v="205.6"/>
    <x v="0"/>
    <n v="5"/>
    <n v="529"/>
    <n v="541"/>
    <x v="0"/>
  </r>
  <r>
    <s v="ORD-10225"/>
    <x v="96"/>
    <d v="2023-05-02T00:00:00"/>
    <x v="3"/>
    <x v="1"/>
    <x v="1"/>
    <x v="0"/>
    <x v="3"/>
    <n v="1"/>
    <n v="75.06"/>
    <n v="18"/>
    <n v="205"/>
    <n v="-11.26"/>
    <x v="0"/>
    <n v="5"/>
    <n v="75.06"/>
    <n v="93.06"/>
    <x v="0"/>
  </r>
  <r>
    <s v="ORD-10226"/>
    <x v="96"/>
    <d v="2023-05-13T00:00:00"/>
    <x v="12"/>
    <x v="3"/>
    <x v="3"/>
    <x v="2"/>
    <x v="3"/>
    <n v="3"/>
    <n v="892.01"/>
    <n v="37.5"/>
    <n v="120"/>
    <n v="917.86"/>
    <x v="1"/>
    <n v="16"/>
    <n v="2676.0299999999997"/>
    <n v="2713.5299999999997"/>
    <x v="0"/>
  </r>
  <r>
    <s v="ORD-10227"/>
    <x v="96"/>
    <d v="2023-04-28T00:00:00"/>
    <x v="8"/>
    <x v="2"/>
    <x v="2"/>
    <x v="0"/>
    <x v="2"/>
    <n v="1"/>
    <n v="290.94"/>
    <n v="75"/>
    <n v="209"/>
    <n v="20.69"/>
    <x v="0"/>
    <n v="1"/>
    <n v="290.94"/>
    <n v="365.94"/>
    <x v="0"/>
  </r>
  <r>
    <s v="ORD-10228"/>
    <x v="97"/>
    <d v="2023-05-03T00:00:00"/>
    <x v="9"/>
    <x v="2"/>
    <x v="2"/>
    <x v="2"/>
    <x v="3"/>
    <n v="1"/>
    <n v="243.33"/>
    <n v="112.5"/>
    <n v="385"/>
    <n v="-7.58"/>
    <x v="0"/>
    <n v="5"/>
    <n v="243.33"/>
    <n v="355.83000000000004"/>
    <x v="0"/>
  </r>
  <r>
    <s v="ORD-10229"/>
    <x v="97"/>
    <d v="2023-04-29T00:00:00"/>
    <x v="0"/>
    <x v="0"/>
    <x v="0"/>
    <x v="1"/>
    <x v="1"/>
    <n v="10"/>
    <n v="18.170000000000002"/>
    <n v="8"/>
    <n v="6"/>
    <n v="10.54"/>
    <x v="0"/>
    <n v="1"/>
    <n v="181.70000000000002"/>
    <n v="189.70000000000002"/>
    <x v="2"/>
  </r>
  <r>
    <s v="ORD-10230"/>
    <x v="98"/>
    <d v="2023-05-12T00:00:00"/>
    <x v="1"/>
    <x v="0"/>
    <x v="0"/>
    <x v="2"/>
    <x v="2"/>
    <n v="6"/>
    <n v="16.45"/>
    <n v="8"/>
    <n v="33"/>
    <n v="3.9"/>
    <x v="1"/>
    <n v="13"/>
    <n v="98.699999999999989"/>
    <n v="106.69999999999999"/>
    <x v="1"/>
  </r>
  <r>
    <s v="ORD-10231"/>
    <x v="98"/>
    <d v="2023-05-01T00:00:00"/>
    <x v="7"/>
    <x v="1"/>
    <x v="1"/>
    <x v="1"/>
    <x v="1"/>
    <n v="3"/>
    <n v="29.98"/>
    <n v="12"/>
    <n v="182"/>
    <n v="29.98"/>
    <x v="0"/>
    <n v="2"/>
    <n v="89.94"/>
    <n v="101.94"/>
    <x v="0"/>
  </r>
  <r>
    <s v="ORD-10232"/>
    <x v="99"/>
    <d v="2023-05-02T00:00:00"/>
    <x v="0"/>
    <x v="0"/>
    <x v="0"/>
    <x v="0"/>
    <x v="2"/>
    <n v="6"/>
    <n v="24.94"/>
    <n v="8"/>
    <n v="160"/>
    <n v="7.97"/>
    <x v="0"/>
    <n v="2"/>
    <n v="149.64000000000001"/>
    <n v="157.64000000000001"/>
    <x v="0"/>
  </r>
  <r>
    <s v="ORD-10233"/>
    <x v="100"/>
    <d v="2023-05-06T00:00:00"/>
    <x v="3"/>
    <x v="1"/>
    <x v="1"/>
    <x v="2"/>
    <x v="3"/>
    <n v="3"/>
    <n v="43.63"/>
    <n v="18"/>
    <n v="209"/>
    <n v="-19.63"/>
    <x v="0"/>
    <n v="4"/>
    <n v="130.89000000000001"/>
    <n v="148.89000000000001"/>
    <x v="0"/>
  </r>
  <r>
    <s v="ORD-10234"/>
    <x v="100"/>
    <d v="2023-05-07T00:00:00"/>
    <x v="6"/>
    <x v="3"/>
    <x v="3"/>
    <x v="1"/>
    <x v="2"/>
    <n v="3"/>
    <n v="431.38"/>
    <n v="25"/>
    <n v="220"/>
    <n v="440.45"/>
    <x v="0"/>
    <n v="5"/>
    <n v="1294.1399999999999"/>
    <n v="1319.1399999999999"/>
    <x v="0"/>
  </r>
  <r>
    <s v="ORD-10235"/>
    <x v="100"/>
    <d v="2023-05-13T00:00:00"/>
    <x v="10"/>
    <x v="0"/>
    <x v="0"/>
    <x v="2"/>
    <x v="3"/>
    <n v="13"/>
    <n v="35.42"/>
    <n v="12"/>
    <n v="5"/>
    <n v="30.83"/>
    <x v="1"/>
    <n v="11"/>
    <n v="460.46000000000004"/>
    <n v="472.46000000000004"/>
    <x v="2"/>
  </r>
  <r>
    <s v="ORD-10236"/>
    <x v="100"/>
    <d v="2023-05-07T00:00:00"/>
    <x v="3"/>
    <x v="1"/>
    <x v="1"/>
    <x v="1"/>
    <x v="1"/>
    <n v="5"/>
    <n v="39.04"/>
    <n v="12"/>
    <n v="141"/>
    <n v="-29.28"/>
    <x v="0"/>
    <n v="5"/>
    <n v="195.2"/>
    <n v="207.2"/>
    <x v="0"/>
  </r>
  <r>
    <s v="ORD-10237"/>
    <x v="101"/>
    <d v="2023-05-04T00:00:00"/>
    <x v="3"/>
    <x v="1"/>
    <x v="1"/>
    <x v="1"/>
    <x v="0"/>
    <n v="2"/>
    <n v="52.65"/>
    <n v="12"/>
    <n v="397"/>
    <n v="36.119999999999997"/>
    <x v="0"/>
    <n v="1"/>
    <n v="105.3"/>
    <n v="117.3"/>
    <x v="0"/>
  </r>
  <r>
    <s v="ORD-10238"/>
    <x v="102"/>
    <d v="2023-05-08T00:00:00"/>
    <x v="4"/>
    <x v="2"/>
    <x v="2"/>
    <x v="1"/>
    <x v="1"/>
    <n v="1"/>
    <n v="208.8"/>
    <n v="75"/>
    <n v="115"/>
    <n v="4.26"/>
    <x v="0"/>
    <n v="4"/>
    <n v="208.8"/>
    <n v="283.8"/>
    <x v="0"/>
  </r>
  <r>
    <s v="ORD-10239"/>
    <x v="102"/>
    <d v="2023-05-07T00:00:00"/>
    <x v="8"/>
    <x v="2"/>
    <x v="2"/>
    <x v="2"/>
    <x v="3"/>
    <n v="1"/>
    <n v="428.17"/>
    <n v="112.5"/>
    <n v="169"/>
    <n v="29.38"/>
    <x v="0"/>
    <n v="3"/>
    <n v="428.17"/>
    <n v="540.67000000000007"/>
    <x v="0"/>
  </r>
  <r>
    <s v="ORD-10240"/>
    <x v="103"/>
    <d v="2023-05-09T00:00:00"/>
    <x v="1"/>
    <x v="0"/>
    <x v="0"/>
    <x v="1"/>
    <x v="2"/>
    <n v="5"/>
    <n v="37.520000000000003"/>
    <n v="8"/>
    <n v="9"/>
    <n v="11.01"/>
    <x v="0"/>
    <n v="3"/>
    <n v="187.60000000000002"/>
    <n v="195.60000000000002"/>
    <x v="2"/>
  </r>
  <r>
    <s v="ORD-10241"/>
    <x v="103"/>
    <d v="2023-05-07T00:00:00"/>
    <x v="15"/>
    <x v="4"/>
    <x v="4"/>
    <x v="1"/>
    <x v="0"/>
    <n v="2"/>
    <n v="120.92"/>
    <n v="12"/>
    <n v="387"/>
    <n v="102.83"/>
    <x v="0"/>
    <n v="1"/>
    <n v="241.84"/>
    <n v="253.84"/>
    <x v="0"/>
  </r>
  <r>
    <s v="ORD-10242"/>
    <x v="103"/>
    <d v="2023-05-23T00:00:00"/>
    <x v="1"/>
    <x v="0"/>
    <x v="0"/>
    <x v="2"/>
    <x v="1"/>
    <n v="13"/>
    <n v="23.62"/>
    <n v="8"/>
    <n v="1"/>
    <n v="20.57"/>
    <x v="1"/>
    <n v="17"/>
    <n v="307.06"/>
    <n v="315.06"/>
    <x v="2"/>
  </r>
  <r>
    <s v="ORD-10243"/>
    <x v="104"/>
    <d v="2023-05-10T00:00:00"/>
    <x v="10"/>
    <x v="0"/>
    <x v="0"/>
    <x v="1"/>
    <x v="2"/>
    <n v="6"/>
    <n v="20.58"/>
    <n v="8"/>
    <n v="73"/>
    <n v="5.88"/>
    <x v="0"/>
    <n v="3"/>
    <n v="123.47999999999999"/>
    <n v="131.47999999999999"/>
    <x v="0"/>
  </r>
  <r>
    <s v="ORD-10244"/>
    <x v="105"/>
    <d v="2023-05-24T00:00:00"/>
    <x v="6"/>
    <x v="3"/>
    <x v="3"/>
    <x v="2"/>
    <x v="1"/>
    <n v="2"/>
    <n v="228.65"/>
    <n v="25"/>
    <n v="383"/>
    <n v="147.56"/>
    <x v="1"/>
    <n v="16"/>
    <n v="457.3"/>
    <n v="482.3"/>
    <x v="0"/>
  </r>
  <r>
    <s v="ORD-10245"/>
    <x v="105"/>
    <d v="2023-05-12T00:00:00"/>
    <x v="3"/>
    <x v="1"/>
    <x v="1"/>
    <x v="1"/>
    <x v="0"/>
    <n v="3"/>
    <n v="90.75"/>
    <n v="12"/>
    <n v="98"/>
    <n v="102.9"/>
    <x v="0"/>
    <n v="4"/>
    <n v="272.25"/>
    <n v="284.25"/>
    <x v="0"/>
  </r>
  <r>
    <s v="ORD-10246"/>
    <x v="105"/>
    <d v="2023-05-10T00:00:00"/>
    <x v="7"/>
    <x v="1"/>
    <x v="1"/>
    <x v="0"/>
    <x v="2"/>
    <n v="4"/>
    <n v="49.16"/>
    <n v="12"/>
    <n v="344"/>
    <n v="72.66"/>
    <x v="0"/>
    <n v="2"/>
    <n v="196.64"/>
    <n v="208.64"/>
    <x v="0"/>
  </r>
  <r>
    <s v="ORD-10247"/>
    <x v="105"/>
    <d v="2023-05-10T00:00:00"/>
    <x v="6"/>
    <x v="3"/>
    <x v="3"/>
    <x v="0"/>
    <x v="0"/>
    <n v="2"/>
    <n v="1070.69"/>
    <n v="25"/>
    <n v="289"/>
    <n v="736.98"/>
    <x v="0"/>
    <n v="2"/>
    <n v="2141.38"/>
    <n v="2166.38"/>
    <x v="0"/>
  </r>
  <r>
    <s v="ORD-10248"/>
    <x v="106"/>
    <d v="2023-05-14T00:00:00"/>
    <x v="0"/>
    <x v="0"/>
    <x v="0"/>
    <x v="0"/>
    <x v="2"/>
    <n v="8"/>
    <n v="39.1"/>
    <n v="8"/>
    <n v="125"/>
    <n v="21.02"/>
    <x v="0"/>
    <n v="5"/>
    <n v="312.8"/>
    <n v="320.8"/>
    <x v="0"/>
  </r>
  <r>
    <s v="ORD-10249"/>
    <x v="106"/>
    <d v="2023-05-14T00:00:00"/>
    <x v="0"/>
    <x v="0"/>
    <x v="0"/>
    <x v="0"/>
    <x v="1"/>
    <n v="8"/>
    <n v="20.73"/>
    <n v="8"/>
    <n v="1"/>
    <n v="9.27"/>
    <x v="0"/>
    <n v="5"/>
    <n v="165.84"/>
    <n v="173.84"/>
    <x v="2"/>
  </r>
  <r>
    <s v="ORD-10250"/>
    <x v="107"/>
    <d v="2023-05-14T00:00:00"/>
    <x v="10"/>
    <x v="0"/>
    <x v="0"/>
    <x v="1"/>
    <x v="1"/>
    <n v="10"/>
    <n v="42.11"/>
    <n v="8"/>
    <n v="386"/>
    <n v="29.69"/>
    <x v="0"/>
    <n v="4"/>
    <n v="421.1"/>
    <n v="429.1"/>
    <x v="0"/>
  </r>
  <r>
    <s v="ORD-10251"/>
    <x v="107"/>
    <d v="2023-05-21T00:00:00"/>
    <x v="11"/>
    <x v="3"/>
    <x v="3"/>
    <x v="2"/>
    <x v="3"/>
    <n v="1"/>
    <n v="872.38"/>
    <n v="37.5"/>
    <n v="307"/>
    <n v="286.58"/>
    <x v="1"/>
    <n v="11"/>
    <n v="872.38"/>
    <n v="909.88"/>
    <x v="0"/>
  </r>
  <r>
    <s v="ORD-10252"/>
    <x v="107"/>
    <d v="2023-05-12T00:00:00"/>
    <x v="5"/>
    <x v="3"/>
    <x v="3"/>
    <x v="0"/>
    <x v="1"/>
    <n v="1"/>
    <n v="871.27"/>
    <n v="25"/>
    <n v="96"/>
    <n v="292.44"/>
    <x v="0"/>
    <n v="2"/>
    <n v="871.27"/>
    <n v="896.27"/>
    <x v="0"/>
  </r>
  <r>
    <s v="ORD-10253"/>
    <x v="107"/>
    <d v="2023-05-13T00:00:00"/>
    <x v="3"/>
    <x v="1"/>
    <x v="1"/>
    <x v="1"/>
    <x v="0"/>
    <n v="3"/>
    <n v="123.2"/>
    <n v="12"/>
    <n v="208"/>
    <n v="141.84"/>
    <x v="0"/>
    <n v="3"/>
    <n v="369.6"/>
    <n v="381.6"/>
    <x v="0"/>
  </r>
  <r>
    <s v="ORD-10254"/>
    <x v="108"/>
    <d v="2023-05-16T00:00:00"/>
    <x v="15"/>
    <x v="4"/>
    <x v="4"/>
    <x v="1"/>
    <x v="1"/>
    <n v="4"/>
    <n v="75.569999999999993"/>
    <n v="12"/>
    <n v="371"/>
    <n v="130.03"/>
    <x v="0"/>
    <n v="5"/>
    <n v="302.27999999999997"/>
    <n v="314.27999999999997"/>
    <x v="0"/>
  </r>
  <r>
    <s v="ORD-10255"/>
    <x v="108"/>
    <d v="2023-05-12T00:00:00"/>
    <x v="2"/>
    <x v="1"/>
    <x v="1"/>
    <x v="2"/>
    <x v="3"/>
    <n v="2"/>
    <n v="121.34"/>
    <n v="18"/>
    <n v="114"/>
    <n v="88.07"/>
    <x v="0"/>
    <n v="1"/>
    <n v="242.68"/>
    <n v="260.68"/>
    <x v="0"/>
  </r>
  <r>
    <s v="ORD-10256"/>
    <x v="108"/>
    <d v="2023-05-25T00:00:00"/>
    <x v="15"/>
    <x v="4"/>
    <x v="4"/>
    <x v="2"/>
    <x v="3"/>
    <n v="2"/>
    <n v="122.89"/>
    <n v="18"/>
    <n v="127"/>
    <n v="101.6"/>
    <x v="1"/>
    <n v="14"/>
    <n v="245.78"/>
    <n v="263.77999999999997"/>
    <x v="0"/>
  </r>
  <r>
    <s v="ORD-10257"/>
    <x v="109"/>
    <d v="2023-05-14T00:00:00"/>
    <x v="11"/>
    <x v="3"/>
    <x v="3"/>
    <x v="1"/>
    <x v="2"/>
    <n v="3"/>
    <n v="351.78"/>
    <n v="25"/>
    <n v="324"/>
    <n v="356.87"/>
    <x v="0"/>
    <n v="2"/>
    <n v="1055.3399999999999"/>
    <n v="1080.3399999999999"/>
    <x v="0"/>
  </r>
  <r>
    <s v="ORD-10258"/>
    <x v="110"/>
    <d v="2023-05-14T00:00:00"/>
    <x v="2"/>
    <x v="1"/>
    <x v="1"/>
    <x v="2"/>
    <x v="0"/>
    <n v="2"/>
    <n v="22.39"/>
    <n v="12"/>
    <n v="315"/>
    <n v="11.91"/>
    <x v="0"/>
    <n v="1"/>
    <n v="44.78"/>
    <n v="56.78"/>
    <x v="0"/>
  </r>
  <r>
    <s v="ORD-10259"/>
    <x v="110"/>
    <d v="2023-05-15T00:00:00"/>
    <x v="0"/>
    <x v="0"/>
    <x v="0"/>
    <x v="2"/>
    <x v="3"/>
    <n v="8"/>
    <n v="34.24"/>
    <n v="12"/>
    <n v="1"/>
    <n v="15.91"/>
    <x v="0"/>
    <n v="2"/>
    <n v="273.92"/>
    <n v="285.92"/>
    <x v="2"/>
  </r>
  <r>
    <s v="ORD-10260"/>
    <x v="110"/>
    <d v="2023-05-17T00:00:00"/>
    <x v="3"/>
    <x v="1"/>
    <x v="1"/>
    <x v="2"/>
    <x v="3"/>
    <n v="2"/>
    <n v="30.61"/>
    <n v="18"/>
    <n v="58"/>
    <n v="15.49"/>
    <x v="0"/>
    <n v="4"/>
    <n v="61.22"/>
    <n v="79.22"/>
    <x v="0"/>
  </r>
  <r>
    <s v="ORD-10261"/>
    <x v="111"/>
    <d v="2023-05-27T00:00:00"/>
    <x v="10"/>
    <x v="0"/>
    <x v="0"/>
    <x v="2"/>
    <x v="1"/>
    <n v="13"/>
    <n v="35.340000000000003"/>
    <n v="8"/>
    <n v="4"/>
    <n v="32.75"/>
    <x v="1"/>
    <n v="13"/>
    <n v="459.42000000000007"/>
    <n v="467.42000000000007"/>
    <x v="2"/>
  </r>
  <r>
    <s v="ORD-10262"/>
    <x v="111"/>
    <d v="2023-05-18T00:00:00"/>
    <x v="3"/>
    <x v="1"/>
    <x v="1"/>
    <x v="2"/>
    <x v="3"/>
    <n v="2"/>
    <n v="36.57"/>
    <n v="18"/>
    <n v="351"/>
    <n v="20.260000000000002"/>
    <x v="0"/>
    <n v="4"/>
    <n v="73.14"/>
    <n v="91.14"/>
    <x v="0"/>
  </r>
  <r>
    <s v="ORD-10263"/>
    <x v="112"/>
    <d v="2023-05-20T00:00:00"/>
    <x v="0"/>
    <x v="0"/>
    <x v="0"/>
    <x v="0"/>
    <x v="1"/>
    <n v="8"/>
    <n v="22.32"/>
    <n v="8"/>
    <n v="170"/>
    <n v="10.28"/>
    <x v="0"/>
    <n v="5"/>
    <n v="178.56"/>
    <n v="186.56"/>
    <x v="0"/>
  </r>
  <r>
    <s v="ORD-10264"/>
    <x v="113"/>
    <d v="2023-05-22T00:00:00"/>
    <x v="4"/>
    <x v="2"/>
    <x v="2"/>
    <x v="2"/>
    <x v="3"/>
    <n v="1"/>
    <n v="337.38"/>
    <n v="112.5"/>
    <n v="356"/>
    <n v="11.23"/>
    <x v="0"/>
    <n v="5"/>
    <n v="337.38"/>
    <n v="449.88"/>
    <x v="0"/>
  </r>
  <r>
    <s v="ORD-10265"/>
    <x v="114"/>
    <d v="2023-05-23T00:00:00"/>
    <x v="12"/>
    <x v="3"/>
    <x v="3"/>
    <x v="2"/>
    <x v="3"/>
    <n v="3"/>
    <n v="1031.52"/>
    <n v="37.5"/>
    <n v="280"/>
    <n v="1064.3399999999999"/>
    <x v="0"/>
    <n v="5"/>
    <n v="3094.56"/>
    <n v="3132.06"/>
    <x v="0"/>
  </r>
  <r>
    <s v="ORD-10266"/>
    <x v="114"/>
    <d v="2023-05-23T00:00:00"/>
    <x v="10"/>
    <x v="0"/>
    <x v="0"/>
    <x v="2"/>
    <x v="3"/>
    <n v="7"/>
    <n v="10"/>
    <n v="12"/>
    <n v="209"/>
    <n v="-0.4"/>
    <x v="0"/>
    <n v="5"/>
    <n v="70"/>
    <n v="82"/>
    <x v="0"/>
  </r>
  <r>
    <s v="ORD-10267"/>
    <x v="115"/>
    <d v="2023-05-26T00:00:00"/>
    <x v="7"/>
    <x v="1"/>
    <x v="1"/>
    <x v="2"/>
    <x v="0"/>
    <n v="2"/>
    <n v="91.35"/>
    <n v="12"/>
    <n v="238"/>
    <n v="67.08"/>
    <x v="2"/>
    <n v="7"/>
    <n v="182.7"/>
    <n v="194.7"/>
    <x v="0"/>
  </r>
  <r>
    <s v="ORD-10268"/>
    <x v="116"/>
    <d v="2023-05-23T00:00:00"/>
    <x v="4"/>
    <x v="2"/>
    <x v="2"/>
    <x v="2"/>
    <x v="3"/>
    <n v="1"/>
    <n v="490.72"/>
    <n v="112.5"/>
    <n v="237"/>
    <n v="41.89"/>
    <x v="0"/>
    <n v="3"/>
    <n v="490.72"/>
    <n v="603.22"/>
    <x v="0"/>
  </r>
  <r>
    <s v="ORD-10269"/>
    <x v="117"/>
    <d v="2023-05-26T00:00:00"/>
    <x v="2"/>
    <x v="1"/>
    <x v="1"/>
    <x v="2"/>
    <x v="3"/>
    <n v="5"/>
    <n v="72.349999999999994"/>
    <n v="18"/>
    <n v="27"/>
    <n v="135.69999999999999"/>
    <x v="0"/>
    <n v="5"/>
    <n v="361.75"/>
    <n v="379.75"/>
    <x v="1"/>
  </r>
  <r>
    <s v="ORD-10270"/>
    <x v="117"/>
    <d v="2023-05-25T00:00:00"/>
    <x v="4"/>
    <x v="2"/>
    <x v="2"/>
    <x v="0"/>
    <x v="1"/>
    <n v="2"/>
    <n v="147.82"/>
    <n v="75"/>
    <n v="92"/>
    <n v="21.63"/>
    <x v="0"/>
    <n v="4"/>
    <n v="295.64"/>
    <n v="370.64"/>
    <x v="0"/>
  </r>
  <r>
    <s v="ORD-10271"/>
    <x v="117"/>
    <d v="2023-05-25T00:00:00"/>
    <x v="2"/>
    <x v="1"/>
    <x v="1"/>
    <x v="1"/>
    <x v="2"/>
    <n v="5"/>
    <n v="121.45"/>
    <n v="12"/>
    <n v="105"/>
    <n v="-91.08"/>
    <x v="0"/>
    <n v="4"/>
    <n v="607.25"/>
    <n v="619.25"/>
    <x v="0"/>
  </r>
  <r>
    <s v="ORD-10272"/>
    <x v="118"/>
    <d v="2023-05-26T00:00:00"/>
    <x v="7"/>
    <x v="1"/>
    <x v="1"/>
    <x v="2"/>
    <x v="1"/>
    <n v="4"/>
    <n v="45.51"/>
    <n v="12"/>
    <n v="365"/>
    <n v="66.819999999999993"/>
    <x v="0"/>
    <n v="3"/>
    <n v="182.04"/>
    <n v="194.04"/>
    <x v="0"/>
  </r>
  <r>
    <s v="ORD-10273"/>
    <x v="118"/>
    <d v="2023-05-25T00:00:00"/>
    <x v="7"/>
    <x v="1"/>
    <x v="1"/>
    <x v="1"/>
    <x v="0"/>
    <n v="3"/>
    <n v="146.81"/>
    <n v="12"/>
    <n v="30"/>
    <n v="170.17"/>
    <x v="0"/>
    <n v="2"/>
    <n v="440.43"/>
    <n v="452.43"/>
    <x v="1"/>
  </r>
  <r>
    <s v="ORD-10274"/>
    <x v="118"/>
    <d v="2023-06-06T00:00:00"/>
    <x v="3"/>
    <x v="1"/>
    <x v="1"/>
    <x v="2"/>
    <x v="1"/>
    <n v="4"/>
    <n v="104.88"/>
    <n v="12"/>
    <n v="251"/>
    <n v="161.81"/>
    <x v="1"/>
    <n v="14"/>
    <n v="419.52"/>
    <n v="431.52"/>
    <x v="0"/>
  </r>
  <r>
    <s v="ORD-10275"/>
    <x v="118"/>
    <d v="2023-05-28T00:00:00"/>
    <x v="11"/>
    <x v="3"/>
    <x v="3"/>
    <x v="0"/>
    <x v="2"/>
    <n v="2"/>
    <n v="901.74"/>
    <n v="25"/>
    <n v="70"/>
    <n v="618.72"/>
    <x v="0"/>
    <n v="5"/>
    <n v="1803.48"/>
    <n v="1828.48"/>
    <x v="0"/>
  </r>
  <r>
    <s v="ORD-10276"/>
    <x v="119"/>
    <d v="2023-05-27T00:00:00"/>
    <x v="2"/>
    <x v="1"/>
    <x v="1"/>
    <x v="0"/>
    <x v="1"/>
    <n v="1"/>
    <n v="119.65"/>
    <n v="12"/>
    <n v="279"/>
    <n v="41.86"/>
    <x v="0"/>
    <n v="3"/>
    <n v="119.65"/>
    <n v="131.65"/>
    <x v="0"/>
  </r>
  <r>
    <s v="ORD-10277"/>
    <x v="119"/>
    <d v="2023-05-26T00:00:00"/>
    <x v="13"/>
    <x v="4"/>
    <x v="4"/>
    <x v="2"/>
    <x v="1"/>
    <n v="1"/>
    <n v="68.099999999999994"/>
    <n v="12"/>
    <n v="298"/>
    <n v="24.64"/>
    <x v="0"/>
    <n v="2"/>
    <n v="68.099999999999994"/>
    <n v="80.099999999999994"/>
    <x v="0"/>
  </r>
  <r>
    <s v="ORD-10278"/>
    <x v="119"/>
    <d v="2023-05-28T00:00:00"/>
    <x v="14"/>
    <x v="4"/>
    <x v="4"/>
    <x v="2"/>
    <x v="0"/>
    <n v="4"/>
    <n v="64.11"/>
    <n v="12"/>
    <n v="54"/>
    <n v="109.4"/>
    <x v="0"/>
    <n v="4"/>
    <n v="256.44"/>
    <n v="268.44"/>
    <x v="0"/>
  </r>
  <r>
    <s v="ORD-10279"/>
    <x v="120"/>
    <d v="2023-05-28T00:00:00"/>
    <x v="2"/>
    <x v="1"/>
    <x v="1"/>
    <x v="0"/>
    <x v="0"/>
    <n v="1"/>
    <n v="34.97"/>
    <n v="12"/>
    <n v="125"/>
    <n v="7.99"/>
    <x v="0"/>
    <n v="3"/>
    <n v="34.97"/>
    <n v="46.97"/>
    <x v="0"/>
  </r>
  <r>
    <s v="ORD-10280"/>
    <x v="120"/>
    <d v="2023-06-10T00:00:00"/>
    <x v="1"/>
    <x v="0"/>
    <x v="0"/>
    <x v="2"/>
    <x v="0"/>
    <n v="13"/>
    <n v="28.22"/>
    <n v="8"/>
    <n v="229"/>
    <n v="25.34"/>
    <x v="1"/>
    <n v="16"/>
    <n v="366.86"/>
    <n v="374.86"/>
    <x v="0"/>
  </r>
  <r>
    <s v="ORD-10281"/>
    <x v="121"/>
    <d v="2023-06-05T00:00:00"/>
    <x v="8"/>
    <x v="2"/>
    <x v="2"/>
    <x v="2"/>
    <x v="0"/>
    <n v="1"/>
    <n v="447.27"/>
    <n v="75"/>
    <n v="207"/>
    <n v="51.95"/>
    <x v="2"/>
    <n v="10"/>
    <n v="447.27"/>
    <n v="522.27"/>
    <x v="0"/>
  </r>
  <r>
    <s v="ORD-10282"/>
    <x v="121"/>
    <d v="2023-06-05T00:00:00"/>
    <x v="5"/>
    <x v="3"/>
    <x v="3"/>
    <x v="2"/>
    <x v="3"/>
    <n v="1"/>
    <n v="563.65"/>
    <n v="37.5"/>
    <n v="272"/>
    <n v="178.53"/>
    <x v="2"/>
    <n v="10"/>
    <n v="563.65"/>
    <n v="601.15"/>
    <x v="0"/>
  </r>
  <r>
    <s v="ORD-10283"/>
    <x v="121"/>
    <d v="2023-05-29T00:00:00"/>
    <x v="12"/>
    <x v="3"/>
    <x v="3"/>
    <x v="2"/>
    <x v="1"/>
    <n v="1"/>
    <n v="596.30999999999995"/>
    <n v="25"/>
    <n v="66"/>
    <n v="196.21"/>
    <x v="0"/>
    <n v="3"/>
    <n v="596.30999999999995"/>
    <n v="621.30999999999995"/>
    <x v="0"/>
  </r>
  <r>
    <s v="ORD-10284"/>
    <x v="122"/>
    <d v="2023-05-30T00:00:00"/>
    <x v="3"/>
    <x v="1"/>
    <x v="1"/>
    <x v="0"/>
    <x v="3"/>
    <n v="1"/>
    <n v="81.09"/>
    <n v="18"/>
    <n v="177"/>
    <n v="23.44"/>
    <x v="0"/>
    <n v="3"/>
    <n v="81.09"/>
    <n v="99.09"/>
    <x v="0"/>
  </r>
  <r>
    <s v="ORD-10285"/>
    <x v="122"/>
    <d v="2023-06-08T00:00:00"/>
    <x v="1"/>
    <x v="0"/>
    <x v="0"/>
    <x v="2"/>
    <x v="2"/>
    <n v="11"/>
    <n v="21.08"/>
    <n v="8"/>
    <n v="365"/>
    <n v="14.55"/>
    <x v="1"/>
    <n v="12"/>
    <n v="231.88"/>
    <n v="239.88"/>
    <x v="0"/>
  </r>
  <r>
    <s v="ORD-10286"/>
    <x v="123"/>
    <d v="2023-06-01T00:00:00"/>
    <x v="0"/>
    <x v="0"/>
    <x v="0"/>
    <x v="1"/>
    <x v="2"/>
    <n v="9"/>
    <n v="26.91"/>
    <n v="8"/>
    <n v="248"/>
    <n v="-36.32"/>
    <x v="0"/>
    <n v="4"/>
    <n v="242.19"/>
    <n v="250.19"/>
    <x v="0"/>
  </r>
  <r>
    <s v="ORD-10287"/>
    <x v="123"/>
    <d v="2023-06-02T00:00:00"/>
    <x v="14"/>
    <x v="4"/>
    <x v="4"/>
    <x v="0"/>
    <x v="3"/>
    <n v="5"/>
    <n v="21.68"/>
    <n v="18"/>
    <n v="209"/>
    <n v="39.78"/>
    <x v="0"/>
    <n v="5"/>
    <n v="108.4"/>
    <n v="126.4"/>
    <x v="0"/>
  </r>
  <r>
    <s v="ORD-10288"/>
    <x v="124"/>
    <d v="2023-05-30T00:00:00"/>
    <x v="3"/>
    <x v="1"/>
    <x v="1"/>
    <x v="0"/>
    <x v="1"/>
    <n v="3"/>
    <n v="36.520000000000003"/>
    <n v="12"/>
    <n v="205"/>
    <n v="37.83"/>
    <x v="0"/>
    <n v="1"/>
    <n v="109.56"/>
    <n v="121.56"/>
    <x v="0"/>
  </r>
  <r>
    <s v="ORD-10289"/>
    <x v="124"/>
    <d v="2023-06-02T00:00:00"/>
    <x v="10"/>
    <x v="0"/>
    <x v="0"/>
    <x v="2"/>
    <x v="3"/>
    <n v="5"/>
    <n v="33.520000000000003"/>
    <n v="12"/>
    <n v="1"/>
    <n v="7.41"/>
    <x v="0"/>
    <n v="4"/>
    <n v="167.60000000000002"/>
    <n v="179.60000000000002"/>
    <x v="2"/>
  </r>
  <r>
    <s v="ORD-10290"/>
    <x v="124"/>
    <d v="2023-05-30T00:00:00"/>
    <x v="7"/>
    <x v="1"/>
    <x v="1"/>
    <x v="0"/>
    <x v="0"/>
    <n v="4"/>
    <n v="52.16"/>
    <n v="12"/>
    <n v="198"/>
    <n v="77.459999999999994"/>
    <x v="0"/>
    <n v="1"/>
    <n v="208.64"/>
    <n v="220.64"/>
    <x v="0"/>
  </r>
  <r>
    <s v="ORD-10291"/>
    <x v="124"/>
    <d v="2023-06-01T00:00:00"/>
    <x v="7"/>
    <x v="1"/>
    <x v="1"/>
    <x v="2"/>
    <x v="3"/>
    <n v="5"/>
    <n v="122.41"/>
    <n v="18"/>
    <n v="349"/>
    <n v="235.81"/>
    <x v="0"/>
    <n v="3"/>
    <n v="612.04999999999995"/>
    <n v="630.04999999999995"/>
    <x v="0"/>
  </r>
  <r>
    <s v="ORD-10292"/>
    <x v="124"/>
    <d v="2023-06-02T00:00:00"/>
    <x v="6"/>
    <x v="3"/>
    <x v="3"/>
    <x v="1"/>
    <x v="0"/>
    <n v="1"/>
    <n v="384.46"/>
    <n v="25"/>
    <n v="25"/>
    <n v="122.06"/>
    <x v="0"/>
    <n v="4"/>
    <n v="384.46"/>
    <n v="409.46"/>
    <x v="1"/>
  </r>
  <r>
    <s v="ORD-10293"/>
    <x v="124"/>
    <d v="2023-06-02T00:00:00"/>
    <x v="4"/>
    <x v="2"/>
    <x v="2"/>
    <x v="1"/>
    <x v="0"/>
    <n v="1"/>
    <n v="253.11"/>
    <n v="75"/>
    <n v="194"/>
    <n v="13.12"/>
    <x v="0"/>
    <n v="4"/>
    <n v="253.11"/>
    <n v="328.11"/>
    <x v="0"/>
  </r>
  <r>
    <s v="ORD-10294"/>
    <x v="125"/>
    <d v="2023-06-12T00:00:00"/>
    <x v="11"/>
    <x v="3"/>
    <x v="3"/>
    <x v="2"/>
    <x v="3"/>
    <n v="1"/>
    <n v="766.02"/>
    <n v="37.5"/>
    <n v="352"/>
    <n v="249.36"/>
    <x v="1"/>
    <n v="13"/>
    <n v="766.02"/>
    <n v="803.52"/>
    <x v="0"/>
  </r>
  <r>
    <s v="ORD-10295"/>
    <x v="126"/>
    <d v="2023-06-15T00:00:00"/>
    <x v="12"/>
    <x v="3"/>
    <x v="3"/>
    <x v="2"/>
    <x v="3"/>
    <n v="2"/>
    <n v="651.19000000000005"/>
    <n v="37.5"/>
    <n v="129"/>
    <n v="437.09"/>
    <x v="1"/>
    <n v="15"/>
    <n v="1302.3800000000001"/>
    <n v="1339.88"/>
    <x v="0"/>
  </r>
  <r>
    <s v="ORD-10296"/>
    <x v="126"/>
    <d v="2023-06-02T00:00:00"/>
    <x v="12"/>
    <x v="3"/>
    <x v="3"/>
    <x v="2"/>
    <x v="3"/>
    <n v="3"/>
    <n v="366.07"/>
    <n v="37.5"/>
    <n v="44"/>
    <n v="365.63"/>
    <x v="0"/>
    <n v="2"/>
    <n v="1098.21"/>
    <n v="1135.71"/>
    <x v="1"/>
  </r>
  <r>
    <s v="ORD-10297"/>
    <x v="126"/>
    <d v="2023-06-01T00:00:00"/>
    <x v="6"/>
    <x v="3"/>
    <x v="3"/>
    <x v="2"/>
    <x v="3"/>
    <n v="3"/>
    <n v="870.43"/>
    <n v="37.5"/>
    <n v="179"/>
    <n v="895.21"/>
    <x v="0"/>
    <n v="1"/>
    <n v="2611.29"/>
    <n v="2648.79"/>
    <x v="0"/>
  </r>
  <r>
    <s v="ORD-10298"/>
    <x v="127"/>
    <d v="2023-06-16T00:00:00"/>
    <x v="5"/>
    <x v="3"/>
    <x v="3"/>
    <x v="2"/>
    <x v="3"/>
    <n v="2"/>
    <n v="241.43"/>
    <n v="37.5"/>
    <n v="299"/>
    <n v="150.25"/>
    <x v="1"/>
    <n v="15"/>
    <n v="482.86"/>
    <n v="520.36"/>
    <x v="0"/>
  </r>
  <r>
    <s v="ORD-10299"/>
    <x v="127"/>
    <d v="2023-06-09T00:00:00"/>
    <x v="5"/>
    <x v="3"/>
    <x v="3"/>
    <x v="2"/>
    <x v="1"/>
    <n v="1"/>
    <n v="787.7"/>
    <n v="25"/>
    <n v="338"/>
    <n v="263.19"/>
    <x v="2"/>
    <n v="8"/>
    <n v="787.7"/>
    <n v="812.7"/>
    <x v="0"/>
  </r>
  <r>
    <s v="ORD-10300"/>
    <x v="127"/>
    <d v="2023-06-02T00:00:00"/>
    <x v="10"/>
    <x v="0"/>
    <x v="0"/>
    <x v="1"/>
    <x v="1"/>
    <n v="14"/>
    <n v="23"/>
    <n v="8"/>
    <n v="235"/>
    <n v="21.76"/>
    <x v="0"/>
    <n v="1"/>
    <n v="322"/>
    <n v="330"/>
    <x v="0"/>
  </r>
  <r>
    <s v="ORD-10301"/>
    <x v="128"/>
    <d v="2023-06-06T00:00:00"/>
    <x v="10"/>
    <x v="0"/>
    <x v="0"/>
    <x v="2"/>
    <x v="1"/>
    <n v="7"/>
    <n v="10.67"/>
    <n v="8"/>
    <n v="367"/>
    <n v="1.97"/>
    <x v="0"/>
    <n v="4"/>
    <n v="74.69"/>
    <n v="82.69"/>
    <x v="0"/>
  </r>
  <r>
    <s v="ORD-10302"/>
    <x v="129"/>
    <d v="2023-06-08T00:00:00"/>
    <x v="1"/>
    <x v="0"/>
    <x v="0"/>
    <x v="0"/>
    <x v="2"/>
    <n v="14"/>
    <n v="12.38"/>
    <n v="8"/>
    <n v="187"/>
    <n v="9.8699999999999992"/>
    <x v="0"/>
    <n v="5"/>
    <n v="173.32000000000002"/>
    <n v="181.32000000000002"/>
    <x v="0"/>
  </r>
  <r>
    <s v="ORD-10303"/>
    <x v="129"/>
    <d v="2023-06-05T00:00:00"/>
    <x v="10"/>
    <x v="0"/>
    <x v="0"/>
    <x v="2"/>
    <x v="1"/>
    <n v="12"/>
    <n v="25.84"/>
    <n v="8"/>
    <n v="104"/>
    <n v="20.81"/>
    <x v="0"/>
    <n v="2"/>
    <n v="310.08"/>
    <n v="318.08"/>
    <x v="0"/>
  </r>
  <r>
    <s v="ORD-10304"/>
    <x v="129"/>
    <d v="2023-06-04T00:00:00"/>
    <x v="13"/>
    <x v="4"/>
    <x v="4"/>
    <x v="2"/>
    <x v="3"/>
    <n v="5"/>
    <n v="82.89"/>
    <n v="18"/>
    <n v="362"/>
    <n v="177.51"/>
    <x v="0"/>
    <n v="1"/>
    <n v="414.45"/>
    <n v="432.45"/>
    <x v="0"/>
  </r>
  <r>
    <s v="ORD-10305"/>
    <x v="130"/>
    <d v="2023-06-08T00:00:00"/>
    <x v="11"/>
    <x v="3"/>
    <x v="3"/>
    <x v="2"/>
    <x v="3"/>
    <n v="3"/>
    <n v="942.27"/>
    <n v="37.5"/>
    <n v="69"/>
    <n v="970.63"/>
    <x v="0"/>
    <n v="4"/>
    <n v="2826.81"/>
    <n v="2864.31"/>
    <x v="0"/>
  </r>
  <r>
    <s v="ORD-10306"/>
    <x v="130"/>
    <d v="2023-06-05T00:00:00"/>
    <x v="4"/>
    <x v="2"/>
    <x v="2"/>
    <x v="0"/>
    <x v="1"/>
    <n v="2"/>
    <n v="178.3"/>
    <n v="75"/>
    <n v="96"/>
    <n v="33.82"/>
    <x v="0"/>
    <n v="1"/>
    <n v="356.6"/>
    <n v="431.6"/>
    <x v="0"/>
  </r>
  <r>
    <s v="ORD-10307"/>
    <x v="131"/>
    <d v="2023-06-17T00:00:00"/>
    <x v="12"/>
    <x v="3"/>
    <x v="3"/>
    <x v="2"/>
    <x v="3"/>
    <n v="2"/>
    <n v="894.02"/>
    <n v="37.5"/>
    <n v="316"/>
    <n v="607.05999999999995"/>
    <x v="1"/>
    <n v="12"/>
    <n v="1788.04"/>
    <n v="1825.54"/>
    <x v="0"/>
  </r>
  <r>
    <s v="ORD-10308"/>
    <x v="131"/>
    <d v="2023-06-07T00:00:00"/>
    <x v="6"/>
    <x v="3"/>
    <x v="3"/>
    <x v="2"/>
    <x v="3"/>
    <n v="3"/>
    <n v="374.41"/>
    <n v="37.5"/>
    <n v="38"/>
    <n v="374.38"/>
    <x v="0"/>
    <n v="2"/>
    <n v="1123.23"/>
    <n v="1160.73"/>
    <x v="1"/>
  </r>
  <r>
    <s v="ORD-10309"/>
    <x v="132"/>
    <d v="2023-06-09T00:00:00"/>
    <x v="9"/>
    <x v="2"/>
    <x v="2"/>
    <x v="2"/>
    <x v="3"/>
    <n v="1"/>
    <n v="178.52"/>
    <n v="112.5"/>
    <n v="145"/>
    <n v="-20.55"/>
    <x v="0"/>
    <n v="3"/>
    <n v="178.52"/>
    <n v="291.02"/>
    <x v="0"/>
  </r>
  <r>
    <s v="ORD-10310"/>
    <x v="132"/>
    <d v="2023-06-08T00:00:00"/>
    <x v="4"/>
    <x v="2"/>
    <x v="2"/>
    <x v="1"/>
    <x v="1"/>
    <n v="2"/>
    <n v="344.66"/>
    <n v="75"/>
    <n v="148"/>
    <n v="100.36"/>
    <x v="0"/>
    <n v="2"/>
    <n v="689.32"/>
    <n v="764.32"/>
    <x v="0"/>
  </r>
  <r>
    <s v="ORD-10311"/>
    <x v="133"/>
    <d v="2023-06-12T00:00:00"/>
    <x v="6"/>
    <x v="3"/>
    <x v="3"/>
    <x v="2"/>
    <x v="3"/>
    <n v="1"/>
    <n v="584.73"/>
    <n v="37.5"/>
    <n v="153"/>
    <n v="185.91"/>
    <x v="0"/>
    <n v="5"/>
    <n v="584.73"/>
    <n v="622.23"/>
    <x v="0"/>
  </r>
  <r>
    <s v="ORD-10312"/>
    <x v="134"/>
    <d v="2023-06-13T00:00:00"/>
    <x v="1"/>
    <x v="0"/>
    <x v="0"/>
    <x v="2"/>
    <x v="3"/>
    <n v="13"/>
    <n v="40.909999999999997"/>
    <n v="12"/>
    <n v="263"/>
    <n v="36.54"/>
    <x v="0"/>
    <n v="5"/>
    <n v="531.82999999999993"/>
    <n v="543.82999999999993"/>
    <x v="0"/>
  </r>
  <r>
    <s v="ORD-10313"/>
    <x v="134"/>
    <d v="2023-06-09T00:00:00"/>
    <x v="12"/>
    <x v="3"/>
    <x v="3"/>
    <x v="0"/>
    <x v="1"/>
    <n v="1"/>
    <n v="998.66"/>
    <n v="25"/>
    <n v="118"/>
    <n v="-149.80000000000001"/>
    <x v="0"/>
    <n v="1"/>
    <n v="998.66"/>
    <n v="1023.66"/>
    <x v="0"/>
  </r>
  <r>
    <s v="ORD-10314"/>
    <x v="135"/>
    <d v="2023-06-11T00:00:00"/>
    <x v="15"/>
    <x v="4"/>
    <x v="4"/>
    <x v="1"/>
    <x v="0"/>
    <n v="5"/>
    <n v="135.16999999999999"/>
    <n v="12"/>
    <n v="128"/>
    <n v="298.13"/>
    <x v="0"/>
    <n v="2"/>
    <n v="675.84999999999991"/>
    <n v="687.84999999999991"/>
    <x v="0"/>
  </r>
  <r>
    <s v="ORD-10315"/>
    <x v="135"/>
    <d v="2023-06-12T00:00:00"/>
    <x v="6"/>
    <x v="3"/>
    <x v="3"/>
    <x v="2"/>
    <x v="3"/>
    <n v="1"/>
    <n v="431.08"/>
    <n v="37.5"/>
    <n v="286"/>
    <n v="132.13"/>
    <x v="0"/>
    <n v="3"/>
    <n v="431.08"/>
    <n v="468.58"/>
    <x v="0"/>
  </r>
  <r>
    <s v="ORD-10316"/>
    <x v="135"/>
    <d v="2023-06-23T00:00:00"/>
    <x v="12"/>
    <x v="3"/>
    <x v="3"/>
    <x v="2"/>
    <x v="3"/>
    <n v="1"/>
    <n v="439.07"/>
    <n v="37.5"/>
    <n v="149"/>
    <n v="134.91999999999999"/>
    <x v="1"/>
    <n v="14"/>
    <n v="439.07"/>
    <n v="476.57"/>
    <x v="0"/>
  </r>
  <r>
    <s v="ORD-10317"/>
    <x v="135"/>
    <d v="2023-06-17T00:00:00"/>
    <x v="1"/>
    <x v="0"/>
    <x v="0"/>
    <x v="2"/>
    <x v="3"/>
    <n v="11"/>
    <n v="41.28"/>
    <n v="12"/>
    <n v="3"/>
    <n v="30.32"/>
    <x v="2"/>
    <n v="8"/>
    <n v="454.08000000000004"/>
    <n v="466.08000000000004"/>
    <x v="2"/>
  </r>
  <r>
    <s v="ORD-10318"/>
    <x v="136"/>
    <d v="2023-06-14T00:00:00"/>
    <x v="13"/>
    <x v="4"/>
    <x v="4"/>
    <x v="2"/>
    <x v="0"/>
    <n v="2"/>
    <n v="85.58"/>
    <n v="12"/>
    <n v="94"/>
    <n v="71.02"/>
    <x v="0"/>
    <n v="4"/>
    <n v="171.16"/>
    <n v="183.16"/>
    <x v="0"/>
  </r>
  <r>
    <s v="ORD-10319"/>
    <x v="137"/>
    <d v="2023-06-15T00:00:00"/>
    <x v="5"/>
    <x v="3"/>
    <x v="3"/>
    <x v="1"/>
    <x v="0"/>
    <n v="1"/>
    <n v="398.63"/>
    <n v="25"/>
    <n v="236"/>
    <n v="127.02"/>
    <x v="0"/>
    <n v="4"/>
    <n v="398.63"/>
    <n v="423.63"/>
    <x v="0"/>
  </r>
  <r>
    <s v="ORD-10320"/>
    <x v="137"/>
    <d v="2023-06-14T00:00:00"/>
    <x v="13"/>
    <x v="4"/>
    <x v="4"/>
    <x v="0"/>
    <x v="2"/>
    <n v="3"/>
    <n v="144.32"/>
    <n v="12"/>
    <n v="163"/>
    <n v="188.83"/>
    <x v="0"/>
    <n v="3"/>
    <n v="432.96"/>
    <n v="444.96"/>
    <x v="0"/>
  </r>
  <r>
    <s v="ORD-10321"/>
    <x v="138"/>
    <d v="2023-06-15T00:00:00"/>
    <x v="5"/>
    <x v="3"/>
    <x v="3"/>
    <x v="2"/>
    <x v="3"/>
    <n v="1"/>
    <n v="745.92"/>
    <n v="37.5"/>
    <n v="174"/>
    <n v="242.32"/>
    <x v="0"/>
    <n v="2"/>
    <n v="745.92"/>
    <n v="783.42"/>
    <x v="0"/>
  </r>
  <r>
    <s v="ORD-10322"/>
    <x v="138"/>
    <d v="2023-06-16T00:00:00"/>
    <x v="5"/>
    <x v="3"/>
    <x v="3"/>
    <x v="1"/>
    <x v="1"/>
    <n v="1"/>
    <n v="882.54"/>
    <n v="25"/>
    <n v="193"/>
    <n v="296.39"/>
    <x v="0"/>
    <n v="3"/>
    <n v="882.54"/>
    <n v="907.54"/>
    <x v="0"/>
  </r>
  <r>
    <s v="ORD-10323"/>
    <x v="139"/>
    <d v="2023-06-19T00:00:00"/>
    <x v="7"/>
    <x v="1"/>
    <x v="1"/>
    <x v="2"/>
    <x v="3"/>
    <n v="5"/>
    <n v="43.03"/>
    <n v="18"/>
    <n v="109"/>
    <n v="77.05"/>
    <x v="0"/>
    <n v="5"/>
    <n v="215.15"/>
    <n v="233.15"/>
    <x v="0"/>
  </r>
  <r>
    <s v="ORD-10324"/>
    <x v="139"/>
    <d v="2023-06-15T00:00:00"/>
    <x v="11"/>
    <x v="3"/>
    <x v="3"/>
    <x v="1"/>
    <x v="2"/>
    <n v="2"/>
    <n v="489.44"/>
    <n v="25"/>
    <n v="128"/>
    <n v="330.11"/>
    <x v="0"/>
    <n v="1"/>
    <n v="978.88"/>
    <n v="1003.88"/>
    <x v="0"/>
  </r>
  <r>
    <s v="ORD-10325"/>
    <x v="140"/>
    <d v="2023-06-16T00:00:00"/>
    <x v="7"/>
    <x v="1"/>
    <x v="1"/>
    <x v="2"/>
    <x v="3"/>
    <n v="5"/>
    <n v="133.5"/>
    <n v="18"/>
    <n v="302"/>
    <n v="257.99"/>
    <x v="0"/>
    <n v="1"/>
    <n v="667.5"/>
    <n v="685.5"/>
    <x v="0"/>
  </r>
  <r>
    <s v="ORD-10326"/>
    <x v="140"/>
    <d v="2023-06-16T00:00:00"/>
    <x v="10"/>
    <x v="0"/>
    <x v="0"/>
    <x v="0"/>
    <x v="0"/>
    <n v="9"/>
    <n v="43.46"/>
    <n v="8"/>
    <n v="184"/>
    <n v="27.29"/>
    <x v="0"/>
    <n v="1"/>
    <n v="391.14"/>
    <n v="399.14"/>
    <x v="0"/>
  </r>
  <r>
    <s v="ORD-10327"/>
    <x v="141"/>
    <d v="2023-06-21T00:00:00"/>
    <x v="4"/>
    <x v="2"/>
    <x v="2"/>
    <x v="0"/>
    <x v="0"/>
    <n v="2"/>
    <n v="383.76"/>
    <n v="75"/>
    <n v="289"/>
    <n v="116"/>
    <x v="0"/>
    <n v="5"/>
    <n v="767.52"/>
    <n v="842.52"/>
    <x v="0"/>
  </r>
  <r>
    <s v="ORD-10328"/>
    <x v="141"/>
    <d v="2023-06-19T00:00:00"/>
    <x v="13"/>
    <x v="4"/>
    <x v="4"/>
    <x v="2"/>
    <x v="3"/>
    <n v="2"/>
    <n v="99.56"/>
    <n v="18"/>
    <n v="89"/>
    <n v="80.599999999999994"/>
    <x v="0"/>
    <n v="3"/>
    <n v="199.12"/>
    <n v="217.12"/>
    <x v="0"/>
  </r>
  <r>
    <s v="ORD-10329"/>
    <x v="142"/>
    <d v="2023-06-21T00:00:00"/>
    <x v="10"/>
    <x v="0"/>
    <x v="0"/>
    <x v="2"/>
    <x v="3"/>
    <n v="6"/>
    <n v="44.54"/>
    <n v="12"/>
    <n v="275"/>
    <n v="15.38"/>
    <x v="0"/>
    <n v="4"/>
    <n v="267.24"/>
    <n v="279.24"/>
    <x v="0"/>
  </r>
  <r>
    <s v="ORD-10330"/>
    <x v="143"/>
    <d v="2023-06-23T00:00:00"/>
    <x v="14"/>
    <x v="4"/>
    <x v="4"/>
    <x v="2"/>
    <x v="0"/>
    <n v="2"/>
    <n v="42.31"/>
    <n v="12"/>
    <n v="211"/>
    <n v="32.08"/>
    <x v="0"/>
    <n v="5"/>
    <n v="84.62"/>
    <n v="96.62"/>
    <x v="0"/>
  </r>
  <r>
    <s v="ORD-10331"/>
    <x v="144"/>
    <d v="2023-06-23T00:00:00"/>
    <x v="12"/>
    <x v="3"/>
    <x v="3"/>
    <x v="2"/>
    <x v="0"/>
    <n v="1"/>
    <n v="651.27"/>
    <n v="25"/>
    <n v="112"/>
    <n v="215.44"/>
    <x v="0"/>
    <n v="4"/>
    <n v="651.27"/>
    <n v="676.27"/>
    <x v="0"/>
  </r>
  <r>
    <s v="ORD-10332"/>
    <x v="144"/>
    <d v="2023-06-24T00:00:00"/>
    <x v="1"/>
    <x v="0"/>
    <x v="0"/>
    <x v="2"/>
    <x v="3"/>
    <n v="5"/>
    <n v="36.94"/>
    <n v="12"/>
    <n v="3"/>
    <n v="8.7799999999999994"/>
    <x v="0"/>
    <n v="5"/>
    <n v="184.7"/>
    <n v="196.7"/>
    <x v="2"/>
  </r>
  <r>
    <s v="ORD-10333"/>
    <x v="145"/>
    <d v="2023-07-06T00:00:00"/>
    <x v="0"/>
    <x v="0"/>
    <x v="0"/>
    <x v="2"/>
    <x v="3"/>
    <n v="7"/>
    <n v="46.83"/>
    <n v="12"/>
    <n v="216"/>
    <n v="20.22"/>
    <x v="1"/>
    <n v="15"/>
    <n v="327.81"/>
    <n v="339.81"/>
    <x v="0"/>
  </r>
  <r>
    <s v="ORD-10334"/>
    <x v="145"/>
    <d v="2023-06-22T00:00:00"/>
    <x v="3"/>
    <x v="1"/>
    <x v="1"/>
    <x v="2"/>
    <x v="0"/>
    <n v="5"/>
    <n v="126.89"/>
    <n v="12"/>
    <n v="385"/>
    <n v="247.78"/>
    <x v="0"/>
    <n v="1"/>
    <n v="634.45000000000005"/>
    <n v="646.45000000000005"/>
    <x v="0"/>
  </r>
  <r>
    <s v="ORD-10335"/>
    <x v="146"/>
    <d v="2023-06-24T00:00:00"/>
    <x v="15"/>
    <x v="4"/>
    <x v="4"/>
    <x v="0"/>
    <x v="0"/>
    <n v="3"/>
    <n v="29.49"/>
    <n v="12"/>
    <n v="303"/>
    <n v="33.81"/>
    <x v="0"/>
    <n v="2"/>
    <n v="88.47"/>
    <n v="100.47"/>
    <x v="0"/>
  </r>
  <r>
    <s v="ORD-10336"/>
    <x v="146"/>
    <d v="2023-06-23T00:00:00"/>
    <x v="11"/>
    <x v="3"/>
    <x v="3"/>
    <x v="0"/>
    <x v="3"/>
    <n v="2"/>
    <n v="432.64"/>
    <n v="37.5"/>
    <n v="75"/>
    <n v="284.08999999999997"/>
    <x v="0"/>
    <n v="1"/>
    <n v="865.28"/>
    <n v="902.78"/>
    <x v="0"/>
  </r>
  <r>
    <s v="ORD-10337"/>
    <x v="146"/>
    <d v="2023-06-24T00:00:00"/>
    <x v="9"/>
    <x v="2"/>
    <x v="2"/>
    <x v="0"/>
    <x v="2"/>
    <n v="1"/>
    <n v="277.67"/>
    <n v="75"/>
    <n v="98"/>
    <n v="18.03"/>
    <x v="0"/>
    <n v="2"/>
    <n v="277.67"/>
    <n v="352.67"/>
    <x v="0"/>
  </r>
  <r>
    <s v="ORD-10338"/>
    <x v="146"/>
    <d v="2023-06-24T00:00:00"/>
    <x v="15"/>
    <x v="4"/>
    <x v="4"/>
    <x v="2"/>
    <x v="3"/>
    <n v="2"/>
    <n v="24.9"/>
    <n v="18"/>
    <n v="315"/>
    <n v="13.41"/>
    <x v="0"/>
    <n v="2"/>
    <n v="49.8"/>
    <n v="67.8"/>
    <x v="0"/>
  </r>
  <r>
    <s v="ORD-10339"/>
    <x v="147"/>
    <d v="2023-06-28T00:00:00"/>
    <x v="14"/>
    <x v="4"/>
    <x v="4"/>
    <x v="1"/>
    <x v="2"/>
    <n v="1"/>
    <n v="111.83"/>
    <n v="12"/>
    <n v="351"/>
    <n v="-16.77"/>
    <x v="0"/>
    <n v="2"/>
    <n v="111.83"/>
    <n v="123.83"/>
    <x v="0"/>
  </r>
  <r>
    <s v="ORD-10340"/>
    <x v="147"/>
    <d v="2023-06-29T00:00:00"/>
    <x v="5"/>
    <x v="3"/>
    <x v="3"/>
    <x v="1"/>
    <x v="2"/>
    <n v="2"/>
    <n v="1191.8900000000001"/>
    <n v="25"/>
    <n v="43"/>
    <n v="821.82"/>
    <x v="0"/>
    <n v="3"/>
    <n v="2383.7800000000002"/>
    <n v="2408.7800000000002"/>
    <x v="1"/>
  </r>
  <r>
    <s v="ORD-10341"/>
    <x v="147"/>
    <d v="2023-06-28T00:00:00"/>
    <x v="3"/>
    <x v="1"/>
    <x v="1"/>
    <x v="2"/>
    <x v="3"/>
    <n v="3"/>
    <n v="68.989999999999995"/>
    <n v="18"/>
    <n v="61"/>
    <n v="73.790000000000006"/>
    <x v="0"/>
    <n v="2"/>
    <n v="206.96999999999997"/>
    <n v="224.96999999999997"/>
    <x v="0"/>
  </r>
  <r>
    <s v="ORD-10342"/>
    <x v="148"/>
    <d v="2023-07-03T00:00:00"/>
    <x v="9"/>
    <x v="2"/>
    <x v="2"/>
    <x v="2"/>
    <x v="1"/>
    <n v="1"/>
    <n v="225.85"/>
    <n v="75"/>
    <n v="129"/>
    <n v="7.67"/>
    <x v="0"/>
    <n v="3"/>
    <n v="225.85"/>
    <n v="300.85000000000002"/>
    <x v="0"/>
  </r>
  <r>
    <s v="ORD-10343"/>
    <x v="149"/>
    <d v="2023-07-04T00:00:00"/>
    <x v="12"/>
    <x v="3"/>
    <x v="3"/>
    <x v="0"/>
    <x v="3"/>
    <n v="1"/>
    <n v="242.74"/>
    <n v="37.5"/>
    <n v="340"/>
    <n v="66.209999999999994"/>
    <x v="0"/>
    <n v="3"/>
    <n v="242.74"/>
    <n v="280.24"/>
    <x v="0"/>
  </r>
  <r>
    <s v="ORD-10344"/>
    <x v="150"/>
    <d v="2023-07-06T00:00:00"/>
    <x v="2"/>
    <x v="1"/>
    <x v="1"/>
    <x v="1"/>
    <x v="1"/>
    <n v="2"/>
    <n v="82.77"/>
    <n v="12"/>
    <n v="84"/>
    <n v="60.22"/>
    <x v="0"/>
    <n v="4"/>
    <n v="165.54"/>
    <n v="177.54"/>
    <x v="0"/>
  </r>
  <r>
    <s v="ORD-10345"/>
    <x v="150"/>
    <d v="2023-07-04T00:00:00"/>
    <x v="13"/>
    <x v="4"/>
    <x v="4"/>
    <x v="0"/>
    <x v="2"/>
    <n v="4"/>
    <n v="135.46"/>
    <n v="12"/>
    <n v="127"/>
    <n v="237.84"/>
    <x v="0"/>
    <n v="2"/>
    <n v="541.84"/>
    <n v="553.84"/>
    <x v="0"/>
  </r>
  <r>
    <s v="ORD-10346"/>
    <x v="150"/>
    <d v="2023-07-03T00:00:00"/>
    <x v="4"/>
    <x v="2"/>
    <x v="2"/>
    <x v="2"/>
    <x v="0"/>
    <n v="2"/>
    <n v="336.89"/>
    <n v="75"/>
    <n v="144"/>
    <n v="97.26"/>
    <x v="0"/>
    <n v="1"/>
    <n v="673.78"/>
    <n v="748.78"/>
    <x v="0"/>
  </r>
  <r>
    <s v="ORD-10347"/>
    <x v="151"/>
    <d v="2023-07-04T00:00:00"/>
    <x v="1"/>
    <x v="0"/>
    <x v="0"/>
    <x v="0"/>
    <x v="1"/>
    <n v="14"/>
    <n v="14.73"/>
    <n v="8"/>
    <n v="64"/>
    <n v="12.5"/>
    <x v="0"/>
    <n v="1"/>
    <n v="206.22"/>
    <n v="214.22"/>
    <x v="0"/>
  </r>
  <r>
    <s v="ORD-10348"/>
    <x v="152"/>
    <d v="2023-07-08T00:00:00"/>
    <x v="11"/>
    <x v="3"/>
    <x v="3"/>
    <x v="0"/>
    <x v="3"/>
    <n v="1"/>
    <n v="1169.6199999999999"/>
    <n v="37.5"/>
    <n v="128"/>
    <n v="390.62"/>
    <x v="0"/>
    <n v="3"/>
    <n v="1169.6199999999999"/>
    <n v="1207.1199999999999"/>
    <x v="0"/>
  </r>
  <r>
    <s v="ORD-10349"/>
    <x v="153"/>
    <d v="2023-07-14T00:00:00"/>
    <x v="14"/>
    <x v="4"/>
    <x v="4"/>
    <x v="2"/>
    <x v="3"/>
    <n v="5"/>
    <n v="86.06"/>
    <n v="18"/>
    <n v="98"/>
    <n v="184.63"/>
    <x v="2"/>
    <n v="8"/>
    <n v="430.3"/>
    <n v="448.3"/>
    <x v="0"/>
  </r>
  <r>
    <s v="ORD-10350"/>
    <x v="153"/>
    <d v="2023-07-07T00:00:00"/>
    <x v="7"/>
    <x v="1"/>
    <x v="1"/>
    <x v="1"/>
    <x v="0"/>
    <n v="2"/>
    <n v="127.37"/>
    <n v="12"/>
    <n v="124"/>
    <n v="95.9"/>
    <x v="0"/>
    <n v="1"/>
    <n v="254.74"/>
    <n v="266.74"/>
    <x v="0"/>
  </r>
  <r>
    <s v="ORD-10351"/>
    <x v="153"/>
    <d v="2023-07-13T00:00:00"/>
    <x v="7"/>
    <x v="1"/>
    <x v="1"/>
    <x v="2"/>
    <x v="1"/>
    <n v="2"/>
    <n v="100.49"/>
    <n v="12"/>
    <n v="247"/>
    <n v="74.39"/>
    <x v="2"/>
    <n v="7"/>
    <n v="200.98"/>
    <n v="212.98"/>
    <x v="0"/>
  </r>
  <r>
    <s v="ORD-10352"/>
    <x v="154"/>
    <d v="2023-07-10T00:00:00"/>
    <x v="3"/>
    <x v="1"/>
    <x v="1"/>
    <x v="1"/>
    <x v="2"/>
    <n v="4"/>
    <n v="93.37"/>
    <n v="12"/>
    <n v="60"/>
    <n v="143.4"/>
    <x v="0"/>
    <n v="3"/>
    <n v="373.48"/>
    <n v="385.48"/>
    <x v="0"/>
  </r>
  <r>
    <s v="ORD-10353"/>
    <x v="154"/>
    <d v="2023-07-23T00:00:00"/>
    <x v="1"/>
    <x v="0"/>
    <x v="0"/>
    <x v="2"/>
    <x v="3"/>
    <n v="8"/>
    <n v="17.21"/>
    <n v="12"/>
    <n v="108"/>
    <n v="5.01"/>
    <x v="1"/>
    <n v="16"/>
    <n v="137.68"/>
    <n v="149.68"/>
    <x v="0"/>
  </r>
  <r>
    <s v="ORD-10354"/>
    <x v="155"/>
    <d v="2023-07-20T00:00:00"/>
    <x v="4"/>
    <x v="2"/>
    <x v="2"/>
    <x v="2"/>
    <x v="3"/>
    <n v="1"/>
    <n v="134.83000000000001"/>
    <n v="112.5"/>
    <n v="385"/>
    <n v="-29.28"/>
    <x v="1"/>
    <n v="11"/>
    <n v="134.83000000000001"/>
    <n v="247.33"/>
    <x v="0"/>
  </r>
  <r>
    <s v="ORD-10355"/>
    <x v="155"/>
    <d v="2023-07-11T00:00:00"/>
    <x v="0"/>
    <x v="0"/>
    <x v="0"/>
    <x v="2"/>
    <x v="0"/>
    <n v="5"/>
    <n v="23.71"/>
    <n v="8"/>
    <n v="187"/>
    <n v="5.49"/>
    <x v="0"/>
    <n v="2"/>
    <n v="118.55000000000001"/>
    <n v="126.55000000000001"/>
    <x v="0"/>
  </r>
  <r>
    <s v="ORD-10356"/>
    <x v="155"/>
    <d v="2023-07-24T00:00:00"/>
    <x v="2"/>
    <x v="1"/>
    <x v="1"/>
    <x v="2"/>
    <x v="2"/>
    <n v="2"/>
    <n v="133.96"/>
    <n v="12"/>
    <n v="120"/>
    <n v="101.17"/>
    <x v="1"/>
    <n v="15"/>
    <n v="267.92"/>
    <n v="279.92"/>
    <x v="0"/>
  </r>
  <r>
    <s v="ORD-10357"/>
    <x v="155"/>
    <d v="2023-07-12T00:00:00"/>
    <x v="13"/>
    <x v="4"/>
    <x v="4"/>
    <x v="2"/>
    <x v="3"/>
    <n v="3"/>
    <n v="115.93"/>
    <n v="18"/>
    <n v="224"/>
    <n v="147.51"/>
    <x v="0"/>
    <n v="3"/>
    <n v="347.79"/>
    <n v="365.79"/>
    <x v="0"/>
  </r>
  <r>
    <s v="ORD-10358"/>
    <x v="155"/>
    <d v="2023-07-16T00:00:00"/>
    <x v="12"/>
    <x v="3"/>
    <x v="3"/>
    <x v="2"/>
    <x v="1"/>
    <n v="2"/>
    <n v="891.42"/>
    <n v="25"/>
    <n v="357"/>
    <n v="611.49"/>
    <x v="2"/>
    <n v="7"/>
    <n v="1782.84"/>
    <n v="1807.84"/>
    <x v="0"/>
  </r>
  <r>
    <s v="ORD-10359"/>
    <x v="156"/>
    <d v="2023-07-12T00:00:00"/>
    <x v="14"/>
    <x v="4"/>
    <x v="4"/>
    <x v="0"/>
    <x v="1"/>
    <n v="3"/>
    <n v="60.58"/>
    <n v="12"/>
    <n v="74"/>
    <n v="75.790000000000006"/>
    <x v="0"/>
    <n v="2"/>
    <n v="181.74"/>
    <n v="193.74"/>
    <x v="0"/>
  </r>
  <r>
    <s v="ORD-10360"/>
    <x v="156"/>
    <d v="2023-07-11T00:00:00"/>
    <x v="8"/>
    <x v="2"/>
    <x v="2"/>
    <x v="0"/>
    <x v="1"/>
    <n v="2"/>
    <n v="349.28"/>
    <n v="75"/>
    <n v="208"/>
    <n v="102.21"/>
    <x v="0"/>
    <n v="1"/>
    <n v="698.56"/>
    <n v="773.56"/>
    <x v="0"/>
  </r>
  <r>
    <s v="ORD-10361"/>
    <x v="157"/>
    <d v="2023-07-27T00:00:00"/>
    <x v="11"/>
    <x v="3"/>
    <x v="3"/>
    <x v="2"/>
    <x v="0"/>
    <n v="2"/>
    <n v="948.96"/>
    <n v="25"/>
    <n v="355"/>
    <n v="651.78"/>
    <x v="1"/>
    <n v="16"/>
    <n v="1897.92"/>
    <n v="1922.92"/>
    <x v="0"/>
  </r>
  <r>
    <s v="ORD-10362"/>
    <x v="157"/>
    <d v="2023-07-13T00:00:00"/>
    <x v="12"/>
    <x v="3"/>
    <x v="3"/>
    <x v="2"/>
    <x v="3"/>
    <n v="3"/>
    <n v="580.48"/>
    <n v="37.5"/>
    <n v="272"/>
    <n v="590.76"/>
    <x v="0"/>
    <n v="2"/>
    <n v="1741.44"/>
    <n v="1778.94"/>
    <x v="0"/>
  </r>
  <r>
    <s v="ORD-10363"/>
    <x v="157"/>
    <d v="2023-07-15T00:00:00"/>
    <x v="2"/>
    <x v="1"/>
    <x v="1"/>
    <x v="2"/>
    <x v="0"/>
    <n v="2"/>
    <n v="111.95"/>
    <n v="12"/>
    <n v="168"/>
    <n v="83.56"/>
    <x v="0"/>
    <n v="4"/>
    <n v="223.9"/>
    <n v="235.9"/>
    <x v="0"/>
  </r>
  <r>
    <s v="ORD-10364"/>
    <x v="158"/>
    <d v="2023-07-17T00:00:00"/>
    <x v="12"/>
    <x v="3"/>
    <x v="3"/>
    <x v="2"/>
    <x v="3"/>
    <n v="2"/>
    <n v="863.31"/>
    <n v="37.5"/>
    <n v="149"/>
    <n v="585.57000000000005"/>
    <x v="0"/>
    <n v="4"/>
    <n v="1726.62"/>
    <n v="1764.12"/>
    <x v="0"/>
  </r>
  <r>
    <s v="ORD-10365"/>
    <x v="158"/>
    <d v="2023-07-18T00:00:00"/>
    <x v="15"/>
    <x v="4"/>
    <x v="4"/>
    <x v="2"/>
    <x v="0"/>
    <n v="2"/>
    <n v="94.56"/>
    <n v="12"/>
    <n v="257"/>
    <n v="79.11"/>
    <x v="0"/>
    <n v="5"/>
    <n v="189.12"/>
    <n v="201.12"/>
    <x v="0"/>
  </r>
  <r>
    <s v="ORD-10366"/>
    <x v="158"/>
    <d v="2023-07-17T00:00:00"/>
    <x v="5"/>
    <x v="3"/>
    <x v="3"/>
    <x v="2"/>
    <x v="3"/>
    <n v="3"/>
    <n v="525.82000000000005"/>
    <n v="37.5"/>
    <n v="38"/>
    <n v="533.36"/>
    <x v="0"/>
    <n v="4"/>
    <n v="1577.46"/>
    <n v="1614.96"/>
    <x v="1"/>
  </r>
  <r>
    <s v="ORD-10367"/>
    <x v="159"/>
    <d v="2023-07-20T00:00:00"/>
    <x v="12"/>
    <x v="3"/>
    <x v="3"/>
    <x v="1"/>
    <x v="1"/>
    <n v="3"/>
    <n v="381.82"/>
    <n v="25"/>
    <n v="42"/>
    <n v="388.41"/>
    <x v="0"/>
    <n v="5"/>
    <n v="1145.46"/>
    <n v="1170.46"/>
    <x v="1"/>
  </r>
  <r>
    <s v="ORD-10368"/>
    <x v="160"/>
    <d v="2023-07-20T00:00:00"/>
    <x v="3"/>
    <x v="1"/>
    <x v="1"/>
    <x v="0"/>
    <x v="1"/>
    <n v="5"/>
    <n v="47.53"/>
    <n v="12"/>
    <n v="396"/>
    <n v="89.05"/>
    <x v="0"/>
    <n v="3"/>
    <n v="237.65"/>
    <n v="249.65"/>
    <x v="0"/>
  </r>
  <r>
    <s v="ORD-10369"/>
    <x v="160"/>
    <d v="2023-07-19T00:00:00"/>
    <x v="10"/>
    <x v="0"/>
    <x v="0"/>
    <x v="0"/>
    <x v="2"/>
    <n v="11"/>
    <n v="22.25"/>
    <n v="8"/>
    <n v="383"/>
    <n v="15.58"/>
    <x v="0"/>
    <n v="2"/>
    <n v="244.75"/>
    <n v="252.75"/>
    <x v="0"/>
  </r>
  <r>
    <s v="ORD-10370"/>
    <x v="160"/>
    <d v="2023-07-21T00:00:00"/>
    <x v="6"/>
    <x v="3"/>
    <x v="3"/>
    <x v="0"/>
    <x v="1"/>
    <n v="3"/>
    <n v="502.78"/>
    <n v="25"/>
    <n v="378"/>
    <n v="515.41999999999996"/>
    <x v="0"/>
    <n v="4"/>
    <n v="1508.34"/>
    <n v="1533.34"/>
    <x v="0"/>
  </r>
  <r>
    <s v="ORD-10371"/>
    <x v="161"/>
    <d v="2023-07-22T00:00:00"/>
    <x v="5"/>
    <x v="3"/>
    <x v="3"/>
    <x v="0"/>
    <x v="1"/>
    <n v="2"/>
    <n v="1098.3599999999999"/>
    <n v="25"/>
    <n v="149"/>
    <n v="756.35"/>
    <x v="0"/>
    <n v="4"/>
    <n v="2196.7199999999998"/>
    <n v="2221.7199999999998"/>
    <x v="0"/>
  </r>
  <r>
    <s v="ORD-10372"/>
    <x v="162"/>
    <d v="2023-07-21T00:00:00"/>
    <x v="10"/>
    <x v="0"/>
    <x v="0"/>
    <x v="0"/>
    <x v="1"/>
    <n v="13"/>
    <n v="29.49"/>
    <n v="8"/>
    <n v="27"/>
    <n v="26.67"/>
    <x v="0"/>
    <n v="2"/>
    <n v="383.37"/>
    <n v="391.37"/>
    <x v="1"/>
  </r>
  <r>
    <s v="ORD-10373"/>
    <x v="163"/>
    <d v="2023-07-24T00:00:00"/>
    <x v="9"/>
    <x v="2"/>
    <x v="2"/>
    <x v="2"/>
    <x v="0"/>
    <n v="2"/>
    <n v="422.07"/>
    <n v="75"/>
    <n v="381"/>
    <n v="131.33000000000001"/>
    <x v="0"/>
    <n v="4"/>
    <n v="844.14"/>
    <n v="919.14"/>
    <x v="0"/>
  </r>
  <r>
    <s v="ORD-10374"/>
    <x v="163"/>
    <d v="2023-08-01T00:00:00"/>
    <x v="14"/>
    <x v="4"/>
    <x v="4"/>
    <x v="2"/>
    <x v="1"/>
    <n v="4"/>
    <n v="37.79"/>
    <n v="12"/>
    <n v="154"/>
    <n v="62.02"/>
    <x v="1"/>
    <n v="12"/>
    <n v="151.16"/>
    <n v="163.16"/>
    <x v="0"/>
  </r>
  <r>
    <s v="ORD-10375"/>
    <x v="164"/>
    <d v="2023-08-04T00:00:00"/>
    <x v="1"/>
    <x v="0"/>
    <x v="0"/>
    <x v="2"/>
    <x v="2"/>
    <n v="14"/>
    <n v="46.82"/>
    <n v="8"/>
    <n v="313"/>
    <n v="48.44"/>
    <x v="1"/>
    <n v="14"/>
    <n v="655.48"/>
    <n v="663.48"/>
    <x v="0"/>
  </r>
  <r>
    <s v="ORD-10376"/>
    <x v="164"/>
    <d v="2023-07-22T00:00:00"/>
    <x v="4"/>
    <x v="2"/>
    <x v="2"/>
    <x v="2"/>
    <x v="3"/>
    <n v="1"/>
    <n v="293.39999999999998"/>
    <n v="112.5"/>
    <n v="239"/>
    <n v="2.4300000000000002"/>
    <x v="0"/>
    <n v="1"/>
    <n v="293.39999999999998"/>
    <n v="405.9"/>
    <x v="0"/>
  </r>
  <r>
    <s v="ORD-10377"/>
    <x v="165"/>
    <d v="2023-08-04T00:00:00"/>
    <x v="0"/>
    <x v="0"/>
    <x v="0"/>
    <x v="2"/>
    <x v="3"/>
    <n v="14"/>
    <n v="40.75"/>
    <n v="12"/>
    <n v="1"/>
    <n v="39.64"/>
    <x v="1"/>
    <n v="13"/>
    <n v="570.5"/>
    <n v="582.5"/>
    <x v="2"/>
  </r>
  <r>
    <s v="ORD-10378"/>
    <x v="165"/>
    <d v="2023-07-26T00:00:00"/>
    <x v="12"/>
    <x v="3"/>
    <x v="3"/>
    <x v="2"/>
    <x v="3"/>
    <n v="3"/>
    <n v="450.89"/>
    <n v="37.5"/>
    <n v="245"/>
    <n v="454.68"/>
    <x v="0"/>
    <n v="4"/>
    <n v="1352.67"/>
    <n v="1390.17"/>
    <x v="0"/>
  </r>
  <r>
    <s v="ORD-10379"/>
    <x v="165"/>
    <d v="2023-07-24T00:00:00"/>
    <x v="3"/>
    <x v="1"/>
    <x v="1"/>
    <x v="2"/>
    <x v="1"/>
    <n v="5"/>
    <n v="61.02"/>
    <n v="12"/>
    <n v="328"/>
    <n v="116.04"/>
    <x v="0"/>
    <n v="2"/>
    <n v="305.10000000000002"/>
    <n v="317.10000000000002"/>
    <x v="0"/>
  </r>
  <r>
    <s v="ORD-10380"/>
    <x v="166"/>
    <d v="2023-08-09T00:00:00"/>
    <x v="14"/>
    <x v="4"/>
    <x v="4"/>
    <x v="2"/>
    <x v="2"/>
    <n v="1"/>
    <n v="98.1"/>
    <n v="12"/>
    <n v="229"/>
    <n v="38.14"/>
    <x v="1"/>
    <n v="16"/>
    <n v="98.1"/>
    <n v="110.1"/>
    <x v="0"/>
  </r>
  <r>
    <s v="ORD-10381"/>
    <x v="167"/>
    <d v="2023-08-03T00:00:00"/>
    <x v="1"/>
    <x v="0"/>
    <x v="0"/>
    <x v="2"/>
    <x v="3"/>
    <n v="12"/>
    <n v="12.25"/>
    <n v="12"/>
    <n v="201"/>
    <n v="5.76"/>
    <x v="2"/>
    <n v="9"/>
    <n v="147"/>
    <n v="159"/>
    <x v="0"/>
  </r>
  <r>
    <s v="ORD-10382"/>
    <x v="167"/>
    <d v="2023-07-30T00:00:00"/>
    <x v="13"/>
    <x v="4"/>
    <x v="4"/>
    <x v="2"/>
    <x v="1"/>
    <n v="3"/>
    <n v="32.950000000000003"/>
    <n v="12"/>
    <n v="101"/>
    <n v="38.479999999999997"/>
    <x v="0"/>
    <n v="5"/>
    <n v="98.850000000000009"/>
    <n v="110.85000000000001"/>
    <x v="0"/>
  </r>
  <r>
    <s v="ORD-10383"/>
    <x v="168"/>
    <d v="2023-07-31T00:00:00"/>
    <x v="1"/>
    <x v="0"/>
    <x v="0"/>
    <x v="2"/>
    <x v="3"/>
    <n v="11"/>
    <n v="33.03"/>
    <n v="12"/>
    <n v="51"/>
    <n v="23.06"/>
    <x v="0"/>
    <n v="5"/>
    <n v="363.33000000000004"/>
    <n v="375.33000000000004"/>
    <x v="0"/>
  </r>
  <r>
    <s v="ORD-10384"/>
    <x v="169"/>
    <d v="2023-07-31T00:00:00"/>
    <x v="12"/>
    <x v="3"/>
    <x v="3"/>
    <x v="0"/>
    <x v="1"/>
    <n v="3"/>
    <n v="516.22"/>
    <n v="25"/>
    <n v="146"/>
    <n v="529.53"/>
    <x v="0"/>
    <n v="4"/>
    <n v="1548.66"/>
    <n v="1573.66"/>
    <x v="0"/>
  </r>
  <r>
    <s v="ORD-10385"/>
    <x v="169"/>
    <d v="2023-08-01T00:00:00"/>
    <x v="0"/>
    <x v="0"/>
    <x v="0"/>
    <x v="2"/>
    <x v="3"/>
    <n v="8"/>
    <n v="24.92"/>
    <n v="12"/>
    <n v="170"/>
    <n v="9.9499999999999993"/>
    <x v="0"/>
    <n v="5"/>
    <n v="199.36"/>
    <n v="211.36"/>
    <x v="0"/>
  </r>
  <r>
    <s v="ORD-10386"/>
    <x v="169"/>
    <d v="2023-07-31T00:00:00"/>
    <x v="9"/>
    <x v="2"/>
    <x v="2"/>
    <x v="1"/>
    <x v="0"/>
    <n v="2"/>
    <n v="152.13999999999999"/>
    <n v="75"/>
    <n v="274"/>
    <n v="23.36"/>
    <x v="0"/>
    <n v="4"/>
    <n v="304.27999999999997"/>
    <n v="379.28"/>
    <x v="0"/>
  </r>
  <r>
    <s v="ORD-10387"/>
    <x v="169"/>
    <d v="2023-07-28T00:00:00"/>
    <x v="0"/>
    <x v="0"/>
    <x v="0"/>
    <x v="2"/>
    <x v="2"/>
    <n v="14"/>
    <n v="10.35"/>
    <n v="8"/>
    <n v="239"/>
    <n v="7.59"/>
    <x v="0"/>
    <n v="1"/>
    <n v="144.9"/>
    <n v="152.9"/>
    <x v="0"/>
  </r>
  <r>
    <s v="ORD-10388"/>
    <x v="170"/>
    <d v="2023-08-03T00:00:00"/>
    <x v="14"/>
    <x v="4"/>
    <x v="4"/>
    <x v="1"/>
    <x v="0"/>
    <n v="2"/>
    <n v="147.01"/>
    <n v="12"/>
    <n v="125"/>
    <n v="126.3"/>
    <x v="0"/>
    <n v="5"/>
    <n v="294.02"/>
    <n v="306.02"/>
    <x v="0"/>
  </r>
  <r>
    <s v="ORD-10389"/>
    <x v="171"/>
    <d v="2023-08-16T00:00:00"/>
    <x v="1"/>
    <x v="0"/>
    <x v="0"/>
    <x v="2"/>
    <x v="0"/>
    <n v="5"/>
    <n v="21.02"/>
    <n v="8"/>
    <n v="120"/>
    <n v="4.41"/>
    <x v="1"/>
    <n v="15"/>
    <n v="105.1"/>
    <n v="113.1"/>
    <x v="0"/>
  </r>
  <r>
    <s v="ORD-10390"/>
    <x v="171"/>
    <d v="2023-08-05T00:00:00"/>
    <x v="5"/>
    <x v="3"/>
    <x v="3"/>
    <x v="2"/>
    <x v="3"/>
    <n v="2"/>
    <n v="482.77"/>
    <n v="37.5"/>
    <n v="355"/>
    <n v="319.19"/>
    <x v="0"/>
    <n v="4"/>
    <n v="965.54"/>
    <n v="1003.04"/>
    <x v="0"/>
  </r>
  <r>
    <s v="ORD-10391"/>
    <x v="172"/>
    <d v="2023-08-03T00:00:00"/>
    <x v="9"/>
    <x v="2"/>
    <x v="2"/>
    <x v="1"/>
    <x v="2"/>
    <n v="2"/>
    <n v="447.81"/>
    <n v="75"/>
    <n v="82"/>
    <n v="141.63"/>
    <x v="0"/>
    <n v="1"/>
    <n v="895.62"/>
    <n v="970.62"/>
    <x v="0"/>
  </r>
  <r>
    <s v="ORD-10392"/>
    <x v="172"/>
    <d v="2023-08-06T00:00:00"/>
    <x v="9"/>
    <x v="2"/>
    <x v="2"/>
    <x v="0"/>
    <x v="1"/>
    <n v="2"/>
    <n v="153.34"/>
    <n v="75"/>
    <n v="189"/>
    <n v="23.84"/>
    <x v="0"/>
    <n v="4"/>
    <n v="306.68"/>
    <n v="381.68"/>
    <x v="0"/>
  </r>
  <r>
    <s v="ORD-10393"/>
    <x v="173"/>
    <d v="2023-08-05T00:00:00"/>
    <x v="11"/>
    <x v="3"/>
    <x v="3"/>
    <x v="2"/>
    <x v="3"/>
    <n v="3"/>
    <n v="554.79999999999995"/>
    <n v="37.5"/>
    <n v="193"/>
    <n v="563.79"/>
    <x v="0"/>
    <n v="2"/>
    <n v="1664.3999999999999"/>
    <n v="1701.8999999999999"/>
    <x v="0"/>
  </r>
  <r>
    <s v="ORD-10394"/>
    <x v="174"/>
    <d v="2023-08-06T00:00:00"/>
    <x v="11"/>
    <x v="3"/>
    <x v="3"/>
    <x v="2"/>
    <x v="3"/>
    <n v="1"/>
    <n v="901.1"/>
    <n v="37.5"/>
    <n v="234"/>
    <n v="296.63"/>
    <x v="0"/>
    <n v="2"/>
    <n v="901.1"/>
    <n v="938.6"/>
    <x v="0"/>
  </r>
  <r>
    <s v="ORD-10395"/>
    <x v="174"/>
    <d v="2023-08-05T00:00:00"/>
    <x v="6"/>
    <x v="3"/>
    <x v="3"/>
    <x v="1"/>
    <x v="1"/>
    <n v="3"/>
    <n v="950.33"/>
    <n v="25"/>
    <n v="235"/>
    <n v="985.35"/>
    <x v="0"/>
    <n v="1"/>
    <n v="2850.9900000000002"/>
    <n v="2875.9900000000002"/>
    <x v="0"/>
  </r>
  <r>
    <s v="ORD-10396"/>
    <x v="174"/>
    <d v="2023-08-05T00:00:00"/>
    <x v="0"/>
    <x v="0"/>
    <x v="0"/>
    <x v="1"/>
    <x v="1"/>
    <n v="8"/>
    <n v="44.57"/>
    <n v="8"/>
    <n v="214"/>
    <n v="24.53"/>
    <x v="0"/>
    <n v="1"/>
    <n v="356.56"/>
    <n v="364.56"/>
    <x v="0"/>
  </r>
  <r>
    <s v="ORD-10397"/>
    <x v="174"/>
    <d v="2023-08-08T00:00:00"/>
    <x v="11"/>
    <x v="3"/>
    <x v="3"/>
    <x v="1"/>
    <x v="2"/>
    <n v="3"/>
    <n v="268.75"/>
    <n v="25"/>
    <n v="215"/>
    <n v="-120.94"/>
    <x v="0"/>
    <n v="4"/>
    <n v="806.25"/>
    <n v="831.25"/>
    <x v="0"/>
  </r>
  <r>
    <s v="ORD-10398"/>
    <x v="175"/>
    <d v="2023-08-07T00:00:00"/>
    <x v="11"/>
    <x v="3"/>
    <x v="3"/>
    <x v="0"/>
    <x v="2"/>
    <n v="1"/>
    <n v="254.61"/>
    <n v="25"/>
    <n v="164"/>
    <n v="76.61"/>
    <x v="0"/>
    <n v="2"/>
    <n v="254.61"/>
    <n v="279.61"/>
    <x v="0"/>
  </r>
  <r>
    <s v="ORD-10399"/>
    <x v="175"/>
    <d v="2023-08-09T00:00:00"/>
    <x v="1"/>
    <x v="0"/>
    <x v="0"/>
    <x v="0"/>
    <x v="1"/>
    <n v="8"/>
    <n v="17.03"/>
    <n v="8"/>
    <n v="384"/>
    <n v="6.9"/>
    <x v="0"/>
    <n v="4"/>
    <n v="136.24"/>
    <n v="144.24"/>
    <x v="0"/>
  </r>
  <r>
    <s v="ORD-10400"/>
    <x v="175"/>
    <d v="2023-08-16T00:00:00"/>
    <x v="5"/>
    <x v="3"/>
    <x v="3"/>
    <x v="2"/>
    <x v="3"/>
    <n v="3"/>
    <n v="1020.54"/>
    <n v="37.5"/>
    <n v="61"/>
    <n v="1052.82"/>
    <x v="1"/>
    <n v="11"/>
    <n v="3061.62"/>
    <n v="3099.12"/>
    <x v="0"/>
  </r>
  <r>
    <s v="ORD-10401"/>
    <x v="175"/>
    <d v="2023-08-10T00:00:00"/>
    <x v="7"/>
    <x v="1"/>
    <x v="1"/>
    <x v="2"/>
    <x v="3"/>
    <n v="1"/>
    <n v="87.8"/>
    <n v="18"/>
    <n v="250"/>
    <n v="26.12"/>
    <x v="0"/>
    <n v="5"/>
    <n v="87.8"/>
    <n v="105.8"/>
    <x v="0"/>
  </r>
  <r>
    <s v="ORD-10402"/>
    <x v="175"/>
    <d v="2023-08-08T00:00:00"/>
    <x v="5"/>
    <x v="3"/>
    <x v="3"/>
    <x v="2"/>
    <x v="3"/>
    <n v="1"/>
    <n v="667.72"/>
    <n v="37.5"/>
    <n v="190"/>
    <n v="214.95"/>
    <x v="0"/>
    <n v="3"/>
    <n v="667.72"/>
    <n v="705.22"/>
    <x v="0"/>
  </r>
  <r>
    <s v="ORD-10403"/>
    <x v="176"/>
    <d v="2023-08-08T00:00:00"/>
    <x v="5"/>
    <x v="3"/>
    <x v="3"/>
    <x v="0"/>
    <x v="1"/>
    <n v="1"/>
    <n v="632.84"/>
    <n v="25"/>
    <n v="127"/>
    <n v="208.99"/>
    <x v="0"/>
    <n v="2"/>
    <n v="632.84"/>
    <n v="657.84"/>
    <x v="0"/>
  </r>
  <r>
    <s v="ORD-10404"/>
    <x v="176"/>
    <d v="2023-08-10T00:00:00"/>
    <x v="3"/>
    <x v="1"/>
    <x v="1"/>
    <x v="1"/>
    <x v="2"/>
    <n v="4"/>
    <n v="83.36"/>
    <n v="12"/>
    <n v="331"/>
    <n v="127.38"/>
    <x v="0"/>
    <n v="4"/>
    <n v="333.44"/>
    <n v="345.44"/>
    <x v="0"/>
  </r>
  <r>
    <s v="ORD-10405"/>
    <x v="176"/>
    <d v="2023-08-07T00:00:00"/>
    <x v="2"/>
    <x v="1"/>
    <x v="1"/>
    <x v="0"/>
    <x v="3"/>
    <n v="1"/>
    <n v="95.38"/>
    <n v="18"/>
    <n v="372"/>
    <n v="29.15"/>
    <x v="0"/>
    <n v="1"/>
    <n v="95.38"/>
    <n v="113.38"/>
    <x v="0"/>
  </r>
  <r>
    <s v="ORD-10406"/>
    <x v="177"/>
    <d v="2023-08-12T00:00:00"/>
    <x v="2"/>
    <x v="1"/>
    <x v="1"/>
    <x v="1"/>
    <x v="2"/>
    <n v="1"/>
    <n v="78.180000000000007"/>
    <n v="12"/>
    <n v="74"/>
    <n v="25.27"/>
    <x v="0"/>
    <n v="4"/>
    <n v="78.180000000000007"/>
    <n v="90.18"/>
    <x v="0"/>
  </r>
  <r>
    <s v="ORD-10407"/>
    <x v="178"/>
    <d v="2023-08-19T00:00:00"/>
    <x v="4"/>
    <x v="2"/>
    <x v="2"/>
    <x v="2"/>
    <x v="3"/>
    <n v="2"/>
    <n v="385.15"/>
    <n v="112.5"/>
    <n v="106"/>
    <n v="97.81"/>
    <x v="2"/>
    <n v="8"/>
    <n v="770.3"/>
    <n v="882.8"/>
    <x v="0"/>
  </r>
  <r>
    <s v="ORD-10408"/>
    <x v="179"/>
    <d v="2023-08-22T00:00:00"/>
    <x v="13"/>
    <x v="4"/>
    <x v="4"/>
    <x v="2"/>
    <x v="1"/>
    <n v="3"/>
    <n v="99.33"/>
    <n v="12"/>
    <n v="36"/>
    <n v="128.09"/>
    <x v="2"/>
    <n v="10"/>
    <n v="297.99"/>
    <n v="309.99"/>
    <x v="1"/>
  </r>
  <r>
    <s v="ORD-10409"/>
    <x v="179"/>
    <d v="2023-08-13T00:00:00"/>
    <x v="1"/>
    <x v="0"/>
    <x v="0"/>
    <x v="0"/>
    <x v="3"/>
    <n v="5"/>
    <n v="31.53"/>
    <n v="12"/>
    <n v="3"/>
    <n v="6.61"/>
    <x v="0"/>
    <n v="1"/>
    <n v="157.65"/>
    <n v="169.65"/>
    <x v="2"/>
  </r>
  <r>
    <s v="ORD-10410"/>
    <x v="180"/>
    <d v="2023-08-16T00:00:00"/>
    <x v="14"/>
    <x v="4"/>
    <x v="4"/>
    <x v="0"/>
    <x v="0"/>
    <n v="5"/>
    <n v="55.32"/>
    <n v="12"/>
    <n v="76"/>
    <n v="118.46"/>
    <x v="0"/>
    <n v="3"/>
    <n v="276.60000000000002"/>
    <n v="288.60000000000002"/>
    <x v="0"/>
  </r>
  <r>
    <s v="ORD-10411"/>
    <x v="180"/>
    <d v="2023-08-17T00:00:00"/>
    <x v="10"/>
    <x v="0"/>
    <x v="0"/>
    <x v="1"/>
    <x v="0"/>
    <n v="5"/>
    <n v="10.55"/>
    <n v="8"/>
    <n v="290"/>
    <n v="0.22"/>
    <x v="0"/>
    <n v="4"/>
    <n v="52.75"/>
    <n v="60.75"/>
    <x v="0"/>
  </r>
  <r>
    <s v="ORD-10412"/>
    <x v="181"/>
    <d v="2023-08-15T00:00:00"/>
    <x v="7"/>
    <x v="1"/>
    <x v="1"/>
    <x v="2"/>
    <x v="1"/>
    <n v="4"/>
    <n v="64.47"/>
    <n v="12"/>
    <n v="232"/>
    <n v="97.15"/>
    <x v="0"/>
    <n v="1"/>
    <n v="257.88"/>
    <n v="269.88"/>
    <x v="0"/>
  </r>
  <r>
    <s v="ORD-10413"/>
    <x v="181"/>
    <d v="2023-08-18T00:00:00"/>
    <x v="6"/>
    <x v="3"/>
    <x v="3"/>
    <x v="2"/>
    <x v="3"/>
    <n v="2"/>
    <n v="711.09"/>
    <n v="37.5"/>
    <n v="46"/>
    <n v="479.02"/>
    <x v="0"/>
    <n v="4"/>
    <n v="1422.18"/>
    <n v="1459.68"/>
    <x v="1"/>
  </r>
  <r>
    <s v="ORD-10414"/>
    <x v="181"/>
    <d v="2023-08-31T00:00:00"/>
    <x v="6"/>
    <x v="3"/>
    <x v="3"/>
    <x v="2"/>
    <x v="1"/>
    <n v="3"/>
    <n v="918.01"/>
    <n v="25"/>
    <n v="57"/>
    <n v="951.41"/>
    <x v="1"/>
    <n v="17"/>
    <n v="2754.0299999999997"/>
    <n v="2779.0299999999997"/>
    <x v="0"/>
  </r>
  <r>
    <s v="ORD-10415"/>
    <x v="182"/>
    <d v="2023-08-18T00:00:00"/>
    <x v="1"/>
    <x v="0"/>
    <x v="0"/>
    <x v="2"/>
    <x v="3"/>
    <n v="8"/>
    <n v="19.91"/>
    <n v="12"/>
    <n v="223"/>
    <n v="6.74"/>
    <x v="0"/>
    <n v="2"/>
    <n v="159.28"/>
    <n v="171.28"/>
    <x v="0"/>
  </r>
  <r>
    <s v="ORD-10416"/>
    <x v="182"/>
    <d v="2023-08-20T00:00:00"/>
    <x v="1"/>
    <x v="0"/>
    <x v="0"/>
    <x v="2"/>
    <x v="3"/>
    <n v="12"/>
    <n v="14.26"/>
    <n v="12"/>
    <n v="370"/>
    <n v="7.69"/>
    <x v="0"/>
    <n v="4"/>
    <n v="171.12"/>
    <n v="183.12"/>
    <x v="0"/>
  </r>
  <r>
    <s v="ORD-10417"/>
    <x v="183"/>
    <d v="2023-08-21T00:00:00"/>
    <x v="10"/>
    <x v="0"/>
    <x v="0"/>
    <x v="2"/>
    <x v="3"/>
    <n v="14"/>
    <n v="26.44"/>
    <n v="12"/>
    <n v="36"/>
    <n v="23.62"/>
    <x v="0"/>
    <n v="4"/>
    <n v="370.16"/>
    <n v="382.16"/>
    <x v="1"/>
  </r>
  <r>
    <s v="ORD-10418"/>
    <x v="184"/>
    <d v="2023-08-20T00:00:00"/>
    <x v="6"/>
    <x v="3"/>
    <x v="3"/>
    <x v="1"/>
    <x v="2"/>
    <n v="2"/>
    <n v="696.04"/>
    <n v="25"/>
    <n v="64"/>
    <n v="474.73"/>
    <x v="0"/>
    <n v="2"/>
    <n v="1392.08"/>
    <n v="1417.08"/>
    <x v="0"/>
  </r>
  <r>
    <s v="ORD-10419"/>
    <x v="185"/>
    <d v="2023-08-21T00:00:00"/>
    <x v="8"/>
    <x v="2"/>
    <x v="2"/>
    <x v="1"/>
    <x v="0"/>
    <n v="1"/>
    <n v="425.92"/>
    <n v="75"/>
    <n v="22"/>
    <n v="47.68"/>
    <x v="0"/>
    <n v="2"/>
    <n v="425.92"/>
    <n v="500.92"/>
    <x v="1"/>
  </r>
  <r>
    <s v="ORD-10420"/>
    <x v="185"/>
    <d v="2023-08-28T00:00:00"/>
    <x v="12"/>
    <x v="3"/>
    <x v="3"/>
    <x v="2"/>
    <x v="3"/>
    <n v="2"/>
    <n v="820.23"/>
    <n v="37.5"/>
    <n v="250"/>
    <n v="555.41"/>
    <x v="2"/>
    <n v="9"/>
    <n v="1640.46"/>
    <n v="1677.96"/>
    <x v="0"/>
  </r>
  <r>
    <s v="ORD-10421"/>
    <x v="185"/>
    <d v="2023-08-23T00:00:00"/>
    <x v="2"/>
    <x v="1"/>
    <x v="1"/>
    <x v="1"/>
    <x v="1"/>
    <n v="4"/>
    <n v="67.67"/>
    <n v="12"/>
    <n v="278"/>
    <n v="102.27"/>
    <x v="0"/>
    <n v="4"/>
    <n v="270.68"/>
    <n v="282.68"/>
    <x v="0"/>
  </r>
  <r>
    <s v="ORD-10422"/>
    <x v="186"/>
    <d v="2023-08-27T00:00:00"/>
    <x v="6"/>
    <x v="3"/>
    <x v="3"/>
    <x v="2"/>
    <x v="3"/>
    <n v="1"/>
    <n v="467.79"/>
    <n v="37.5"/>
    <n v="343"/>
    <n v="144.97999999999999"/>
    <x v="2"/>
    <n v="7"/>
    <n v="467.79"/>
    <n v="505.29"/>
    <x v="0"/>
  </r>
  <r>
    <s v="ORD-10423"/>
    <x v="186"/>
    <d v="2023-08-23T00:00:00"/>
    <x v="5"/>
    <x v="3"/>
    <x v="3"/>
    <x v="2"/>
    <x v="3"/>
    <n v="2"/>
    <n v="209.83"/>
    <n v="37.5"/>
    <n v="190"/>
    <n v="128.13"/>
    <x v="0"/>
    <n v="3"/>
    <n v="419.66"/>
    <n v="457.16"/>
    <x v="0"/>
  </r>
  <r>
    <s v="ORD-10424"/>
    <x v="187"/>
    <d v="2023-08-26T00:00:00"/>
    <x v="8"/>
    <x v="2"/>
    <x v="2"/>
    <x v="1"/>
    <x v="2"/>
    <n v="1"/>
    <n v="493.56"/>
    <n v="75"/>
    <n v="58"/>
    <n v="61.21"/>
    <x v="0"/>
    <n v="5"/>
    <n v="493.56"/>
    <n v="568.55999999999995"/>
    <x v="0"/>
  </r>
  <r>
    <s v="ORD-10425"/>
    <x v="187"/>
    <d v="2023-08-26T00:00:00"/>
    <x v="11"/>
    <x v="3"/>
    <x v="3"/>
    <x v="0"/>
    <x v="1"/>
    <n v="1"/>
    <n v="657.96"/>
    <n v="25"/>
    <n v="355"/>
    <n v="217.79"/>
    <x v="0"/>
    <n v="5"/>
    <n v="657.96"/>
    <n v="682.96"/>
    <x v="0"/>
  </r>
  <r>
    <s v="ORD-10426"/>
    <x v="188"/>
    <d v="2023-09-09T00:00:00"/>
    <x v="5"/>
    <x v="3"/>
    <x v="3"/>
    <x v="2"/>
    <x v="3"/>
    <n v="2"/>
    <n v="1089"/>
    <n v="37.5"/>
    <n v="181"/>
    <n v="743.55"/>
    <x v="1"/>
    <n v="17"/>
    <n v="2178"/>
    <n v="2215.5"/>
    <x v="0"/>
  </r>
  <r>
    <s v="ORD-10427"/>
    <x v="188"/>
    <d v="2023-08-24T00:00:00"/>
    <x v="7"/>
    <x v="1"/>
    <x v="1"/>
    <x v="0"/>
    <x v="3"/>
    <n v="1"/>
    <n v="85.54"/>
    <n v="18"/>
    <n v="218"/>
    <n v="25.22"/>
    <x v="0"/>
    <n v="1"/>
    <n v="85.54"/>
    <n v="103.54"/>
    <x v="0"/>
  </r>
  <r>
    <s v="ORD-10428"/>
    <x v="189"/>
    <d v="2023-08-25T00:00:00"/>
    <x v="3"/>
    <x v="1"/>
    <x v="1"/>
    <x v="2"/>
    <x v="3"/>
    <n v="2"/>
    <n v="120.86"/>
    <n v="18"/>
    <n v="359"/>
    <n v="87.69"/>
    <x v="0"/>
    <n v="1"/>
    <n v="241.72"/>
    <n v="259.72000000000003"/>
    <x v="0"/>
  </r>
  <r>
    <s v="ORD-10429"/>
    <x v="189"/>
    <d v="2023-08-29T00:00:00"/>
    <x v="11"/>
    <x v="3"/>
    <x v="3"/>
    <x v="0"/>
    <x v="0"/>
    <n v="2"/>
    <n v="465.56"/>
    <n v="25"/>
    <n v="293"/>
    <n v="313.39"/>
    <x v="0"/>
    <n v="5"/>
    <n v="931.12"/>
    <n v="956.12"/>
    <x v="0"/>
  </r>
  <r>
    <s v="ORD-10430"/>
    <x v="189"/>
    <d v="2023-08-27T00:00:00"/>
    <x v="13"/>
    <x v="4"/>
    <x v="4"/>
    <x v="2"/>
    <x v="0"/>
    <n v="4"/>
    <n v="37.340000000000003"/>
    <n v="12"/>
    <n v="244"/>
    <n v="61.22"/>
    <x v="0"/>
    <n v="3"/>
    <n v="149.36000000000001"/>
    <n v="161.36000000000001"/>
    <x v="0"/>
  </r>
  <r>
    <s v="ORD-10431"/>
    <x v="190"/>
    <d v="2023-08-30T00:00:00"/>
    <x v="2"/>
    <x v="1"/>
    <x v="1"/>
    <x v="1"/>
    <x v="1"/>
    <n v="5"/>
    <n v="104.44"/>
    <n v="12"/>
    <n v="167"/>
    <n v="202.88"/>
    <x v="0"/>
    <n v="5"/>
    <n v="522.20000000000005"/>
    <n v="534.20000000000005"/>
    <x v="0"/>
  </r>
  <r>
    <s v="ORD-10432"/>
    <x v="190"/>
    <d v="2023-08-30T00:00:00"/>
    <x v="11"/>
    <x v="3"/>
    <x v="3"/>
    <x v="2"/>
    <x v="3"/>
    <n v="3"/>
    <n v="644.84"/>
    <n v="37.5"/>
    <n v="57"/>
    <n v="658.33"/>
    <x v="0"/>
    <n v="5"/>
    <n v="1934.52"/>
    <n v="1972.02"/>
    <x v="0"/>
  </r>
  <r>
    <s v="ORD-10433"/>
    <x v="191"/>
    <d v="2023-08-29T00:00:00"/>
    <x v="10"/>
    <x v="0"/>
    <x v="0"/>
    <x v="2"/>
    <x v="2"/>
    <n v="10"/>
    <n v="32.89"/>
    <n v="8"/>
    <n v="279"/>
    <n v="22.31"/>
    <x v="0"/>
    <n v="3"/>
    <n v="328.9"/>
    <n v="336.9"/>
    <x v="0"/>
  </r>
  <r>
    <s v="ORD-10434"/>
    <x v="191"/>
    <d v="2023-09-12T00:00:00"/>
    <x v="1"/>
    <x v="0"/>
    <x v="0"/>
    <x v="2"/>
    <x v="1"/>
    <n v="5"/>
    <n v="13"/>
    <n v="8"/>
    <n v="65"/>
    <n v="1.2"/>
    <x v="1"/>
    <n v="17"/>
    <n v="65"/>
    <n v="73"/>
    <x v="0"/>
  </r>
  <r>
    <s v="ORD-10435"/>
    <x v="192"/>
    <d v="2023-08-30T00:00:00"/>
    <x v="10"/>
    <x v="0"/>
    <x v="0"/>
    <x v="1"/>
    <x v="2"/>
    <n v="11"/>
    <n v="31.57"/>
    <n v="8"/>
    <n v="103"/>
    <n v="23.78"/>
    <x v="0"/>
    <n v="3"/>
    <n v="347.27"/>
    <n v="355.27"/>
    <x v="0"/>
  </r>
  <r>
    <s v="ORD-10436"/>
    <x v="193"/>
    <d v="2023-09-04T00:00:00"/>
    <x v="12"/>
    <x v="3"/>
    <x v="3"/>
    <x v="2"/>
    <x v="3"/>
    <n v="1"/>
    <n v="659.34"/>
    <n v="37.5"/>
    <n v="207"/>
    <n v="212.02"/>
    <x v="0"/>
    <n v="5"/>
    <n v="659.34"/>
    <n v="696.84"/>
    <x v="0"/>
  </r>
  <r>
    <s v="ORD-10437"/>
    <x v="193"/>
    <d v="2023-09-04T00:00:00"/>
    <x v="9"/>
    <x v="2"/>
    <x v="2"/>
    <x v="0"/>
    <x v="0"/>
    <n v="2"/>
    <n v="235.29"/>
    <n v="75"/>
    <n v="237"/>
    <n v="56.62"/>
    <x v="0"/>
    <n v="5"/>
    <n v="470.58"/>
    <n v="545.57999999999993"/>
    <x v="0"/>
  </r>
  <r>
    <s v="ORD-10438"/>
    <x v="193"/>
    <d v="2023-09-02T00:00:00"/>
    <x v="1"/>
    <x v="0"/>
    <x v="0"/>
    <x v="1"/>
    <x v="1"/>
    <n v="5"/>
    <n v="22.63"/>
    <n v="8"/>
    <n v="7"/>
    <n v="-16.97"/>
    <x v="0"/>
    <n v="3"/>
    <n v="113.14999999999999"/>
    <n v="121.14999999999999"/>
    <x v="2"/>
  </r>
  <r>
    <s v="ORD-10439"/>
    <x v="193"/>
    <d v="2023-09-06T00:00:00"/>
    <x v="5"/>
    <x v="3"/>
    <x v="3"/>
    <x v="2"/>
    <x v="1"/>
    <n v="3"/>
    <n v="444.66"/>
    <n v="25"/>
    <n v="236"/>
    <n v="454.39"/>
    <x v="2"/>
    <n v="7"/>
    <n v="1333.98"/>
    <n v="1358.98"/>
    <x v="0"/>
  </r>
  <r>
    <s v="ORD-10440"/>
    <x v="193"/>
    <d v="2023-09-01T00:00:00"/>
    <x v="7"/>
    <x v="1"/>
    <x v="1"/>
    <x v="2"/>
    <x v="3"/>
    <n v="5"/>
    <n v="102.04"/>
    <n v="18"/>
    <n v="295"/>
    <n v="195.07"/>
    <x v="0"/>
    <n v="2"/>
    <n v="510.20000000000005"/>
    <n v="528.20000000000005"/>
    <x v="0"/>
  </r>
  <r>
    <s v="ORD-10441"/>
    <x v="193"/>
    <d v="2023-09-04T00:00:00"/>
    <x v="10"/>
    <x v="0"/>
    <x v="0"/>
    <x v="0"/>
    <x v="0"/>
    <n v="14"/>
    <n v="37.35"/>
    <n v="8"/>
    <n v="3"/>
    <n v="37.83"/>
    <x v="0"/>
    <n v="5"/>
    <n v="522.9"/>
    <n v="530.9"/>
    <x v="2"/>
  </r>
  <r>
    <s v="ORD-10442"/>
    <x v="194"/>
    <d v="2023-09-15T00:00:00"/>
    <x v="11"/>
    <x v="3"/>
    <x v="3"/>
    <x v="2"/>
    <x v="3"/>
    <n v="2"/>
    <n v="324.87"/>
    <n v="37.5"/>
    <n v="185"/>
    <n v="208.66"/>
    <x v="1"/>
    <n v="15"/>
    <n v="649.74"/>
    <n v="687.24"/>
    <x v="0"/>
  </r>
  <r>
    <s v="ORD-10443"/>
    <x v="195"/>
    <d v="2023-09-06T00:00:00"/>
    <x v="8"/>
    <x v="2"/>
    <x v="2"/>
    <x v="0"/>
    <x v="2"/>
    <n v="1"/>
    <n v="276.3"/>
    <n v="75"/>
    <n v="239"/>
    <n v="17.760000000000002"/>
    <x v="0"/>
    <n v="5"/>
    <n v="276.3"/>
    <n v="351.3"/>
    <x v="0"/>
  </r>
  <r>
    <s v="ORD-10444"/>
    <x v="195"/>
    <d v="2023-09-03T00:00:00"/>
    <x v="10"/>
    <x v="0"/>
    <x v="0"/>
    <x v="2"/>
    <x v="3"/>
    <n v="6"/>
    <n v="37.75"/>
    <n v="12"/>
    <n v="148"/>
    <n v="12.12"/>
    <x v="0"/>
    <n v="2"/>
    <n v="226.5"/>
    <n v="238.5"/>
    <x v="0"/>
  </r>
  <r>
    <s v="ORD-10445"/>
    <x v="196"/>
    <d v="2023-09-13T00:00:00"/>
    <x v="8"/>
    <x v="2"/>
    <x v="2"/>
    <x v="2"/>
    <x v="3"/>
    <n v="2"/>
    <n v="347.31"/>
    <n v="112.5"/>
    <n v="101"/>
    <n v="82.68"/>
    <x v="1"/>
    <n v="11"/>
    <n v="694.62"/>
    <n v="807.12"/>
    <x v="0"/>
  </r>
  <r>
    <s v="ORD-10446"/>
    <x v="197"/>
    <d v="2023-09-04T00:00:00"/>
    <x v="2"/>
    <x v="1"/>
    <x v="1"/>
    <x v="0"/>
    <x v="2"/>
    <n v="1"/>
    <n v="60.84"/>
    <n v="12"/>
    <n v="256"/>
    <n v="-9.1300000000000008"/>
    <x v="0"/>
    <n v="1"/>
    <n v="60.84"/>
    <n v="72.84"/>
    <x v="0"/>
  </r>
  <r>
    <s v="ORD-10447"/>
    <x v="197"/>
    <d v="2023-09-05T00:00:00"/>
    <x v="11"/>
    <x v="3"/>
    <x v="3"/>
    <x v="1"/>
    <x v="1"/>
    <n v="1"/>
    <n v="435.38"/>
    <n v="25"/>
    <n v="43"/>
    <n v="139.88"/>
    <x v="0"/>
    <n v="2"/>
    <n v="435.38"/>
    <n v="460.38"/>
    <x v="1"/>
  </r>
  <r>
    <s v="ORD-10448"/>
    <x v="198"/>
    <d v="2023-09-07T00:00:00"/>
    <x v="0"/>
    <x v="0"/>
    <x v="0"/>
    <x v="1"/>
    <x v="0"/>
    <n v="13"/>
    <n v="20.14"/>
    <n v="8"/>
    <n v="237"/>
    <n v="16.940000000000001"/>
    <x v="0"/>
    <n v="3"/>
    <n v="261.82"/>
    <n v="269.82"/>
    <x v="0"/>
  </r>
  <r>
    <s v="ORD-10449"/>
    <x v="198"/>
    <d v="2023-09-07T00:00:00"/>
    <x v="15"/>
    <x v="4"/>
    <x v="4"/>
    <x v="0"/>
    <x v="2"/>
    <n v="2"/>
    <n v="20.3"/>
    <n v="12"/>
    <n v="197"/>
    <n v="12.27"/>
    <x v="0"/>
    <n v="3"/>
    <n v="40.6"/>
    <n v="52.6"/>
    <x v="0"/>
  </r>
  <r>
    <s v="ORD-10450"/>
    <x v="199"/>
    <d v="2023-09-10T00:00:00"/>
    <x v="2"/>
    <x v="1"/>
    <x v="1"/>
    <x v="0"/>
    <x v="3"/>
    <n v="2"/>
    <n v="33.450000000000003"/>
    <n v="18"/>
    <n v="151"/>
    <n v="17.760000000000002"/>
    <x v="0"/>
    <n v="4"/>
    <n v="66.900000000000006"/>
    <n v="84.9"/>
    <x v="0"/>
  </r>
  <r>
    <s v="ORD-10451"/>
    <x v="199"/>
    <d v="2023-09-10T00:00:00"/>
    <x v="2"/>
    <x v="1"/>
    <x v="1"/>
    <x v="0"/>
    <x v="2"/>
    <n v="3"/>
    <n v="80.98"/>
    <n v="12"/>
    <n v="329"/>
    <n v="91.17"/>
    <x v="0"/>
    <n v="4"/>
    <n v="242.94"/>
    <n v="254.94"/>
    <x v="0"/>
  </r>
  <r>
    <s v="ORD-10452"/>
    <x v="200"/>
    <d v="2023-09-18T00:00:00"/>
    <x v="12"/>
    <x v="3"/>
    <x v="3"/>
    <x v="2"/>
    <x v="3"/>
    <n v="3"/>
    <n v="307.22000000000003"/>
    <n v="37.5"/>
    <n v="126"/>
    <n v="303.83"/>
    <x v="1"/>
    <n v="11"/>
    <n v="921.66000000000008"/>
    <n v="959.16000000000008"/>
    <x v="0"/>
  </r>
  <r>
    <s v="ORD-10453"/>
    <x v="200"/>
    <d v="2023-09-20T00:00:00"/>
    <x v="3"/>
    <x v="1"/>
    <x v="1"/>
    <x v="2"/>
    <x v="3"/>
    <n v="1"/>
    <n v="66.03"/>
    <n v="18"/>
    <n v="85"/>
    <n v="17.41"/>
    <x v="1"/>
    <n v="13"/>
    <n v="66.03"/>
    <n v="84.03"/>
    <x v="0"/>
  </r>
  <r>
    <s v="ORD-10454"/>
    <x v="201"/>
    <d v="2023-09-25T00:00:00"/>
    <x v="12"/>
    <x v="3"/>
    <x v="3"/>
    <x v="2"/>
    <x v="3"/>
    <n v="3"/>
    <n v="1090.97"/>
    <n v="37.5"/>
    <n v="68"/>
    <n v="1126.77"/>
    <x v="1"/>
    <n v="17"/>
    <n v="3272.91"/>
    <n v="3310.41"/>
    <x v="0"/>
  </r>
  <r>
    <s v="ORD-10455"/>
    <x v="201"/>
    <d v="2023-09-12T00:00:00"/>
    <x v="10"/>
    <x v="0"/>
    <x v="0"/>
    <x v="2"/>
    <x v="3"/>
    <n v="7"/>
    <n v="41.94"/>
    <n v="12"/>
    <n v="101"/>
    <n v="17.489999999999998"/>
    <x v="0"/>
    <n v="4"/>
    <n v="293.58"/>
    <n v="305.58"/>
    <x v="0"/>
  </r>
  <r>
    <s v="ORD-10456"/>
    <x v="202"/>
    <d v="2023-09-11T00:00:00"/>
    <x v="2"/>
    <x v="1"/>
    <x v="1"/>
    <x v="1"/>
    <x v="0"/>
    <n v="2"/>
    <n v="119.08"/>
    <n v="12"/>
    <n v="190"/>
    <n v="89.26"/>
    <x v="0"/>
    <n v="1"/>
    <n v="238.16"/>
    <n v="250.16"/>
    <x v="0"/>
  </r>
  <r>
    <s v="ORD-10457"/>
    <x v="202"/>
    <d v="2023-09-24T00:00:00"/>
    <x v="15"/>
    <x v="4"/>
    <x v="4"/>
    <x v="2"/>
    <x v="3"/>
    <n v="1"/>
    <n v="54.84"/>
    <n v="18"/>
    <n v="133"/>
    <n v="-8.23"/>
    <x v="1"/>
    <n v="14"/>
    <n v="54.84"/>
    <n v="72.84"/>
    <x v="0"/>
  </r>
  <r>
    <s v="ORD-10458"/>
    <x v="202"/>
    <d v="2023-09-26T00:00:00"/>
    <x v="1"/>
    <x v="0"/>
    <x v="0"/>
    <x v="2"/>
    <x v="1"/>
    <n v="11"/>
    <n v="15.84"/>
    <n v="8"/>
    <n v="133"/>
    <n v="9.94"/>
    <x v="1"/>
    <n v="16"/>
    <n v="174.24"/>
    <n v="182.24"/>
    <x v="0"/>
  </r>
  <r>
    <s v="ORD-10459"/>
    <x v="203"/>
    <d v="2023-09-25T00:00:00"/>
    <x v="14"/>
    <x v="4"/>
    <x v="4"/>
    <x v="2"/>
    <x v="3"/>
    <n v="5"/>
    <n v="124.71"/>
    <n v="18"/>
    <n v="372"/>
    <n v="271.61"/>
    <x v="1"/>
    <n v="14"/>
    <n v="623.54999999999995"/>
    <n v="641.54999999999995"/>
    <x v="0"/>
  </r>
  <r>
    <s v="ORD-10460"/>
    <x v="203"/>
    <d v="2023-09-20T00:00:00"/>
    <x v="2"/>
    <x v="1"/>
    <x v="1"/>
    <x v="2"/>
    <x v="1"/>
    <n v="1"/>
    <n v="147.07"/>
    <n v="12"/>
    <n v="308"/>
    <n v="52.83"/>
    <x v="2"/>
    <n v="9"/>
    <n v="147.07"/>
    <n v="159.07"/>
    <x v="0"/>
  </r>
  <r>
    <s v="ORD-10461"/>
    <x v="203"/>
    <d v="2023-09-16T00:00:00"/>
    <x v="5"/>
    <x v="3"/>
    <x v="3"/>
    <x v="2"/>
    <x v="3"/>
    <n v="2"/>
    <n v="1181.3800000000001"/>
    <n v="37.5"/>
    <n v="198"/>
    <n v="808.22"/>
    <x v="0"/>
    <n v="5"/>
    <n v="2362.7600000000002"/>
    <n v="2400.2600000000002"/>
    <x v="0"/>
  </r>
  <r>
    <s v="ORD-10462"/>
    <x v="204"/>
    <d v="2023-09-24T00:00:00"/>
    <x v="5"/>
    <x v="3"/>
    <x v="3"/>
    <x v="2"/>
    <x v="3"/>
    <n v="3"/>
    <n v="256.63"/>
    <n v="37.5"/>
    <n v="149"/>
    <n v="250.71"/>
    <x v="1"/>
    <n v="11"/>
    <n v="769.89"/>
    <n v="807.39"/>
    <x v="0"/>
  </r>
  <r>
    <s v="ORD-10463"/>
    <x v="204"/>
    <d v="2023-09-16T00:00:00"/>
    <x v="7"/>
    <x v="1"/>
    <x v="1"/>
    <x v="1"/>
    <x v="1"/>
    <n v="5"/>
    <n v="66.959999999999994"/>
    <n v="12"/>
    <n v="274"/>
    <n v="127.92"/>
    <x v="0"/>
    <n v="3"/>
    <n v="334.79999999999995"/>
    <n v="346.79999999999995"/>
    <x v="0"/>
  </r>
  <r>
    <s v="ORD-10464"/>
    <x v="205"/>
    <d v="2023-09-19T00:00:00"/>
    <x v="14"/>
    <x v="4"/>
    <x v="4"/>
    <x v="2"/>
    <x v="0"/>
    <n v="4"/>
    <n v="64.819999999999993"/>
    <n v="12"/>
    <n v="317"/>
    <n v="110.68"/>
    <x v="0"/>
    <n v="4"/>
    <n v="259.27999999999997"/>
    <n v="271.27999999999997"/>
    <x v="0"/>
  </r>
  <r>
    <s v="ORD-10465"/>
    <x v="206"/>
    <d v="2023-09-19T00:00:00"/>
    <x v="1"/>
    <x v="0"/>
    <x v="0"/>
    <x v="2"/>
    <x v="1"/>
    <n v="12"/>
    <n v="15.77"/>
    <n v="8"/>
    <n v="200"/>
    <n v="-28.39"/>
    <x v="0"/>
    <n v="3"/>
    <n v="189.24"/>
    <n v="197.24"/>
    <x v="0"/>
  </r>
  <r>
    <s v="ORD-10466"/>
    <x v="206"/>
    <d v="2023-09-19T00:00:00"/>
    <x v="8"/>
    <x v="2"/>
    <x v="2"/>
    <x v="2"/>
    <x v="3"/>
    <n v="1"/>
    <n v="165"/>
    <n v="112.5"/>
    <n v="300"/>
    <n v="-23.25"/>
    <x v="0"/>
    <n v="3"/>
    <n v="165"/>
    <n v="277.5"/>
    <x v="0"/>
  </r>
  <r>
    <s v="ORD-10467"/>
    <x v="207"/>
    <d v="2023-09-22T00:00:00"/>
    <x v="1"/>
    <x v="0"/>
    <x v="0"/>
    <x v="2"/>
    <x v="3"/>
    <n v="7"/>
    <n v="27.41"/>
    <n v="12"/>
    <n v="6"/>
    <n v="9.35"/>
    <x v="0"/>
    <n v="4"/>
    <n v="191.87"/>
    <n v="203.87"/>
    <x v="2"/>
  </r>
  <r>
    <s v="ORD-10468"/>
    <x v="207"/>
    <d v="2023-09-22T00:00:00"/>
    <x v="7"/>
    <x v="1"/>
    <x v="1"/>
    <x v="1"/>
    <x v="1"/>
    <n v="4"/>
    <n v="69.78"/>
    <n v="12"/>
    <n v="125"/>
    <n v="105.64"/>
    <x v="0"/>
    <n v="4"/>
    <n v="279.12"/>
    <n v="291.12"/>
    <x v="0"/>
  </r>
  <r>
    <s v="ORD-10469"/>
    <x v="207"/>
    <d v="2023-09-21T00:00:00"/>
    <x v="5"/>
    <x v="3"/>
    <x v="3"/>
    <x v="0"/>
    <x v="1"/>
    <n v="1"/>
    <n v="938.93"/>
    <n v="25"/>
    <n v="372"/>
    <n v="316.13"/>
    <x v="0"/>
    <n v="3"/>
    <n v="938.93"/>
    <n v="963.93"/>
    <x v="0"/>
  </r>
  <r>
    <s v="ORD-10470"/>
    <x v="208"/>
    <d v="2023-09-20T00:00:00"/>
    <x v="0"/>
    <x v="0"/>
    <x v="0"/>
    <x v="0"/>
    <x v="3"/>
    <n v="14"/>
    <n v="49.83"/>
    <n v="12"/>
    <n v="1"/>
    <n v="49.8"/>
    <x v="0"/>
    <n v="1"/>
    <n v="697.62"/>
    <n v="709.62"/>
    <x v="2"/>
  </r>
  <r>
    <s v="ORD-10471"/>
    <x v="209"/>
    <d v="2023-10-02T00:00:00"/>
    <x v="15"/>
    <x v="4"/>
    <x v="4"/>
    <x v="2"/>
    <x v="2"/>
    <n v="4"/>
    <n v="96.21"/>
    <n v="12"/>
    <n v="266"/>
    <n v="167.18"/>
    <x v="1"/>
    <n v="12"/>
    <n v="384.84"/>
    <n v="396.84"/>
    <x v="0"/>
  </r>
  <r>
    <s v="ORD-10472"/>
    <x v="209"/>
    <d v="2023-09-21T00:00:00"/>
    <x v="3"/>
    <x v="1"/>
    <x v="1"/>
    <x v="1"/>
    <x v="0"/>
    <n v="2"/>
    <n v="90.58"/>
    <n v="12"/>
    <n v="232"/>
    <n v="66.459999999999994"/>
    <x v="0"/>
    <n v="1"/>
    <n v="181.16"/>
    <n v="193.16"/>
    <x v="0"/>
  </r>
  <r>
    <s v="ORD-10473"/>
    <x v="209"/>
    <d v="2023-09-29T00:00:00"/>
    <x v="11"/>
    <x v="3"/>
    <x v="3"/>
    <x v="2"/>
    <x v="3"/>
    <n v="1"/>
    <n v="606.33000000000004"/>
    <n v="37.5"/>
    <n v="205"/>
    <n v="193.47"/>
    <x v="2"/>
    <n v="9"/>
    <n v="606.33000000000004"/>
    <n v="643.83000000000004"/>
    <x v="0"/>
  </r>
  <r>
    <s v="ORD-10474"/>
    <x v="210"/>
    <d v="2023-10-02T00:00:00"/>
    <x v="6"/>
    <x v="3"/>
    <x v="3"/>
    <x v="2"/>
    <x v="2"/>
    <n v="1"/>
    <n v="485.4"/>
    <n v="25"/>
    <n v="229"/>
    <n v="157.38999999999999"/>
    <x v="1"/>
    <n v="11"/>
    <n v="485.4"/>
    <n v="510.4"/>
    <x v="0"/>
  </r>
  <r>
    <s v="ORD-10475"/>
    <x v="211"/>
    <d v="2023-10-06T00:00:00"/>
    <x v="14"/>
    <x v="4"/>
    <x v="4"/>
    <x v="2"/>
    <x v="3"/>
    <n v="5"/>
    <n v="107.54"/>
    <n v="18"/>
    <n v="352"/>
    <n v="232.97"/>
    <x v="1"/>
    <n v="14"/>
    <n v="537.70000000000005"/>
    <n v="555.70000000000005"/>
    <x v="0"/>
  </r>
  <r>
    <s v="ORD-10476"/>
    <x v="212"/>
    <d v="2023-09-27T00:00:00"/>
    <x v="8"/>
    <x v="2"/>
    <x v="2"/>
    <x v="1"/>
    <x v="1"/>
    <n v="1"/>
    <n v="184.83"/>
    <n v="75"/>
    <n v="162"/>
    <n v="-0.53"/>
    <x v="0"/>
    <n v="4"/>
    <n v="184.83"/>
    <n v="259.83000000000004"/>
    <x v="0"/>
  </r>
  <r>
    <s v="ORD-10477"/>
    <x v="212"/>
    <d v="2023-09-25T00:00:00"/>
    <x v="12"/>
    <x v="3"/>
    <x v="3"/>
    <x v="2"/>
    <x v="2"/>
    <n v="3"/>
    <n v="1165.6099999999999"/>
    <n v="25"/>
    <n v="234"/>
    <n v="1211.3900000000001"/>
    <x v="0"/>
    <n v="2"/>
    <n v="3496.83"/>
    <n v="3521.83"/>
    <x v="0"/>
  </r>
  <r>
    <s v="ORD-10478"/>
    <x v="213"/>
    <d v="2023-09-30T00:00:00"/>
    <x v="1"/>
    <x v="0"/>
    <x v="0"/>
    <x v="2"/>
    <x v="3"/>
    <n v="5"/>
    <n v="39.68"/>
    <n v="12"/>
    <n v="313"/>
    <n v="9.8699999999999992"/>
    <x v="0"/>
    <n v="5"/>
    <n v="198.4"/>
    <n v="210.4"/>
    <x v="0"/>
  </r>
  <r>
    <s v="ORD-10479"/>
    <x v="213"/>
    <d v="2023-10-05T00:00:00"/>
    <x v="7"/>
    <x v="1"/>
    <x v="1"/>
    <x v="2"/>
    <x v="2"/>
    <n v="4"/>
    <n v="120.34"/>
    <n v="12"/>
    <n v="36"/>
    <n v="186.54"/>
    <x v="2"/>
    <n v="10"/>
    <n v="481.36"/>
    <n v="493.36"/>
    <x v="1"/>
  </r>
  <r>
    <s v="ORD-10480"/>
    <x v="214"/>
    <d v="2023-10-13T00:00:00"/>
    <x v="11"/>
    <x v="3"/>
    <x v="3"/>
    <x v="2"/>
    <x v="2"/>
    <n v="3"/>
    <n v="742.03"/>
    <n v="25"/>
    <n v="104"/>
    <n v="766.63"/>
    <x v="1"/>
    <n v="17"/>
    <n v="2226.09"/>
    <n v="2251.09"/>
    <x v="0"/>
  </r>
  <r>
    <s v="ORD-10481"/>
    <x v="215"/>
    <d v="2023-09-30T00:00:00"/>
    <x v="6"/>
    <x v="3"/>
    <x v="3"/>
    <x v="0"/>
    <x v="0"/>
    <n v="1"/>
    <n v="845.15"/>
    <n v="25"/>
    <n v="50"/>
    <n v="283.3"/>
    <x v="0"/>
    <n v="3"/>
    <n v="845.15"/>
    <n v="870.15"/>
    <x v="1"/>
  </r>
  <r>
    <s v="ORD-10482"/>
    <x v="215"/>
    <d v="2023-10-02T00:00:00"/>
    <x v="6"/>
    <x v="3"/>
    <x v="3"/>
    <x v="2"/>
    <x v="3"/>
    <n v="1"/>
    <n v="249.51"/>
    <n v="37.5"/>
    <n v="199"/>
    <n v="68.58"/>
    <x v="0"/>
    <n v="5"/>
    <n v="249.51"/>
    <n v="287.01"/>
    <x v="0"/>
  </r>
  <r>
    <s v="ORD-10483"/>
    <x v="215"/>
    <d v="2023-10-06T00:00:00"/>
    <x v="0"/>
    <x v="0"/>
    <x v="0"/>
    <x v="2"/>
    <x v="2"/>
    <n v="14"/>
    <n v="30.13"/>
    <n v="8"/>
    <n v="0"/>
    <n v="29.74"/>
    <x v="2"/>
    <n v="9"/>
    <n v="421.82"/>
    <n v="429.82"/>
    <x v="2"/>
  </r>
  <r>
    <s v="ORD-10484"/>
    <x v="216"/>
    <d v="2023-10-02T00:00:00"/>
    <x v="1"/>
    <x v="0"/>
    <x v="0"/>
    <x v="0"/>
    <x v="3"/>
    <n v="10"/>
    <n v="12.92"/>
    <n v="12"/>
    <n v="5"/>
    <n v="4.33"/>
    <x v="0"/>
    <n v="3"/>
    <n v="129.19999999999999"/>
    <n v="141.19999999999999"/>
    <x v="2"/>
  </r>
  <r>
    <s v="ORD-10485"/>
    <x v="217"/>
    <d v="2023-10-04T00:00:00"/>
    <x v="1"/>
    <x v="0"/>
    <x v="0"/>
    <x v="0"/>
    <x v="2"/>
    <n v="12"/>
    <n v="44.66"/>
    <n v="8"/>
    <n v="391"/>
    <n v="38.869999999999997"/>
    <x v="0"/>
    <n v="4"/>
    <n v="535.91999999999996"/>
    <n v="543.91999999999996"/>
    <x v="0"/>
  </r>
  <r>
    <s v="ORD-10486"/>
    <x v="218"/>
    <d v="2023-10-06T00:00:00"/>
    <x v="8"/>
    <x v="2"/>
    <x v="2"/>
    <x v="0"/>
    <x v="3"/>
    <n v="1"/>
    <n v="205.08"/>
    <n v="112.5"/>
    <n v="197"/>
    <n v="-15.23"/>
    <x v="0"/>
    <n v="5"/>
    <n v="205.08"/>
    <n v="317.58000000000004"/>
    <x v="0"/>
  </r>
  <r>
    <s v="ORD-10487"/>
    <x v="219"/>
    <d v="2023-10-04T00:00:00"/>
    <x v="14"/>
    <x v="4"/>
    <x v="4"/>
    <x v="1"/>
    <x v="2"/>
    <n v="1"/>
    <n v="103.1"/>
    <n v="12"/>
    <n v="324"/>
    <n v="40.39"/>
    <x v="0"/>
    <n v="2"/>
    <n v="103.1"/>
    <n v="115.1"/>
    <x v="0"/>
  </r>
  <r>
    <s v="ORD-10488"/>
    <x v="220"/>
    <d v="2023-10-04T00:00:00"/>
    <x v="13"/>
    <x v="4"/>
    <x v="4"/>
    <x v="1"/>
    <x v="1"/>
    <n v="2"/>
    <n v="40.909999999999997"/>
    <n v="12"/>
    <n v="264"/>
    <n v="30.82"/>
    <x v="0"/>
    <n v="1"/>
    <n v="81.819999999999993"/>
    <n v="93.82"/>
    <x v="0"/>
  </r>
  <r>
    <s v="ORD-10489"/>
    <x v="221"/>
    <d v="2023-10-07T00:00:00"/>
    <x v="6"/>
    <x v="3"/>
    <x v="3"/>
    <x v="2"/>
    <x v="3"/>
    <n v="2"/>
    <n v="1150.28"/>
    <n v="37.5"/>
    <n v="177"/>
    <n v="786.45"/>
    <x v="0"/>
    <n v="3"/>
    <n v="2300.56"/>
    <n v="2338.06"/>
    <x v="0"/>
  </r>
  <r>
    <s v="ORD-10490"/>
    <x v="221"/>
    <d v="2023-10-05T00:00:00"/>
    <x v="8"/>
    <x v="2"/>
    <x v="2"/>
    <x v="2"/>
    <x v="2"/>
    <n v="2"/>
    <n v="122.17"/>
    <n v="75"/>
    <n v="208"/>
    <n v="11.37"/>
    <x v="0"/>
    <n v="1"/>
    <n v="244.34"/>
    <n v="319.34000000000003"/>
    <x v="0"/>
  </r>
  <r>
    <s v="ORD-10491"/>
    <x v="221"/>
    <d v="2023-10-07T00:00:00"/>
    <x v="14"/>
    <x v="4"/>
    <x v="4"/>
    <x v="2"/>
    <x v="1"/>
    <n v="2"/>
    <n v="33.89"/>
    <n v="12"/>
    <n v="30"/>
    <n v="24.5"/>
    <x v="0"/>
    <n v="3"/>
    <n v="67.78"/>
    <n v="79.78"/>
    <x v="1"/>
  </r>
  <r>
    <s v="ORD-10492"/>
    <x v="222"/>
    <d v="2023-10-08T00:00:00"/>
    <x v="11"/>
    <x v="3"/>
    <x v="3"/>
    <x v="0"/>
    <x v="0"/>
    <n v="3"/>
    <n v="889.58"/>
    <n v="25"/>
    <n v="31"/>
    <n v="921.56"/>
    <x v="0"/>
    <n v="3"/>
    <n v="2668.7400000000002"/>
    <n v="2693.7400000000002"/>
    <x v="1"/>
  </r>
  <r>
    <s v="ORD-10493"/>
    <x v="223"/>
    <d v="2023-10-07T00:00:00"/>
    <x v="2"/>
    <x v="1"/>
    <x v="1"/>
    <x v="0"/>
    <x v="2"/>
    <n v="3"/>
    <n v="84.68"/>
    <n v="12"/>
    <n v="85"/>
    <n v="95.61"/>
    <x v="0"/>
    <n v="1"/>
    <n v="254.04000000000002"/>
    <n v="266.04000000000002"/>
    <x v="0"/>
  </r>
  <r>
    <s v="ORD-10494"/>
    <x v="224"/>
    <d v="2023-10-12T00:00:00"/>
    <x v="1"/>
    <x v="0"/>
    <x v="0"/>
    <x v="2"/>
    <x v="3"/>
    <n v="11"/>
    <n v="21.44"/>
    <n v="12"/>
    <n v="245"/>
    <n v="12.87"/>
    <x v="0"/>
    <n v="5"/>
    <n v="235.84"/>
    <n v="247.84"/>
    <x v="0"/>
  </r>
  <r>
    <s v="ORD-10495"/>
    <x v="224"/>
    <d v="2023-10-08T00:00:00"/>
    <x v="6"/>
    <x v="3"/>
    <x v="3"/>
    <x v="2"/>
    <x v="2"/>
    <n v="3"/>
    <n v="922.68"/>
    <n v="25"/>
    <n v="125"/>
    <n v="956.32"/>
    <x v="0"/>
    <n v="1"/>
    <n v="2768.04"/>
    <n v="2793.04"/>
    <x v="0"/>
  </r>
  <r>
    <s v="ORD-10496"/>
    <x v="225"/>
    <d v="2023-10-19T00:00:00"/>
    <x v="6"/>
    <x v="3"/>
    <x v="3"/>
    <x v="2"/>
    <x v="3"/>
    <n v="1"/>
    <n v="1176.49"/>
    <n v="37.5"/>
    <n v="135"/>
    <n v="393.02"/>
    <x v="1"/>
    <n v="11"/>
    <n v="1176.49"/>
    <n v="1213.99"/>
    <x v="0"/>
  </r>
  <r>
    <s v="ORD-10497"/>
    <x v="226"/>
    <d v="2023-10-10T00:00:00"/>
    <x v="1"/>
    <x v="0"/>
    <x v="0"/>
    <x v="2"/>
    <x v="1"/>
    <n v="9"/>
    <n v="31.12"/>
    <n v="8"/>
    <n v="286"/>
    <n v="18.41"/>
    <x v="0"/>
    <n v="1"/>
    <n v="280.08"/>
    <n v="288.08"/>
    <x v="0"/>
  </r>
  <r>
    <s v="ORD-10498"/>
    <x v="227"/>
    <d v="2023-10-18T00:00:00"/>
    <x v="7"/>
    <x v="1"/>
    <x v="1"/>
    <x v="2"/>
    <x v="3"/>
    <n v="5"/>
    <n v="106.71"/>
    <n v="18"/>
    <n v="133"/>
    <n v="204.41"/>
    <x v="2"/>
    <n v="8"/>
    <n v="533.54999999999995"/>
    <n v="551.54999999999995"/>
    <x v="0"/>
  </r>
  <r>
    <s v="ORD-10499"/>
    <x v="228"/>
    <d v="2023-10-14T00:00:00"/>
    <x v="1"/>
    <x v="0"/>
    <x v="0"/>
    <x v="2"/>
    <x v="1"/>
    <n v="14"/>
    <n v="14.48"/>
    <n v="8"/>
    <n v="213"/>
    <n v="12.22"/>
    <x v="0"/>
    <n v="3"/>
    <n v="202.72"/>
    <n v="210.72"/>
    <x v="0"/>
  </r>
  <r>
    <s v="ORD-10500"/>
    <x v="229"/>
    <d v="2023-10-16T00:00:00"/>
    <x v="5"/>
    <x v="3"/>
    <x v="3"/>
    <x v="2"/>
    <x v="1"/>
    <n v="2"/>
    <n v="227.47"/>
    <n v="25"/>
    <n v="210"/>
    <n v="146.72999999999999"/>
    <x v="0"/>
    <n v="4"/>
    <n v="454.94"/>
    <n v="479.94"/>
    <x v="0"/>
  </r>
  <r>
    <s v="ORD-10501"/>
    <x v="229"/>
    <d v="2023-10-20T00:00:00"/>
    <x v="6"/>
    <x v="3"/>
    <x v="3"/>
    <x v="2"/>
    <x v="3"/>
    <n v="2"/>
    <n v="402.87"/>
    <n v="37.5"/>
    <n v="230"/>
    <n v="263.26"/>
    <x v="2"/>
    <n v="8"/>
    <n v="805.74"/>
    <n v="843.24"/>
    <x v="0"/>
  </r>
  <r>
    <s v="ORD-10502"/>
    <x v="229"/>
    <d v="2023-10-19T00:00:00"/>
    <x v="0"/>
    <x v="0"/>
    <x v="0"/>
    <x v="2"/>
    <x v="2"/>
    <n v="7"/>
    <n v="18.190000000000001"/>
    <n v="8"/>
    <n v="0"/>
    <n v="6.19"/>
    <x v="2"/>
    <n v="7"/>
    <n v="127.33000000000001"/>
    <n v="135.33000000000001"/>
    <x v="2"/>
  </r>
  <r>
    <s v="ORD-10503"/>
    <x v="229"/>
    <d v="2023-10-19T00:00:00"/>
    <x v="1"/>
    <x v="0"/>
    <x v="0"/>
    <x v="2"/>
    <x v="0"/>
    <n v="8"/>
    <n v="32.46"/>
    <n v="8"/>
    <n v="356"/>
    <n v="16.78"/>
    <x v="2"/>
    <n v="7"/>
    <n v="259.68"/>
    <n v="267.68"/>
    <x v="0"/>
  </r>
  <r>
    <s v="ORD-10504"/>
    <x v="230"/>
    <d v="2023-10-15T00:00:00"/>
    <x v="6"/>
    <x v="3"/>
    <x v="3"/>
    <x v="2"/>
    <x v="0"/>
    <n v="1"/>
    <n v="345.63"/>
    <n v="25"/>
    <n v="377"/>
    <n v="108.47"/>
    <x v="0"/>
    <n v="2"/>
    <n v="345.63"/>
    <n v="370.63"/>
    <x v="0"/>
  </r>
  <r>
    <s v="ORD-10505"/>
    <x v="230"/>
    <d v="2023-10-18T00:00:00"/>
    <x v="5"/>
    <x v="3"/>
    <x v="3"/>
    <x v="0"/>
    <x v="1"/>
    <n v="1"/>
    <n v="1042.19"/>
    <n v="25"/>
    <n v="399"/>
    <n v="352.27"/>
    <x v="0"/>
    <n v="5"/>
    <n v="1042.19"/>
    <n v="1067.19"/>
    <x v="0"/>
  </r>
  <r>
    <s v="ORD-10506"/>
    <x v="231"/>
    <d v="2023-10-16T00:00:00"/>
    <x v="14"/>
    <x v="4"/>
    <x v="4"/>
    <x v="1"/>
    <x v="1"/>
    <n v="3"/>
    <n v="140.47"/>
    <n v="12"/>
    <n v="239"/>
    <n v="183.63"/>
    <x v="0"/>
    <n v="2"/>
    <n v="421.40999999999997"/>
    <n v="433.40999999999997"/>
    <x v="0"/>
  </r>
  <r>
    <s v="ORD-10507"/>
    <x v="231"/>
    <d v="2023-10-16T00:00:00"/>
    <x v="14"/>
    <x v="4"/>
    <x v="4"/>
    <x v="1"/>
    <x v="1"/>
    <n v="2"/>
    <n v="33.630000000000003"/>
    <n v="12"/>
    <n v="122"/>
    <n v="24.27"/>
    <x v="0"/>
    <n v="2"/>
    <n v="67.260000000000005"/>
    <n v="79.260000000000005"/>
    <x v="0"/>
  </r>
  <r>
    <s v="ORD-10508"/>
    <x v="231"/>
    <d v="2023-10-16T00:00:00"/>
    <x v="11"/>
    <x v="3"/>
    <x v="3"/>
    <x v="1"/>
    <x v="1"/>
    <n v="2"/>
    <n v="390.38"/>
    <n v="25"/>
    <n v="72"/>
    <n v="260.77"/>
    <x v="0"/>
    <n v="2"/>
    <n v="780.76"/>
    <n v="805.76"/>
    <x v="0"/>
  </r>
  <r>
    <s v="ORD-10509"/>
    <x v="232"/>
    <d v="2023-10-17T00:00:00"/>
    <x v="14"/>
    <x v="4"/>
    <x v="4"/>
    <x v="2"/>
    <x v="3"/>
    <n v="4"/>
    <n v="95.21"/>
    <n v="18"/>
    <n v="383"/>
    <n v="-57.13"/>
    <x v="0"/>
    <n v="2"/>
    <n v="380.84"/>
    <n v="398.84"/>
    <x v="0"/>
  </r>
  <r>
    <s v="ORD-10510"/>
    <x v="232"/>
    <d v="2023-10-17T00:00:00"/>
    <x v="6"/>
    <x v="3"/>
    <x v="3"/>
    <x v="1"/>
    <x v="0"/>
    <n v="1"/>
    <n v="1093.97"/>
    <n v="25"/>
    <n v="309"/>
    <n v="370.39"/>
    <x v="0"/>
    <n v="2"/>
    <n v="1093.97"/>
    <n v="1118.97"/>
    <x v="0"/>
  </r>
  <r>
    <s v="ORD-10511"/>
    <x v="233"/>
    <d v="2023-10-19T00:00:00"/>
    <x v="1"/>
    <x v="0"/>
    <x v="0"/>
    <x v="1"/>
    <x v="0"/>
    <n v="14"/>
    <n v="16.77"/>
    <n v="8"/>
    <n v="8"/>
    <n v="-35.21"/>
    <x v="0"/>
    <n v="3"/>
    <n v="234.78"/>
    <n v="242.78"/>
    <x v="2"/>
  </r>
  <r>
    <s v="ORD-10512"/>
    <x v="233"/>
    <d v="2023-10-21T00:00:00"/>
    <x v="15"/>
    <x v="4"/>
    <x v="4"/>
    <x v="2"/>
    <x v="3"/>
    <n v="3"/>
    <n v="72.040000000000006"/>
    <n v="18"/>
    <n v="303"/>
    <n v="-32.42"/>
    <x v="0"/>
    <n v="5"/>
    <n v="216.12"/>
    <n v="234.12"/>
    <x v="0"/>
  </r>
  <r>
    <s v="ORD-10513"/>
    <x v="234"/>
    <d v="2023-10-22T00:00:00"/>
    <x v="15"/>
    <x v="4"/>
    <x v="4"/>
    <x v="1"/>
    <x v="2"/>
    <n v="5"/>
    <n v="87.56"/>
    <n v="12"/>
    <n v="277"/>
    <n v="191.01"/>
    <x v="0"/>
    <n v="4"/>
    <n v="437.8"/>
    <n v="449.8"/>
    <x v="0"/>
  </r>
  <r>
    <s v="ORD-10514"/>
    <x v="234"/>
    <d v="2023-10-23T00:00:00"/>
    <x v="14"/>
    <x v="4"/>
    <x v="4"/>
    <x v="2"/>
    <x v="3"/>
    <n v="2"/>
    <n v="142.31"/>
    <n v="18"/>
    <n v="277"/>
    <n v="119.08"/>
    <x v="0"/>
    <n v="5"/>
    <n v="284.62"/>
    <n v="302.62"/>
    <x v="0"/>
  </r>
  <r>
    <s v="ORD-10515"/>
    <x v="235"/>
    <d v="2023-10-23T00:00:00"/>
    <x v="3"/>
    <x v="1"/>
    <x v="1"/>
    <x v="0"/>
    <x v="1"/>
    <n v="4"/>
    <n v="67.39"/>
    <n v="12"/>
    <n v="256"/>
    <n v="101.83"/>
    <x v="0"/>
    <n v="3"/>
    <n v="269.56"/>
    <n v="281.56"/>
    <x v="0"/>
  </r>
  <r>
    <s v="ORD-10516"/>
    <x v="235"/>
    <d v="2023-11-04T00:00:00"/>
    <x v="3"/>
    <x v="1"/>
    <x v="1"/>
    <x v="2"/>
    <x v="3"/>
    <n v="5"/>
    <n v="93.95"/>
    <n v="18"/>
    <n v="283"/>
    <n v="178.89"/>
    <x v="1"/>
    <n v="15"/>
    <n v="469.75"/>
    <n v="487.75"/>
    <x v="0"/>
  </r>
  <r>
    <s v="ORD-10517"/>
    <x v="236"/>
    <d v="2023-10-23T00:00:00"/>
    <x v="6"/>
    <x v="3"/>
    <x v="3"/>
    <x v="1"/>
    <x v="0"/>
    <n v="2"/>
    <n v="519.72"/>
    <n v="25"/>
    <n v="271"/>
    <n v="351.3"/>
    <x v="0"/>
    <n v="2"/>
    <n v="1039.44"/>
    <n v="1064.44"/>
    <x v="0"/>
  </r>
  <r>
    <s v="ORD-10518"/>
    <x v="237"/>
    <d v="2023-10-27T00:00:00"/>
    <x v="4"/>
    <x v="2"/>
    <x v="2"/>
    <x v="1"/>
    <x v="1"/>
    <n v="2"/>
    <n v="352.48"/>
    <n v="75"/>
    <n v="329"/>
    <n v="103.49"/>
    <x v="0"/>
    <n v="5"/>
    <n v="704.96"/>
    <n v="779.96"/>
    <x v="0"/>
  </r>
  <r>
    <s v="ORD-10519"/>
    <x v="237"/>
    <d v="2023-10-27T00:00:00"/>
    <x v="4"/>
    <x v="2"/>
    <x v="2"/>
    <x v="1"/>
    <x v="0"/>
    <n v="1"/>
    <n v="244.71"/>
    <n v="75"/>
    <n v="393"/>
    <n v="11.44"/>
    <x v="0"/>
    <n v="5"/>
    <n v="244.71"/>
    <n v="319.71000000000004"/>
    <x v="0"/>
  </r>
  <r>
    <s v="ORD-10520"/>
    <x v="238"/>
    <d v="2023-10-26T00:00:00"/>
    <x v="9"/>
    <x v="2"/>
    <x v="2"/>
    <x v="0"/>
    <x v="2"/>
    <n v="1"/>
    <n v="330.87"/>
    <n v="75"/>
    <n v="281"/>
    <n v="28.67"/>
    <x v="0"/>
    <n v="3"/>
    <n v="330.87"/>
    <n v="405.87"/>
    <x v="0"/>
  </r>
  <r>
    <s v="ORD-10521"/>
    <x v="238"/>
    <d v="2023-10-26T00:00:00"/>
    <x v="7"/>
    <x v="1"/>
    <x v="1"/>
    <x v="0"/>
    <x v="0"/>
    <n v="2"/>
    <n v="30.59"/>
    <n v="12"/>
    <n v="252"/>
    <n v="18.47"/>
    <x v="0"/>
    <n v="3"/>
    <n v="61.18"/>
    <n v="73.180000000000007"/>
    <x v="0"/>
  </r>
  <r>
    <s v="ORD-10522"/>
    <x v="238"/>
    <d v="2023-10-24T00:00:00"/>
    <x v="0"/>
    <x v="0"/>
    <x v="0"/>
    <x v="0"/>
    <x v="2"/>
    <n v="10"/>
    <n v="49.16"/>
    <n v="8"/>
    <n v="225"/>
    <n v="35.33"/>
    <x v="0"/>
    <n v="1"/>
    <n v="491.59999999999997"/>
    <n v="499.59999999999997"/>
    <x v="0"/>
  </r>
  <r>
    <s v="ORD-10523"/>
    <x v="239"/>
    <d v="2023-10-28T00:00:00"/>
    <x v="11"/>
    <x v="3"/>
    <x v="3"/>
    <x v="2"/>
    <x v="0"/>
    <n v="1"/>
    <n v="447.46"/>
    <n v="25"/>
    <n v="377"/>
    <n v="144.11000000000001"/>
    <x v="0"/>
    <n v="3"/>
    <n v="447.46"/>
    <n v="472.46"/>
    <x v="0"/>
  </r>
  <r>
    <s v="ORD-10524"/>
    <x v="240"/>
    <d v="2023-10-31T00:00:00"/>
    <x v="10"/>
    <x v="0"/>
    <x v="0"/>
    <x v="0"/>
    <x v="2"/>
    <n v="14"/>
    <n v="37.909999999999997"/>
    <n v="8"/>
    <n v="6"/>
    <n v="38.46"/>
    <x v="0"/>
    <n v="3"/>
    <n v="530.74"/>
    <n v="538.74"/>
    <x v="2"/>
  </r>
  <r>
    <s v="ORD-10525"/>
    <x v="241"/>
    <d v="2023-11-02T00:00:00"/>
    <x v="2"/>
    <x v="1"/>
    <x v="1"/>
    <x v="2"/>
    <x v="2"/>
    <n v="5"/>
    <n v="79.569999999999993"/>
    <n v="12"/>
    <n v="394"/>
    <n v="153.13"/>
    <x v="0"/>
    <n v="4"/>
    <n v="397.84999999999997"/>
    <n v="409.84999999999997"/>
    <x v="0"/>
  </r>
  <r>
    <s v="ORD-10526"/>
    <x v="241"/>
    <d v="2023-10-30T00:00:00"/>
    <x v="14"/>
    <x v="4"/>
    <x v="4"/>
    <x v="1"/>
    <x v="0"/>
    <n v="4"/>
    <n v="53.4"/>
    <n v="12"/>
    <n v="242"/>
    <n v="90.12"/>
    <x v="0"/>
    <n v="1"/>
    <n v="213.6"/>
    <n v="225.6"/>
    <x v="0"/>
  </r>
  <r>
    <s v="ORD-10527"/>
    <x v="241"/>
    <d v="2023-11-03T00:00:00"/>
    <x v="10"/>
    <x v="0"/>
    <x v="0"/>
    <x v="0"/>
    <x v="1"/>
    <n v="13"/>
    <n v="47.42"/>
    <n v="8"/>
    <n v="50"/>
    <n v="-92.47"/>
    <x v="0"/>
    <n v="5"/>
    <n v="616.46"/>
    <n v="624.46"/>
    <x v="1"/>
  </r>
  <r>
    <s v="ORD-10528"/>
    <x v="241"/>
    <d v="2023-11-01T00:00:00"/>
    <x v="14"/>
    <x v="4"/>
    <x v="4"/>
    <x v="0"/>
    <x v="2"/>
    <n v="1"/>
    <n v="88.91"/>
    <n v="12"/>
    <n v="66"/>
    <n v="34.01"/>
    <x v="0"/>
    <n v="3"/>
    <n v="88.91"/>
    <n v="100.91"/>
    <x v="0"/>
  </r>
  <r>
    <s v="ORD-10529"/>
    <x v="242"/>
    <d v="2023-10-31T00:00:00"/>
    <x v="15"/>
    <x v="4"/>
    <x v="4"/>
    <x v="2"/>
    <x v="3"/>
    <n v="1"/>
    <n v="31.46"/>
    <n v="18"/>
    <n v="308"/>
    <n v="5.16"/>
    <x v="0"/>
    <n v="1"/>
    <n v="31.46"/>
    <n v="49.46"/>
    <x v="0"/>
  </r>
  <r>
    <s v="ORD-10530"/>
    <x v="242"/>
    <d v="2023-11-03T00:00:00"/>
    <x v="8"/>
    <x v="2"/>
    <x v="2"/>
    <x v="1"/>
    <x v="0"/>
    <n v="2"/>
    <n v="276.14999999999998"/>
    <n v="75"/>
    <n v="133"/>
    <n v="72.959999999999994"/>
    <x v="0"/>
    <n v="4"/>
    <n v="552.29999999999995"/>
    <n v="627.29999999999995"/>
    <x v="0"/>
  </r>
  <r>
    <s v="ORD-10531"/>
    <x v="242"/>
    <d v="2023-11-03T00:00:00"/>
    <x v="15"/>
    <x v="4"/>
    <x v="4"/>
    <x v="2"/>
    <x v="1"/>
    <n v="1"/>
    <n v="86.57"/>
    <n v="12"/>
    <n v="319"/>
    <n v="32.96"/>
    <x v="0"/>
    <n v="4"/>
    <n v="86.57"/>
    <n v="98.57"/>
    <x v="0"/>
  </r>
  <r>
    <s v="ORD-10532"/>
    <x v="243"/>
    <d v="2023-11-04T00:00:00"/>
    <x v="9"/>
    <x v="2"/>
    <x v="2"/>
    <x v="2"/>
    <x v="3"/>
    <n v="1"/>
    <n v="394.1"/>
    <n v="112.5"/>
    <n v="141"/>
    <n v="22.57"/>
    <x v="0"/>
    <n v="4"/>
    <n v="394.1"/>
    <n v="506.6"/>
    <x v="0"/>
  </r>
  <r>
    <s v="ORD-10533"/>
    <x v="244"/>
    <d v="2023-11-05T00:00:00"/>
    <x v="5"/>
    <x v="3"/>
    <x v="3"/>
    <x v="2"/>
    <x v="3"/>
    <n v="1"/>
    <n v="930.13"/>
    <n v="37.5"/>
    <n v="365"/>
    <n v="306.8"/>
    <x v="0"/>
    <n v="4"/>
    <n v="930.13"/>
    <n v="967.63"/>
    <x v="0"/>
  </r>
  <r>
    <s v="ORD-10534"/>
    <x v="244"/>
    <d v="2023-11-04T00:00:00"/>
    <x v="15"/>
    <x v="4"/>
    <x v="4"/>
    <x v="0"/>
    <x v="2"/>
    <n v="5"/>
    <n v="93.08"/>
    <n v="12"/>
    <n v="333"/>
    <n v="203.43"/>
    <x v="0"/>
    <n v="3"/>
    <n v="465.4"/>
    <n v="477.4"/>
    <x v="0"/>
  </r>
  <r>
    <s v="ORD-10535"/>
    <x v="244"/>
    <d v="2023-11-13T00:00:00"/>
    <x v="13"/>
    <x v="4"/>
    <x v="4"/>
    <x v="2"/>
    <x v="1"/>
    <n v="5"/>
    <n v="105.39"/>
    <n v="12"/>
    <n v="350"/>
    <n v="231.12"/>
    <x v="1"/>
    <n v="12"/>
    <n v="526.95000000000005"/>
    <n v="538.95000000000005"/>
    <x v="0"/>
  </r>
  <r>
    <s v="ORD-10536"/>
    <x v="245"/>
    <d v="2023-11-10T00:00:00"/>
    <x v="1"/>
    <x v="0"/>
    <x v="0"/>
    <x v="2"/>
    <x v="3"/>
    <n v="12"/>
    <n v="22.81"/>
    <n v="12"/>
    <n v="150"/>
    <n v="15.9"/>
    <x v="2"/>
    <n v="8"/>
    <n v="273.71999999999997"/>
    <n v="285.71999999999997"/>
    <x v="0"/>
  </r>
  <r>
    <s v="ORD-10537"/>
    <x v="246"/>
    <d v="2023-11-20T00:00:00"/>
    <x v="14"/>
    <x v="4"/>
    <x v="4"/>
    <x v="2"/>
    <x v="1"/>
    <n v="3"/>
    <n v="143.27000000000001"/>
    <n v="12"/>
    <n v="64"/>
    <n v="187.41"/>
    <x v="1"/>
    <n v="17"/>
    <n v="429.81000000000006"/>
    <n v="441.81000000000006"/>
    <x v="0"/>
  </r>
  <r>
    <s v="ORD-10538"/>
    <x v="247"/>
    <d v="2023-11-06T00:00:00"/>
    <x v="13"/>
    <x v="4"/>
    <x v="4"/>
    <x v="2"/>
    <x v="1"/>
    <n v="3"/>
    <n v="104.18"/>
    <n v="12"/>
    <n v="194"/>
    <n v="134.63999999999999"/>
    <x v="0"/>
    <n v="2"/>
    <n v="312.54000000000002"/>
    <n v="324.54000000000002"/>
    <x v="0"/>
  </r>
  <r>
    <s v="ORD-10539"/>
    <x v="247"/>
    <d v="2023-11-06T00:00:00"/>
    <x v="10"/>
    <x v="0"/>
    <x v="0"/>
    <x v="0"/>
    <x v="0"/>
    <n v="9"/>
    <n v="35.19"/>
    <n v="8"/>
    <n v="5"/>
    <n v="21.34"/>
    <x v="0"/>
    <n v="2"/>
    <n v="316.70999999999998"/>
    <n v="324.70999999999998"/>
    <x v="2"/>
  </r>
  <r>
    <s v="ORD-10540"/>
    <x v="248"/>
    <d v="2023-11-06T00:00:00"/>
    <x v="2"/>
    <x v="1"/>
    <x v="1"/>
    <x v="0"/>
    <x v="2"/>
    <n v="2"/>
    <n v="98.49"/>
    <n v="12"/>
    <n v="330"/>
    <n v="72.8"/>
    <x v="0"/>
    <n v="1"/>
    <n v="196.98"/>
    <n v="208.98"/>
    <x v="0"/>
  </r>
  <r>
    <s v="ORD-10541"/>
    <x v="249"/>
    <d v="2023-11-08T00:00:00"/>
    <x v="9"/>
    <x v="2"/>
    <x v="2"/>
    <x v="1"/>
    <x v="0"/>
    <n v="2"/>
    <n v="158.09"/>
    <n v="75"/>
    <n v="113"/>
    <n v="25.74"/>
    <x v="0"/>
    <n v="1"/>
    <n v="316.18"/>
    <n v="391.18"/>
    <x v="0"/>
  </r>
  <r>
    <s v="ORD-10542"/>
    <x v="249"/>
    <d v="2023-11-10T00:00:00"/>
    <x v="13"/>
    <x v="4"/>
    <x v="4"/>
    <x v="0"/>
    <x v="2"/>
    <n v="4"/>
    <n v="124.99"/>
    <n v="12"/>
    <n v="160"/>
    <n v="218.99"/>
    <x v="0"/>
    <n v="3"/>
    <n v="499.96"/>
    <n v="511.96"/>
    <x v="0"/>
  </r>
  <r>
    <s v="ORD-10543"/>
    <x v="249"/>
    <d v="2023-11-15T00:00:00"/>
    <x v="1"/>
    <x v="0"/>
    <x v="0"/>
    <x v="2"/>
    <x v="3"/>
    <n v="6"/>
    <n v="41.96"/>
    <n v="12"/>
    <n v="53"/>
    <n v="14.14"/>
    <x v="2"/>
    <n v="8"/>
    <n v="251.76"/>
    <n v="263.76"/>
    <x v="0"/>
  </r>
  <r>
    <s v="ORD-10544"/>
    <x v="249"/>
    <d v="2023-11-12T00:00:00"/>
    <x v="14"/>
    <x v="4"/>
    <x v="4"/>
    <x v="0"/>
    <x v="1"/>
    <n v="4"/>
    <n v="114.87"/>
    <n v="12"/>
    <n v="121"/>
    <n v="200.77"/>
    <x v="0"/>
    <n v="5"/>
    <n v="459.48"/>
    <n v="471.48"/>
    <x v="0"/>
  </r>
  <r>
    <s v="ORD-10545"/>
    <x v="250"/>
    <d v="2023-11-11T00:00:00"/>
    <x v="15"/>
    <x v="4"/>
    <x v="4"/>
    <x v="2"/>
    <x v="3"/>
    <n v="1"/>
    <n v="21.18"/>
    <n v="18"/>
    <n v="345"/>
    <n v="0.53"/>
    <x v="0"/>
    <n v="3"/>
    <n v="21.18"/>
    <n v="39.18"/>
    <x v="0"/>
  </r>
  <r>
    <s v="ORD-10546"/>
    <x v="250"/>
    <d v="2023-11-15T00:00:00"/>
    <x v="3"/>
    <x v="1"/>
    <x v="1"/>
    <x v="2"/>
    <x v="1"/>
    <n v="5"/>
    <n v="124.65"/>
    <n v="12"/>
    <n v="305"/>
    <n v="243.29"/>
    <x v="2"/>
    <n v="7"/>
    <n v="623.25"/>
    <n v="635.25"/>
    <x v="0"/>
  </r>
  <r>
    <s v="ORD-10547"/>
    <x v="251"/>
    <d v="2023-11-12T00:00:00"/>
    <x v="2"/>
    <x v="1"/>
    <x v="1"/>
    <x v="2"/>
    <x v="3"/>
    <n v="5"/>
    <n v="61.25"/>
    <n v="18"/>
    <n v="71"/>
    <n v="113.5"/>
    <x v="0"/>
    <n v="3"/>
    <n v="306.25"/>
    <n v="324.25"/>
    <x v="0"/>
  </r>
  <r>
    <s v="ORD-10548"/>
    <x v="251"/>
    <d v="2023-11-11T00:00:00"/>
    <x v="1"/>
    <x v="0"/>
    <x v="0"/>
    <x v="1"/>
    <x v="0"/>
    <n v="9"/>
    <n v="40.200000000000003"/>
    <n v="8"/>
    <n v="172"/>
    <n v="24.94"/>
    <x v="0"/>
    <n v="2"/>
    <n v="361.8"/>
    <n v="369.8"/>
    <x v="0"/>
  </r>
  <r>
    <s v="ORD-10549"/>
    <x v="251"/>
    <d v="2023-11-13T00:00:00"/>
    <x v="2"/>
    <x v="1"/>
    <x v="1"/>
    <x v="2"/>
    <x v="3"/>
    <n v="5"/>
    <n v="92.82"/>
    <n v="18"/>
    <n v="173"/>
    <n v="176.63"/>
    <x v="0"/>
    <n v="4"/>
    <n v="464.09999999999997"/>
    <n v="482.09999999999997"/>
    <x v="0"/>
  </r>
  <r>
    <s v="ORD-10550"/>
    <x v="252"/>
    <d v="2023-11-13T00:00:00"/>
    <x v="11"/>
    <x v="3"/>
    <x v="3"/>
    <x v="2"/>
    <x v="1"/>
    <n v="1"/>
    <n v="1025.5999999999999"/>
    <n v="25"/>
    <n v="363"/>
    <n v="346.46"/>
    <x v="0"/>
    <n v="3"/>
    <n v="1025.5999999999999"/>
    <n v="1050.5999999999999"/>
    <x v="0"/>
  </r>
  <r>
    <s v="ORD-10551"/>
    <x v="253"/>
    <d v="2023-11-28T00:00:00"/>
    <x v="15"/>
    <x v="4"/>
    <x v="4"/>
    <x v="2"/>
    <x v="1"/>
    <n v="1"/>
    <n v="76.89"/>
    <n v="12"/>
    <n v="308"/>
    <n v="28.6"/>
    <x v="1"/>
    <n v="17"/>
    <n v="76.89"/>
    <n v="88.89"/>
    <x v="0"/>
  </r>
  <r>
    <s v="ORD-10552"/>
    <x v="254"/>
    <d v="2023-11-29T00:00:00"/>
    <x v="4"/>
    <x v="2"/>
    <x v="2"/>
    <x v="2"/>
    <x v="3"/>
    <n v="2"/>
    <n v="441.76"/>
    <n v="112.5"/>
    <n v="210"/>
    <n v="120.45"/>
    <x v="1"/>
    <n v="17"/>
    <n v="883.52"/>
    <n v="996.02"/>
    <x v="0"/>
  </r>
  <r>
    <s v="ORD-10553"/>
    <x v="255"/>
    <d v="2023-11-15T00:00:00"/>
    <x v="7"/>
    <x v="1"/>
    <x v="1"/>
    <x v="0"/>
    <x v="0"/>
    <n v="3"/>
    <n v="67.58"/>
    <n v="12"/>
    <n v="245"/>
    <n v="75.099999999999994"/>
    <x v="0"/>
    <n v="2"/>
    <n v="202.74"/>
    <n v="214.74"/>
    <x v="0"/>
  </r>
  <r>
    <s v="ORD-10554"/>
    <x v="256"/>
    <d v="2023-11-15T00:00:00"/>
    <x v="4"/>
    <x v="2"/>
    <x v="2"/>
    <x v="1"/>
    <x v="2"/>
    <n v="2"/>
    <n v="447.82"/>
    <n v="75"/>
    <n v="312"/>
    <n v="141.63"/>
    <x v="0"/>
    <n v="1"/>
    <n v="895.64"/>
    <n v="970.64"/>
    <x v="0"/>
  </r>
  <r>
    <s v="ORD-10555"/>
    <x v="256"/>
    <d v="2023-11-19T00:00:00"/>
    <x v="12"/>
    <x v="3"/>
    <x v="3"/>
    <x v="0"/>
    <x v="1"/>
    <n v="3"/>
    <n v="622.70000000000005"/>
    <n v="25"/>
    <n v="377"/>
    <n v="641.34"/>
    <x v="0"/>
    <n v="5"/>
    <n v="1868.1000000000001"/>
    <n v="1893.1000000000001"/>
    <x v="0"/>
  </r>
  <r>
    <s v="ORD-10556"/>
    <x v="256"/>
    <d v="2023-11-17T00:00:00"/>
    <x v="1"/>
    <x v="0"/>
    <x v="0"/>
    <x v="0"/>
    <x v="1"/>
    <n v="10"/>
    <n v="16.87"/>
    <n v="8"/>
    <n v="58"/>
    <n v="9.49"/>
    <x v="0"/>
    <n v="3"/>
    <n v="168.70000000000002"/>
    <n v="176.70000000000002"/>
    <x v="0"/>
  </r>
  <r>
    <s v="ORD-10557"/>
    <x v="256"/>
    <d v="2023-11-19T00:00:00"/>
    <x v="1"/>
    <x v="0"/>
    <x v="0"/>
    <x v="0"/>
    <x v="0"/>
    <n v="12"/>
    <n v="47.91"/>
    <n v="8"/>
    <n v="330"/>
    <n v="42"/>
    <x v="0"/>
    <n v="5"/>
    <n v="574.91999999999996"/>
    <n v="582.91999999999996"/>
    <x v="0"/>
  </r>
  <r>
    <s v="ORD-10558"/>
    <x v="256"/>
    <d v="2023-11-17T00:00:00"/>
    <x v="6"/>
    <x v="3"/>
    <x v="3"/>
    <x v="2"/>
    <x v="0"/>
    <n v="3"/>
    <n v="994.13"/>
    <n v="25"/>
    <n v="75"/>
    <n v="1031.3399999999999"/>
    <x v="0"/>
    <n v="3"/>
    <n v="2982.39"/>
    <n v="3007.39"/>
    <x v="0"/>
  </r>
  <r>
    <s v="ORD-10559"/>
    <x v="257"/>
    <d v="2023-11-18T00:00:00"/>
    <x v="14"/>
    <x v="4"/>
    <x v="4"/>
    <x v="1"/>
    <x v="2"/>
    <n v="2"/>
    <n v="131.66999999999999"/>
    <n v="12"/>
    <n v="124"/>
    <n v="112.5"/>
    <x v="0"/>
    <n v="2"/>
    <n v="263.33999999999997"/>
    <n v="275.33999999999997"/>
    <x v="0"/>
  </r>
  <r>
    <s v="ORD-10560"/>
    <x v="258"/>
    <d v="2023-11-26T00:00:00"/>
    <x v="6"/>
    <x v="3"/>
    <x v="3"/>
    <x v="2"/>
    <x v="0"/>
    <n v="2"/>
    <n v="520.57000000000005"/>
    <n v="25"/>
    <n v="84"/>
    <n v="351.9"/>
    <x v="2"/>
    <n v="9"/>
    <n v="1041.1400000000001"/>
    <n v="1066.1400000000001"/>
    <x v="0"/>
  </r>
  <r>
    <s v="ORD-10561"/>
    <x v="258"/>
    <d v="2023-11-18T00:00:00"/>
    <x v="9"/>
    <x v="2"/>
    <x v="2"/>
    <x v="1"/>
    <x v="1"/>
    <n v="1"/>
    <n v="402.72"/>
    <n v="75"/>
    <n v="101"/>
    <n v="43.04"/>
    <x v="0"/>
    <n v="1"/>
    <n v="402.72"/>
    <n v="477.72"/>
    <x v="0"/>
  </r>
  <r>
    <s v="ORD-10562"/>
    <x v="258"/>
    <d v="2023-12-03T00:00:00"/>
    <x v="12"/>
    <x v="3"/>
    <x v="3"/>
    <x v="2"/>
    <x v="3"/>
    <n v="3"/>
    <n v="241.64"/>
    <n v="37.5"/>
    <n v="227"/>
    <n v="234.98"/>
    <x v="1"/>
    <n v="16"/>
    <n v="724.92"/>
    <n v="762.42"/>
    <x v="0"/>
  </r>
  <r>
    <s v="ORD-10563"/>
    <x v="259"/>
    <d v="2023-11-22T00:00:00"/>
    <x v="6"/>
    <x v="3"/>
    <x v="3"/>
    <x v="0"/>
    <x v="3"/>
    <n v="3"/>
    <n v="1064.4000000000001"/>
    <n v="37.5"/>
    <n v="356"/>
    <n v="1098.8699999999999"/>
    <x v="0"/>
    <n v="2"/>
    <n v="3193.2000000000003"/>
    <n v="3230.7000000000003"/>
    <x v="0"/>
  </r>
  <r>
    <s v="ORD-10564"/>
    <x v="259"/>
    <d v="2023-11-22T00:00:00"/>
    <x v="7"/>
    <x v="1"/>
    <x v="1"/>
    <x v="2"/>
    <x v="3"/>
    <n v="3"/>
    <n v="29.46"/>
    <n v="18"/>
    <n v="223"/>
    <n v="26.35"/>
    <x v="0"/>
    <n v="2"/>
    <n v="88.38"/>
    <n v="106.38"/>
    <x v="0"/>
  </r>
  <r>
    <s v="ORD-10565"/>
    <x v="259"/>
    <d v="2023-11-24T00:00:00"/>
    <x v="2"/>
    <x v="1"/>
    <x v="1"/>
    <x v="1"/>
    <x v="1"/>
    <n v="2"/>
    <n v="66.22"/>
    <n v="12"/>
    <n v="356"/>
    <n v="46.98"/>
    <x v="0"/>
    <n v="4"/>
    <n v="132.44"/>
    <n v="144.44"/>
    <x v="0"/>
  </r>
  <r>
    <s v="ORD-10566"/>
    <x v="260"/>
    <d v="2023-12-07T00:00:00"/>
    <x v="12"/>
    <x v="3"/>
    <x v="3"/>
    <x v="2"/>
    <x v="0"/>
    <n v="1"/>
    <n v="998.48"/>
    <n v="25"/>
    <n v="399"/>
    <n v="336.97"/>
    <x v="1"/>
    <n v="15"/>
    <n v="998.48"/>
    <n v="1023.48"/>
    <x v="0"/>
  </r>
  <r>
    <s v="ORD-10567"/>
    <x v="261"/>
    <d v="2023-11-28T00:00:00"/>
    <x v="7"/>
    <x v="1"/>
    <x v="1"/>
    <x v="2"/>
    <x v="3"/>
    <n v="3"/>
    <n v="73.959999999999994"/>
    <n v="18"/>
    <n v="258"/>
    <n v="79.760000000000005"/>
    <x v="0"/>
    <n v="5"/>
    <n v="221.88"/>
    <n v="239.88"/>
    <x v="0"/>
  </r>
  <r>
    <s v="ORD-10568"/>
    <x v="262"/>
    <d v="2023-11-29T00:00:00"/>
    <x v="14"/>
    <x v="4"/>
    <x v="4"/>
    <x v="2"/>
    <x v="2"/>
    <n v="2"/>
    <n v="24.57"/>
    <n v="12"/>
    <n v="347"/>
    <n v="16.11"/>
    <x v="0"/>
    <n v="5"/>
    <n v="49.14"/>
    <n v="61.14"/>
    <x v="0"/>
  </r>
  <r>
    <s v="ORD-10569"/>
    <x v="262"/>
    <d v="2023-12-11T00:00:00"/>
    <x v="13"/>
    <x v="4"/>
    <x v="4"/>
    <x v="2"/>
    <x v="0"/>
    <n v="4"/>
    <n v="141.35"/>
    <n v="12"/>
    <n v="96"/>
    <n v="248.43"/>
    <x v="1"/>
    <n v="17"/>
    <n v="565.4"/>
    <n v="577.4"/>
    <x v="0"/>
  </r>
  <r>
    <s v="ORD-10570"/>
    <x v="262"/>
    <d v="2023-11-26T00:00:00"/>
    <x v="2"/>
    <x v="1"/>
    <x v="1"/>
    <x v="2"/>
    <x v="3"/>
    <n v="1"/>
    <n v="94.12"/>
    <n v="18"/>
    <n v="340"/>
    <n v="28.65"/>
    <x v="0"/>
    <n v="2"/>
    <n v="94.12"/>
    <n v="112.12"/>
    <x v="0"/>
  </r>
  <r>
    <s v="ORD-10571"/>
    <x v="263"/>
    <d v="2023-11-29T00:00:00"/>
    <x v="12"/>
    <x v="3"/>
    <x v="3"/>
    <x v="0"/>
    <x v="2"/>
    <n v="2"/>
    <n v="487.4"/>
    <n v="25"/>
    <n v="234"/>
    <n v="328.68"/>
    <x v="0"/>
    <n v="4"/>
    <n v="974.8"/>
    <n v="999.8"/>
    <x v="0"/>
  </r>
  <r>
    <s v="ORD-10572"/>
    <x v="263"/>
    <d v="2023-11-28T00:00:00"/>
    <x v="3"/>
    <x v="1"/>
    <x v="1"/>
    <x v="1"/>
    <x v="2"/>
    <n v="4"/>
    <n v="149.9"/>
    <n v="12"/>
    <n v="244"/>
    <n v="233.84"/>
    <x v="0"/>
    <n v="3"/>
    <n v="599.6"/>
    <n v="611.6"/>
    <x v="0"/>
  </r>
  <r>
    <s v="ORD-10573"/>
    <x v="263"/>
    <d v="2023-11-29T00:00:00"/>
    <x v="1"/>
    <x v="0"/>
    <x v="0"/>
    <x v="0"/>
    <x v="3"/>
    <n v="8"/>
    <n v="46.23"/>
    <n v="12"/>
    <n v="173"/>
    <n v="23.59"/>
    <x v="0"/>
    <n v="4"/>
    <n v="369.84"/>
    <n v="381.84"/>
    <x v="0"/>
  </r>
  <r>
    <s v="ORD-10574"/>
    <x v="264"/>
    <d v="2023-12-12T00:00:00"/>
    <x v="11"/>
    <x v="3"/>
    <x v="3"/>
    <x v="2"/>
    <x v="2"/>
    <n v="3"/>
    <n v="364.73"/>
    <n v="25"/>
    <n v="120"/>
    <n v="370.47"/>
    <x v="1"/>
    <n v="16"/>
    <n v="1094.19"/>
    <n v="1119.19"/>
    <x v="0"/>
  </r>
  <r>
    <s v="ORD-10575"/>
    <x v="264"/>
    <d v="2023-11-27T00:00:00"/>
    <x v="12"/>
    <x v="3"/>
    <x v="3"/>
    <x v="1"/>
    <x v="0"/>
    <n v="1"/>
    <n v="703.13"/>
    <n v="25"/>
    <n v="362"/>
    <n v="233.6"/>
    <x v="0"/>
    <n v="1"/>
    <n v="703.13"/>
    <n v="728.13"/>
    <x v="0"/>
  </r>
  <r>
    <s v="ORD-10576"/>
    <x v="265"/>
    <d v="2023-12-02T00:00:00"/>
    <x v="15"/>
    <x v="4"/>
    <x v="4"/>
    <x v="0"/>
    <x v="2"/>
    <n v="2"/>
    <n v="73.34"/>
    <n v="12"/>
    <n v="84"/>
    <n v="60.01"/>
    <x v="0"/>
    <n v="5"/>
    <n v="146.68"/>
    <n v="158.68"/>
    <x v="0"/>
  </r>
  <r>
    <s v="ORD-10577"/>
    <x v="266"/>
    <d v="2023-12-02T00:00:00"/>
    <x v="4"/>
    <x v="2"/>
    <x v="2"/>
    <x v="0"/>
    <x v="0"/>
    <n v="1"/>
    <n v="499.28"/>
    <n v="75"/>
    <n v="388"/>
    <n v="62.36"/>
    <x v="0"/>
    <n v="2"/>
    <n v="499.28"/>
    <n v="574.28"/>
    <x v="0"/>
  </r>
  <r>
    <s v="ORD-10578"/>
    <x v="266"/>
    <d v="2023-12-05T00:00:00"/>
    <x v="6"/>
    <x v="3"/>
    <x v="3"/>
    <x v="2"/>
    <x v="3"/>
    <n v="3"/>
    <n v="735.41"/>
    <n v="37.5"/>
    <n v="29"/>
    <n v="753.43"/>
    <x v="0"/>
    <n v="5"/>
    <n v="2206.23"/>
    <n v="2243.73"/>
    <x v="1"/>
  </r>
  <r>
    <s v="ORD-10579"/>
    <x v="266"/>
    <d v="2023-12-04T00:00:00"/>
    <x v="6"/>
    <x v="3"/>
    <x v="3"/>
    <x v="2"/>
    <x v="3"/>
    <n v="1"/>
    <n v="995.54"/>
    <n v="37.5"/>
    <n v="151"/>
    <n v="329.69"/>
    <x v="0"/>
    <n v="4"/>
    <n v="995.54"/>
    <n v="1033.04"/>
    <x v="0"/>
  </r>
  <r>
    <s v="ORD-10580"/>
    <x v="267"/>
    <d v="2023-12-03T00:00:00"/>
    <x v="15"/>
    <x v="4"/>
    <x v="4"/>
    <x v="1"/>
    <x v="1"/>
    <n v="2"/>
    <n v="141.18"/>
    <n v="12"/>
    <n v="345"/>
    <n v="121.06"/>
    <x v="0"/>
    <n v="2"/>
    <n v="282.36"/>
    <n v="294.36"/>
    <x v="0"/>
  </r>
  <r>
    <s v="ORD-10581"/>
    <x v="267"/>
    <d v="2023-12-03T00:00:00"/>
    <x v="0"/>
    <x v="0"/>
    <x v="0"/>
    <x v="2"/>
    <x v="3"/>
    <n v="6"/>
    <n v="26.2"/>
    <n v="12"/>
    <n v="27"/>
    <n v="6.58"/>
    <x v="0"/>
    <n v="2"/>
    <n v="157.19999999999999"/>
    <n v="169.2"/>
    <x v="1"/>
  </r>
  <r>
    <s v="ORD-10582"/>
    <x v="267"/>
    <d v="2023-12-03T00:00:00"/>
    <x v="6"/>
    <x v="3"/>
    <x v="3"/>
    <x v="1"/>
    <x v="0"/>
    <n v="1"/>
    <n v="359.39"/>
    <n v="25"/>
    <n v="197"/>
    <n v="113.29"/>
    <x v="0"/>
    <n v="2"/>
    <n v="359.39"/>
    <n v="384.39"/>
    <x v="0"/>
  </r>
  <r>
    <s v="ORD-10583"/>
    <x v="268"/>
    <d v="2023-12-15T00:00:00"/>
    <x v="10"/>
    <x v="0"/>
    <x v="0"/>
    <x v="2"/>
    <x v="0"/>
    <n v="11"/>
    <n v="43.5"/>
    <n v="8"/>
    <n v="353"/>
    <n v="34.28"/>
    <x v="1"/>
    <n v="13"/>
    <n v="478.5"/>
    <n v="486.5"/>
    <x v="0"/>
  </r>
  <r>
    <s v="ORD-10584"/>
    <x v="268"/>
    <d v="2023-12-05T00:00:00"/>
    <x v="15"/>
    <x v="4"/>
    <x v="4"/>
    <x v="0"/>
    <x v="1"/>
    <n v="3"/>
    <n v="62.51"/>
    <n v="12"/>
    <n v="172"/>
    <n v="78.39"/>
    <x v="0"/>
    <n v="3"/>
    <n v="187.53"/>
    <n v="199.53"/>
    <x v="0"/>
  </r>
  <r>
    <s v="ORD-10585"/>
    <x v="268"/>
    <d v="2023-12-03T00:00:00"/>
    <x v="10"/>
    <x v="0"/>
    <x v="0"/>
    <x v="0"/>
    <x v="3"/>
    <n v="14"/>
    <n v="42.58"/>
    <n v="12"/>
    <n v="32"/>
    <n v="41.69"/>
    <x v="0"/>
    <n v="1"/>
    <n v="596.12"/>
    <n v="608.12"/>
    <x v="1"/>
  </r>
  <r>
    <s v="ORD-10586"/>
    <x v="268"/>
    <d v="2023-12-04T00:00:00"/>
    <x v="6"/>
    <x v="3"/>
    <x v="3"/>
    <x v="0"/>
    <x v="1"/>
    <n v="3"/>
    <n v="627.51"/>
    <n v="25"/>
    <n v="201"/>
    <n v="646.38"/>
    <x v="0"/>
    <n v="2"/>
    <n v="1882.53"/>
    <n v="1907.53"/>
    <x v="0"/>
  </r>
  <r>
    <s v="ORD-10587"/>
    <x v="269"/>
    <d v="2023-12-16T00:00:00"/>
    <x v="15"/>
    <x v="4"/>
    <x v="4"/>
    <x v="2"/>
    <x v="0"/>
    <n v="2"/>
    <n v="44.84"/>
    <n v="12"/>
    <n v="124"/>
    <n v="34.36"/>
    <x v="1"/>
    <n v="13"/>
    <n v="89.68"/>
    <n v="101.68"/>
    <x v="0"/>
  </r>
  <r>
    <s v="ORD-10588"/>
    <x v="270"/>
    <d v="2023-12-06T00:00:00"/>
    <x v="7"/>
    <x v="1"/>
    <x v="1"/>
    <x v="1"/>
    <x v="2"/>
    <n v="4"/>
    <n v="141.77000000000001"/>
    <n v="12"/>
    <n v="182"/>
    <n v="220.82"/>
    <x v="0"/>
    <n v="2"/>
    <n v="567.08000000000004"/>
    <n v="579.08000000000004"/>
    <x v="0"/>
  </r>
  <r>
    <s v="ORD-10589"/>
    <x v="270"/>
    <d v="2023-12-06T00:00:00"/>
    <x v="1"/>
    <x v="0"/>
    <x v="0"/>
    <x v="0"/>
    <x v="0"/>
    <n v="6"/>
    <n v="43.4"/>
    <n v="8"/>
    <n v="7"/>
    <n v="16.829999999999998"/>
    <x v="0"/>
    <n v="2"/>
    <n v="260.39999999999998"/>
    <n v="268.39999999999998"/>
    <x v="2"/>
  </r>
  <r>
    <s v="ORD-10590"/>
    <x v="270"/>
    <d v="2023-12-05T00:00:00"/>
    <x v="10"/>
    <x v="0"/>
    <x v="0"/>
    <x v="0"/>
    <x v="0"/>
    <n v="12"/>
    <n v="37.22"/>
    <n v="8"/>
    <n v="255"/>
    <n v="-67"/>
    <x v="0"/>
    <n v="1"/>
    <n v="446.64"/>
    <n v="454.64"/>
    <x v="0"/>
  </r>
  <r>
    <s v="ORD-10591"/>
    <x v="270"/>
    <d v="2023-12-08T00:00:00"/>
    <x v="8"/>
    <x v="2"/>
    <x v="2"/>
    <x v="0"/>
    <x v="2"/>
    <n v="2"/>
    <n v="461.33"/>
    <n v="75"/>
    <n v="158"/>
    <n v="147.03"/>
    <x v="0"/>
    <n v="4"/>
    <n v="922.66"/>
    <n v="997.66"/>
    <x v="0"/>
  </r>
  <r>
    <s v="ORD-10592"/>
    <x v="270"/>
    <d v="2023-12-14T00:00:00"/>
    <x v="11"/>
    <x v="3"/>
    <x v="3"/>
    <x v="2"/>
    <x v="3"/>
    <n v="2"/>
    <n v="872.33"/>
    <n v="37.5"/>
    <n v="67"/>
    <n v="591.88"/>
    <x v="2"/>
    <n v="10"/>
    <n v="1744.66"/>
    <n v="1782.16"/>
    <x v="0"/>
  </r>
  <r>
    <s v="ORD-10593"/>
    <x v="271"/>
    <d v="2023-12-07T00:00:00"/>
    <x v="14"/>
    <x v="4"/>
    <x v="4"/>
    <x v="0"/>
    <x v="0"/>
    <n v="1"/>
    <n v="69.69"/>
    <n v="12"/>
    <n v="275"/>
    <n v="25.36"/>
    <x v="0"/>
    <n v="2"/>
    <n v="69.69"/>
    <n v="81.69"/>
    <x v="0"/>
  </r>
  <r>
    <s v="ORD-10594"/>
    <x v="271"/>
    <d v="2023-12-17T00:00:00"/>
    <x v="4"/>
    <x v="2"/>
    <x v="2"/>
    <x v="2"/>
    <x v="3"/>
    <n v="1"/>
    <n v="121.38"/>
    <n v="112.5"/>
    <n v="47"/>
    <n v="-31.97"/>
    <x v="1"/>
    <n v="12"/>
    <n v="121.38"/>
    <n v="233.88"/>
    <x v="1"/>
  </r>
  <r>
    <s v="ORD-10595"/>
    <x v="272"/>
    <d v="2023-12-11T00:00:00"/>
    <x v="9"/>
    <x v="2"/>
    <x v="2"/>
    <x v="2"/>
    <x v="1"/>
    <n v="1"/>
    <n v="101.88"/>
    <n v="75"/>
    <n v="171"/>
    <n v="-17.12"/>
    <x v="0"/>
    <n v="5"/>
    <n v="101.88"/>
    <n v="176.88"/>
    <x v="0"/>
  </r>
  <r>
    <s v="ORD-10596"/>
    <x v="273"/>
    <d v="2023-12-10T00:00:00"/>
    <x v="13"/>
    <x v="4"/>
    <x v="4"/>
    <x v="0"/>
    <x v="1"/>
    <n v="3"/>
    <n v="78.08"/>
    <n v="12"/>
    <n v="103"/>
    <n v="99.41"/>
    <x v="0"/>
    <n v="3"/>
    <n v="234.24"/>
    <n v="246.24"/>
    <x v="0"/>
  </r>
  <r>
    <s v="ORD-10597"/>
    <x v="273"/>
    <d v="2023-12-11T00:00:00"/>
    <x v="0"/>
    <x v="0"/>
    <x v="0"/>
    <x v="1"/>
    <x v="1"/>
    <n v="5"/>
    <n v="31.25"/>
    <n v="8"/>
    <n v="357"/>
    <n v="8.5"/>
    <x v="0"/>
    <n v="4"/>
    <n v="156.25"/>
    <n v="164.25"/>
    <x v="0"/>
  </r>
  <r>
    <s v="ORD-10598"/>
    <x v="274"/>
    <d v="2023-12-09T00:00:00"/>
    <x v="12"/>
    <x v="3"/>
    <x v="3"/>
    <x v="0"/>
    <x v="2"/>
    <n v="3"/>
    <n v="860.47"/>
    <n v="25"/>
    <n v="253"/>
    <n v="890.99"/>
    <x v="0"/>
    <n v="1"/>
    <n v="2581.41"/>
    <n v="2606.41"/>
    <x v="0"/>
  </r>
  <r>
    <s v="ORD-10599"/>
    <x v="274"/>
    <d v="2023-12-12T00:00:00"/>
    <x v="3"/>
    <x v="1"/>
    <x v="1"/>
    <x v="1"/>
    <x v="0"/>
    <n v="1"/>
    <n v="127.63"/>
    <n v="12"/>
    <n v="169"/>
    <n v="45.05"/>
    <x v="0"/>
    <n v="4"/>
    <n v="127.63"/>
    <n v="139.63"/>
    <x v="0"/>
  </r>
  <r>
    <s v="ORD-10600"/>
    <x v="274"/>
    <d v="2023-12-13T00:00:00"/>
    <x v="1"/>
    <x v="0"/>
    <x v="0"/>
    <x v="0"/>
    <x v="0"/>
    <n v="9"/>
    <n v="28.9"/>
    <n v="8"/>
    <n v="291"/>
    <n v="16.809999999999999"/>
    <x v="0"/>
    <n v="5"/>
    <n v="260.09999999999997"/>
    <n v="268.09999999999997"/>
    <x v="0"/>
  </r>
  <r>
    <s v="ORD-10601"/>
    <x v="274"/>
    <d v="2023-12-10T00:00:00"/>
    <x v="15"/>
    <x v="4"/>
    <x v="4"/>
    <x v="2"/>
    <x v="3"/>
    <n v="4"/>
    <n v="40.75"/>
    <n v="18"/>
    <n v="380"/>
    <n v="64.349999999999994"/>
    <x v="0"/>
    <n v="2"/>
    <n v="163"/>
    <n v="181"/>
    <x v="0"/>
  </r>
  <r>
    <s v="ORD-10602"/>
    <x v="275"/>
    <d v="2023-12-10T00:00:00"/>
    <x v="9"/>
    <x v="2"/>
    <x v="2"/>
    <x v="1"/>
    <x v="1"/>
    <n v="1"/>
    <n v="174.71"/>
    <n v="75"/>
    <n v="102"/>
    <n v="-2.56"/>
    <x v="0"/>
    <n v="1"/>
    <n v="174.71"/>
    <n v="249.71"/>
    <x v="0"/>
  </r>
  <r>
    <s v="ORD-10603"/>
    <x v="276"/>
    <d v="2023-12-26T00:00:00"/>
    <x v="4"/>
    <x v="2"/>
    <x v="2"/>
    <x v="2"/>
    <x v="3"/>
    <n v="2"/>
    <n v="196.5"/>
    <n v="112.5"/>
    <n v="348"/>
    <n v="22.35"/>
    <x v="1"/>
    <n v="16"/>
    <n v="393"/>
    <n v="505.5"/>
    <x v="0"/>
  </r>
  <r>
    <s v="ORD-10604"/>
    <x v="277"/>
    <d v="2023-12-12T00:00:00"/>
    <x v="11"/>
    <x v="3"/>
    <x v="3"/>
    <x v="0"/>
    <x v="0"/>
    <n v="3"/>
    <n v="441.35"/>
    <n v="25"/>
    <n v="71"/>
    <n v="450.92"/>
    <x v="0"/>
    <n v="1"/>
    <n v="1324.0500000000002"/>
    <n v="1349.0500000000002"/>
    <x v="0"/>
  </r>
  <r>
    <s v="ORD-10605"/>
    <x v="277"/>
    <d v="2023-12-15T00:00:00"/>
    <x v="7"/>
    <x v="1"/>
    <x v="1"/>
    <x v="1"/>
    <x v="2"/>
    <n v="5"/>
    <n v="123.05"/>
    <n v="12"/>
    <n v="319"/>
    <n v="240.09"/>
    <x v="0"/>
    <n v="4"/>
    <n v="615.25"/>
    <n v="627.25"/>
    <x v="0"/>
  </r>
  <r>
    <s v="ORD-10606"/>
    <x v="278"/>
    <d v="2023-12-15T00:00:00"/>
    <x v="8"/>
    <x v="2"/>
    <x v="2"/>
    <x v="2"/>
    <x v="3"/>
    <n v="2"/>
    <n v="203.76"/>
    <n v="112.5"/>
    <n v="383"/>
    <n v="25.25"/>
    <x v="0"/>
    <n v="3"/>
    <n v="407.52"/>
    <n v="520.02"/>
    <x v="0"/>
  </r>
  <r>
    <s v="ORD-10607"/>
    <x v="278"/>
    <d v="2023-12-13T00:00:00"/>
    <x v="4"/>
    <x v="2"/>
    <x v="2"/>
    <x v="0"/>
    <x v="0"/>
    <n v="2"/>
    <n v="365.45"/>
    <n v="75"/>
    <n v="30"/>
    <n v="108.68"/>
    <x v="0"/>
    <n v="1"/>
    <n v="730.9"/>
    <n v="805.9"/>
    <x v="1"/>
  </r>
  <r>
    <s v="ORD-10608"/>
    <x v="278"/>
    <d v="2023-12-13T00:00:00"/>
    <x v="6"/>
    <x v="3"/>
    <x v="3"/>
    <x v="0"/>
    <x v="2"/>
    <n v="1"/>
    <n v="929.52"/>
    <n v="25"/>
    <n v="228"/>
    <n v="312.83"/>
    <x v="0"/>
    <n v="1"/>
    <n v="929.52"/>
    <n v="954.52"/>
    <x v="0"/>
  </r>
  <r>
    <s v="ORD-10609"/>
    <x v="279"/>
    <d v="2023-12-14T00:00:00"/>
    <x v="7"/>
    <x v="1"/>
    <x v="1"/>
    <x v="0"/>
    <x v="2"/>
    <n v="1"/>
    <n v="80.81"/>
    <n v="12"/>
    <n v="163"/>
    <n v="26.32"/>
    <x v="0"/>
    <n v="1"/>
    <n v="80.81"/>
    <n v="92.81"/>
    <x v="0"/>
  </r>
  <r>
    <s v="ORD-10610"/>
    <x v="280"/>
    <d v="2023-12-27T00:00:00"/>
    <x v="3"/>
    <x v="1"/>
    <x v="1"/>
    <x v="2"/>
    <x v="1"/>
    <n v="2"/>
    <n v="79.819999999999993"/>
    <n v="12"/>
    <n v="289"/>
    <n v="57.85"/>
    <x v="1"/>
    <n v="13"/>
    <n v="159.63999999999999"/>
    <n v="171.64"/>
    <x v="0"/>
  </r>
  <r>
    <s v="ORD-10611"/>
    <x v="280"/>
    <d v="2023-12-18T00:00:00"/>
    <x v="4"/>
    <x v="2"/>
    <x v="2"/>
    <x v="2"/>
    <x v="0"/>
    <n v="1"/>
    <n v="469.8"/>
    <n v="75"/>
    <n v="42"/>
    <n v="56.46"/>
    <x v="0"/>
    <n v="4"/>
    <n v="469.8"/>
    <n v="544.79999999999995"/>
    <x v="1"/>
  </r>
  <r>
    <s v="ORD-10612"/>
    <x v="281"/>
    <d v="2023-12-19T00:00:00"/>
    <x v="11"/>
    <x v="3"/>
    <x v="3"/>
    <x v="1"/>
    <x v="2"/>
    <n v="2"/>
    <n v="1074.42"/>
    <n v="25"/>
    <n v="234"/>
    <n v="739.59"/>
    <x v="0"/>
    <n v="4"/>
    <n v="2148.84"/>
    <n v="2173.84"/>
    <x v="0"/>
  </r>
  <r>
    <s v="ORD-10613"/>
    <x v="281"/>
    <d v="2023-12-16T00:00:00"/>
    <x v="2"/>
    <x v="1"/>
    <x v="1"/>
    <x v="1"/>
    <x v="0"/>
    <n v="3"/>
    <n v="105.02"/>
    <n v="12"/>
    <n v="285"/>
    <n v="120.02"/>
    <x v="0"/>
    <n v="1"/>
    <n v="315.06"/>
    <n v="327.06"/>
    <x v="0"/>
  </r>
  <r>
    <s v="ORD-10614"/>
    <x v="282"/>
    <d v="2023-12-21T00:00:00"/>
    <x v="14"/>
    <x v="4"/>
    <x v="4"/>
    <x v="0"/>
    <x v="0"/>
    <n v="2"/>
    <n v="25.61"/>
    <n v="12"/>
    <n v="273"/>
    <n v="17.05"/>
    <x v="0"/>
    <n v="5"/>
    <n v="51.22"/>
    <n v="63.22"/>
    <x v="0"/>
  </r>
  <r>
    <s v="ORD-10615"/>
    <x v="282"/>
    <d v="2023-12-20T00:00:00"/>
    <x v="11"/>
    <x v="3"/>
    <x v="3"/>
    <x v="0"/>
    <x v="3"/>
    <n v="2"/>
    <n v="521.54"/>
    <n v="37.5"/>
    <n v="349"/>
    <n v="346.33"/>
    <x v="0"/>
    <n v="4"/>
    <n v="1043.08"/>
    <n v="1080.58"/>
    <x v="0"/>
  </r>
  <r>
    <s v="ORD-10616"/>
    <x v="282"/>
    <d v="2023-12-21T00:00:00"/>
    <x v="8"/>
    <x v="2"/>
    <x v="2"/>
    <x v="0"/>
    <x v="0"/>
    <n v="1"/>
    <n v="311.22000000000003"/>
    <n v="75"/>
    <n v="177"/>
    <n v="24.74"/>
    <x v="0"/>
    <n v="5"/>
    <n v="311.22000000000003"/>
    <n v="386.22"/>
    <x v="0"/>
  </r>
  <r>
    <s v="ORD-10617"/>
    <x v="282"/>
    <d v="2023-12-18T00:00:00"/>
    <x v="14"/>
    <x v="4"/>
    <x v="4"/>
    <x v="1"/>
    <x v="0"/>
    <n v="4"/>
    <n v="87.23"/>
    <n v="12"/>
    <n v="250"/>
    <n v="151"/>
    <x v="0"/>
    <n v="2"/>
    <n v="348.92"/>
    <n v="360.92"/>
    <x v="0"/>
  </r>
  <r>
    <s v="ORD-10618"/>
    <x v="283"/>
    <d v="2023-12-18T00:00:00"/>
    <x v="1"/>
    <x v="0"/>
    <x v="0"/>
    <x v="2"/>
    <x v="3"/>
    <n v="14"/>
    <n v="45.18"/>
    <n v="12"/>
    <n v="297"/>
    <n v="44.6"/>
    <x v="0"/>
    <n v="1"/>
    <n v="632.52"/>
    <n v="644.52"/>
    <x v="0"/>
  </r>
  <r>
    <s v="ORD-10619"/>
    <x v="284"/>
    <d v="2023-12-21T00:00:00"/>
    <x v="5"/>
    <x v="3"/>
    <x v="3"/>
    <x v="2"/>
    <x v="1"/>
    <n v="2"/>
    <n v="754.13"/>
    <n v="25"/>
    <n v="307"/>
    <n v="515.39"/>
    <x v="0"/>
    <n v="2"/>
    <n v="1508.26"/>
    <n v="1533.26"/>
    <x v="0"/>
  </r>
  <r>
    <s v="ORD-10620"/>
    <x v="284"/>
    <d v="2023-12-23T00:00:00"/>
    <x v="12"/>
    <x v="3"/>
    <x v="3"/>
    <x v="0"/>
    <x v="2"/>
    <n v="3"/>
    <n v="974.25"/>
    <n v="25"/>
    <n v="339"/>
    <n v="1010.46"/>
    <x v="0"/>
    <n v="4"/>
    <n v="2922.75"/>
    <n v="2947.75"/>
    <x v="0"/>
  </r>
  <r>
    <s v="ORD-10621"/>
    <x v="284"/>
    <d v="2023-12-23T00:00:00"/>
    <x v="11"/>
    <x v="3"/>
    <x v="3"/>
    <x v="1"/>
    <x v="1"/>
    <n v="2"/>
    <n v="1091.2"/>
    <n v="25"/>
    <n v="372"/>
    <n v="751.34"/>
    <x v="0"/>
    <n v="4"/>
    <n v="2182.4"/>
    <n v="2207.4"/>
    <x v="0"/>
  </r>
  <r>
    <s v="ORD-10622"/>
    <x v="285"/>
    <d v="2023-12-21T00:00:00"/>
    <x v="1"/>
    <x v="0"/>
    <x v="0"/>
    <x v="2"/>
    <x v="3"/>
    <n v="7"/>
    <n v="20.81"/>
    <n v="12"/>
    <n v="263"/>
    <n v="5.66"/>
    <x v="0"/>
    <n v="1"/>
    <n v="145.66999999999999"/>
    <n v="157.66999999999999"/>
    <x v="0"/>
  </r>
  <r>
    <s v="ORD-10623"/>
    <x v="286"/>
    <d v="2023-12-24T00:00:00"/>
    <x v="10"/>
    <x v="0"/>
    <x v="0"/>
    <x v="0"/>
    <x v="0"/>
    <n v="9"/>
    <n v="27.54"/>
    <n v="8"/>
    <n v="367"/>
    <n v="15.83"/>
    <x v="0"/>
    <n v="2"/>
    <n v="247.85999999999999"/>
    <n v="255.85999999999999"/>
    <x v="0"/>
  </r>
  <r>
    <s v="ORD-10624"/>
    <x v="286"/>
    <d v="2023-12-27T00:00:00"/>
    <x v="6"/>
    <x v="3"/>
    <x v="3"/>
    <x v="1"/>
    <x v="0"/>
    <n v="2"/>
    <n v="1007.74"/>
    <n v="25"/>
    <n v="45"/>
    <n v="692.92"/>
    <x v="0"/>
    <n v="5"/>
    <n v="2015.48"/>
    <n v="2040.48"/>
    <x v="1"/>
  </r>
  <r>
    <s v="ORD-10625"/>
    <x v="286"/>
    <d v="2023-12-27T00:00:00"/>
    <x v="14"/>
    <x v="4"/>
    <x v="4"/>
    <x v="2"/>
    <x v="1"/>
    <n v="4"/>
    <n v="50.37"/>
    <n v="12"/>
    <n v="142"/>
    <n v="84.67"/>
    <x v="0"/>
    <n v="5"/>
    <n v="201.48"/>
    <n v="213.48"/>
    <x v="0"/>
  </r>
  <r>
    <s v="ORD-10626"/>
    <x v="287"/>
    <d v="2023-12-24T00:00:00"/>
    <x v="2"/>
    <x v="1"/>
    <x v="1"/>
    <x v="2"/>
    <x v="0"/>
    <n v="2"/>
    <n v="38.840000000000003"/>
    <n v="12"/>
    <n v="46"/>
    <n v="25.07"/>
    <x v="0"/>
    <n v="1"/>
    <n v="77.680000000000007"/>
    <n v="89.68"/>
    <x v="1"/>
  </r>
  <r>
    <s v="ORD-10627"/>
    <x v="288"/>
    <d v="2023-12-27T00:00:00"/>
    <x v="10"/>
    <x v="0"/>
    <x v="0"/>
    <x v="1"/>
    <x v="2"/>
    <n v="9"/>
    <n v="20.52"/>
    <n v="8"/>
    <n v="133"/>
    <n v="10.78"/>
    <x v="0"/>
    <n v="3"/>
    <n v="184.68"/>
    <n v="192.68"/>
    <x v="0"/>
  </r>
  <r>
    <s v="ORD-10628"/>
    <x v="289"/>
    <d v="2024-01-11T00:00:00"/>
    <x v="8"/>
    <x v="2"/>
    <x v="2"/>
    <x v="2"/>
    <x v="3"/>
    <n v="1"/>
    <n v="466.03"/>
    <n v="112.5"/>
    <n v="394"/>
    <n v="36.96"/>
    <x v="1"/>
    <n v="16"/>
    <n v="466.03"/>
    <n v="578.53"/>
    <x v="0"/>
  </r>
  <r>
    <s v="ORD-10629"/>
    <x v="289"/>
    <d v="2023-12-31T00:00:00"/>
    <x v="14"/>
    <x v="4"/>
    <x v="4"/>
    <x v="1"/>
    <x v="2"/>
    <n v="1"/>
    <n v="86.18"/>
    <n v="12"/>
    <n v="222"/>
    <n v="32.78"/>
    <x v="0"/>
    <n v="5"/>
    <n v="86.18"/>
    <n v="98.18"/>
    <x v="0"/>
  </r>
  <r>
    <s v="ORD-10630"/>
    <x v="289"/>
    <d v="2023-12-28T00:00:00"/>
    <x v="10"/>
    <x v="0"/>
    <x v="0"/>
    <x v="1"/>
    <x v="2"/>
    <n v="14"/>
    <n v="47.84"/>
    <n v="8"/>
    <n v="92"/>
    <n v="49.58"/>
    <x v="0"/>
    <n v="2"/>
    <n v="669.76"/>
    <n v="677.76"/>
    <x v="0"/>
  </r>
  <r>
    <s v="ORD-10631"/>
    <x v="290"/>
    <d v="2023-12-28T00:00:00"/>
    <x v="6"/>
    <x v="3"/>
    <x v="3"/>
    <x v="2"/>
    <x v="2"/>
    <n v="1"/>
    <n v="209.31"/>
    <n v="25"/>
    <n v="29"/>
    <n v="60.76"/>
    <x v="0"/>
    <n v="1"/>
    <n v="209.31"/>
    <n v="234.31"/>
    <x v="1"/>
  </r>
  <r>
    <s v="ORD-10632"/>
    <x v="290"/>
    <d v="2023-12-31T00:00:00"/>
    <x v="8"/>
    <x v="2"/>
    <x v="2"/>
    <x v="2"/>
    <x v="3"/>
    <n v="1"/>
    <n v="364.76"/>
    <n v="112.5"/>
    <n v="225"/>
    <n v="16.7"/>
    <x v="0"/>
    <n v="4"/>
    <n v="364.76"/>
    <n v="477.26"/>
    <x v="0"/>
  </r>
  <r>
    <s v="ORD-10633"/>
    <x v="291"/>
    <d v="2023-12-30T00:00:00"/>
    <x v="4"/>
    <x v="2"/>
    <x v="2"/>
    <x v="2"/>
    <x v="3"/>
    <n v="1"/>
    <n v="314.14999999999998"/>
    <n v="112.5"/>
    <n v="176"/>
    <n v="6.58"/>
    <x v="0"/>
    <n v="1"/>
    <n v="314.14999999999998"/>
    <n v="426.65"/>
    <x v="0"/>
  </r>
  <r>
    <s v="ORD-10634"/>
    <x v="291"/>
    <d v="2024-01-03T00:00:00"/>
    <x v="4"/>
    <x v="2"/>
    <x v="2"/>
    <x v="2"/>
    <x v="2"/>
    <n v="2"/>
    <n v="320.94"/>
    <n v="75"/>
    <n v="237"/>
    <n v="90.87"/>
    <x v="0"/>
    <n v="5"/>
    <n v="641.88"/>
    <n v="716.88"/>
    <x v="0"/>
  </r>
  <r>
    <s v="ORD-10635"/>
    <x v="291"/>
    <d v="2024-01-14T00:00:00"/>
    <x v="9"/>
    <x v="2"/>
    <x v="2"/>
    <x v="2"/>
    <x v="3"/>
    <n v="1"/>
    <n v="230.71"/>
    <n v="112.5"/>
    <n v="194"/>
    <n v="-10.11"/>
    <x v="1"/>
    <n v="16"/>
    <n v="230.71"/>
    <n v="343.21000000000004"/>
    <x v="0"/>
  </r>
  <r>
    <s v="ORD-10636"/>
    <x v="291"/>
    <d v="2024-01-03T00:00:00"/>
    <x v="4"/>
    <x v="2"/>
    <x v="2"/>
    <x v="2"/>
    <x v="2"/>
    <n v="2"/>
    <n v="111.89"/>
    <n v="75"/>
    <n v="79"/>
    <n v="7.26"/>
    <x v="0"/>
    <n v="5"/>
    <n v="223.78"/>
    <n v="298.77999999999997"/>
    <x v="0"/>
  </r>
  <r>
    <s v="ORD-10637"/>
    <x v="292"/>
    <d v="2023-12-31T00:00:00"/>
    <x v="0"/>
    <x v="0"/>
    <x v="0"/>
    <x v="2"/>
    <x v="1"/>
    <n v="5"/>
    <n v="15.62"/>
    <n v="8"/>
    <n v="76"/>
    <n v="2.25"/>
    <x v="0"/>
    <n v="1"/>
    <n v="78.099999999999994"/>
    <n v="86.1"/>
    <x v="0"/>
  </r>
  <r>
    <s v="ORD-10638"/>
    <x v="292"/>
    <d v="2024-01-02T00:00:00"/>
    <x v="15"/>
    <x v="4"/>
    <x v="4"/>
    <x v="0"/>
    <x v="1"/>
    <n v="1"/>
    <n v="33.799999999999997"/>
    <n v="12"/>
    <n v="253"/>
    <n v="9.2100000000000009"/>
    <x v="0"/>
    <n v="3"/>
    <n v="33.799999999999997"/>
    <n v="45.8"/>
    <x v="0"/>
  </r>
  <r>
    <s v="ORD-10639"/>
    <x v="292"/>
    <d v="2023-12-31T00:00:00"/>
    <x v="5"/>
    <x v="3"/>
    <x v="3"/>
    <x v="0"/>
    <x v="0"/>
    <n v="1"/>
    <n v="839.39"/>
    <n v="25"/>
    <n v="80"/>
    <n v="281.29000000000002"/>
    <x v="0"/>
    <n v="1"/>
    <n v="839.39"/>
    <n v="864.39"/>
    <x v="0"/>
  </r>
  <r>
    <s v="ORD-10640"/>
    <x v="293"/>
    <d v="2024-01-13T00:00:00"/>
    <x v="10"/>
    <x v="0"/>
    <x v="0"/>
    <x v="2"/>
    <x v="3"/>
    <n v="8"/>
    <n v="21.9"/>
    <n v="12"/>
    <n v="9"/>
    <n v="8.02"/>
    <x v="1"/>
    <n v="13"/>
    <n v="175.2"/>
    <n v="187.2"/>
    <x v="2"/>
  </r>
  <r>
    <s v="ORD-10641"/>
    <x v="293"/>
    <d v="2024-01-04T00:00:00"/>
    <x v="11"/>
    <x v="3"/>
    <x v="3"/>
    <x v="2"/>
    <x v="1"/>
    <n v="1"/>
    <n v="854.91"/>
    <n v="25"/>
    <n v="220"/>
    <n v="286.72000000000003"/>
    <x v="0"/>
    <n v="4"/>
    <n v="854.91"/>
    <n v="879.91"/>
    <x v="0"/>
  </r>
  <r>
    <s v="ORD-10642"/>
    <x v="293"/>
    <d v="2024-01-15T00:00:00"/>
    <x v="7"/>
    <x v="1"/>
    <x v="1"/>
    <x v="2"/>
    <x v="1"/>
    <n v="2"/>
    <n v="45.19"/>
    <n v="12"/>
    <n v="50"/>
    <n v="30.16"/>
    <x v="1"/>
    <n v="15"/>
    <n v="90.38"/>
    <n v="102.38"/>
    <x v="1"/>
  </r>
  <r>
    <s v="ORD-10643"/>
    <x v="294"/>
    <d v="2024-01-02T00:00:00"/>
    <x v="12"/>
    <x v="3"/>
    <x v="3"/>
    <x v="2"/>
    <x v="3"/>
    <n v="3"/>
    <n v="434.06"/>
    <n v="37.5"/>
    <n v="327"/>
    <n v="437.01"/>
    <x v="0"/>
    <n v="1"/>
    <n v="1302.18"/>
    <n v="1339.68"/>
    <x v="0"/>
  </r>
  <r>
    <s v="ORD-10644"/>
    <x v="295"/>
    <d v="2024-01-04T00:00:00"/>
    <x v="13"/>
    <x v="4"/>
    <x v="4"/>
    <x v="2"/>
    <x v="0"/>
    <n v="5"/>
    <n v="83.61"/>
    <n v="12"/>
    <n v="246"/>
    <n v="182.13"/>
    <x v="0"/>
    <n v="1"/>
    <n v="418.05"/>
    <n v="430.05"/>
    <x v="0"/>
  </r>
  <r>
    <s v="ORD-10645"/>
    <x v="296"/>
    <d v="2024-01-09T00:00:00"/>
    <x v="0"/>
    <x v="0"/>
    <x v="0"/>
    <x v="1"/>
    <x v="1"/>
    <n v="7"/>
    <n v="35.83"/>
    <n v="8"/>
    <n v="396"/>
    <n v="16.059999999999999"/>
    <x v="0"/>
    <n v="4"/>
    <n v="250.81"/>
    <n v="258.81"/>
    <x v="0"/>
  </r>
  <r>
    <s v="ORD-10646"/>
    <x v="296"/>
    <d v="2024-01-06T00:00:00"/>
    <x v="10"/>
    <x v="0"/>
    <x v="0"/>
    <x v="2"/>
    <x v="3"/>
    <n v="12"/>
    <n v="45.01"/>
    <n v="12"/>
    <n v="341"/>
    <n v="37.21"/>
    <x v="0"/>
    <n v="1"/>
    <n v="540.12"/>
    <n v="552.12"/>
    <x v="0"/>
  </r>
  <r>
    <s v="ORD-10647"/>
    <x v="297"/>
    <d v="2024-01-09T00:00:00"/>
    <x v="12"/>
    <x v="3"/>
    <x v="3"/>
    <x v="1"/>
    <x v="2"/>
    <n v="3"/>
    <n v="305.7"/>
    <n v="25"/>
    <n v="383"/>
    <n v="308.49"/>
    <x v="0"/>
    <n v="3"/>
    <n v="917.09999999999991"/>
    <n v="942.09999999999991"/>
    <x v="0"/>
  </r>
  <r>
    <s v="ORD-10648"/>
    <x v="298"/>
    <d v="2024-01-09T00:00:00"/>
    <x v="7"/>
    <x v="1"/>
    <x v="1"/>
    <x v="2"/>
    <x v="3"/>
    <n v="5"/>
    <n v="67.16"/>
    <n v="18"/>
    <n v="73"/>
    <n v="125.32"/>
    <x v="0"/>
    <n v="2"/>
    <n v="335.79999999999995"/>
    <n v="353.79999999999995"/>
    <x v="0"/>
  </r>
  <r>
    <s v="ORD-10649"/>
    <x v="299"/>
    <d v="2024-01-13T00:00:00"/>
    <x v="2"/>
    <x v="1"/>
    <x v="1"/>
    <x v="1"/>
    <x v="1"/>
    <n v="3"/>
    <n v="136.33000000000001"/>
    <n v="12"/>
    <n v="306"/>
    <n v="157.6"/>
    <x v="0"/>
    <n v="5"/>
    <n v="408.99"/>
    <n v="420.99"/>
    <x v="0"/>
  </r>
  <r>
    <s v="ORD-10650"/>
    <x v="299"/>
    <d v="2024-01-16T00:00:00"/>
    <x v="11"/>
    <x v="3"/>
    <x v="3"/>
    <x v="2"/>
    <x v="1"/>
    <n v="3"/>
    <n v="938.93"/>
    <n v="25"/>
    <n v="153"/>
    <n v="973.37"/>
    <x v="2"/>
    <n v="8"/>
    <n v="2816.79"/>
    <n v="2841.79"/>
    <x v="0"/>
  </r>
  <r>
    <s v="ORD-10651"/>
    <x v="300"/>
    <d v="2024-01-10T00:00:00"/>
    <x v="1"/>
    <x v="0"/>
    <x v="0"/>
    <x v="2"/>
    <x v="3"/>
    <n v="8"/>
    <n v="24.54"/>
    <n v="12"/>
    <n v="235"/>
    <n v="9.7100000000000009"/>
    <x v="0"/>
    <n v="1"/>
    <n v="196.32"/>
    <n v="208.32"/>
    <x v="0"/>
  </r>
  <r>
    <s v="ORD-10652"/>
    <x v="300"/>
    <d v="2024-01-14T00:00:00"/>
    <x v="2"/>
    <x v="1"/>
    <x v="1"/>
    <x v="0"/>
    <x v="0"/>
    <n v="4"/>
    <n v="59.63"/>
    <n v="12"/>
    <n v="86"/>
    <n v="89.41"/>
    <x v="0"/>
    <n v="5"/>
    <n v="238.52"/>
    <n v="250.52"/>
    <x v="0"/>
  </r>
  <r>
    <s v="ORD-10653"/>
    <x v="300"/>
    <d v="2024-01-12T00:00:00"/>
    <x v="6"/>
    <x v="3"/>
    <x v="3"/>
    <x v="2"/>
    <x v="3"/>
    <n v="2"/>
    <n v="890.08"/>
    <n v="37.5"/>
    <n v="135"/>
    <n v="604.29999999999995"/>
    <x v="0"/>
    <n v="3"/>
    <n v="1780.16"/>
    <n v="1817.66"/>
    <x v="0"/>
  </r>
  <r>
    <s v="ORD-10654"/>
    <x v="301"/>
    <d v="2024-01-15T00:00:00"/>
    <x v="7"/>
    <x v="1"/>
    <x v="1"/>
    <x v="2"/>
    <x v="1"/>
    <n v="2"/>
    <n v="135.41999999999999"/>
    <n v="12"/>
    <n v="339"/>
    <n v="102.34"/>
    <x v="0"/>
    <n v="5"/>
    <n v="270.83999999999997"/>
    <n v="282.83999999999997"/>
    <x v="0"/>
  </r>
  <r>
    <s v="ORD-10655"/>
    <x v="301"/>
    <d v="2024-01-12T00:00:00"/>
    <x v="0"/>
    <x v="0"/>
    <x v="0"/>
    <x v="1"/>
    <x v="2"/>
    <n v="13"/>
    <n v="44.43"/>
    <n v="8"/>
    <n v="9"/>
    <n v="42.21"/>
    <x v="0"/>
    <n v="2"/>
    <n v="577.59"/>
    <n v="585.59"/>
    <x v="2"/>
  </r>
  <r>
    <s v="ORD-10656"/>
    <x v="302"/>
    <d v="2024-01-15T00:00:00"/>
    <x v="5"/>
    <x v="3"/>
    <x v="3"/>
    <x v="2"/>
    <x v="3"/>
    <n v="3"/>
    <n v="972.09"/>
    <n v="37.5"/>
    <n v="170"/>
    <n v="1001.94"/>
    <x v="0"/>
    <n v="4"/>
    <n v="2916.27"/>
    <n v="2953.77"/>
    <x v="0"/>
  </r>
  <r>
    <s v="ORD-10657"/>
    <x v="302"/>
    <d v="2024-01-15T00:00:00"/>
    <x v="5"/>
    <x v="3"/>
    <x v="3"/>
    <x v="0"/>
    <x v="0"/>
    <n v="3"/>
    <n v="467.87"/>
    <n v="25"/>
    <n v="266"/>
    <n v="478.77"/>
    <x v="0"/>
    <n v="4"/>
    <n v="1403.6100000000001"/>
    <n v="1428.6100000000001"/>
    <x v="0"/>
  </r>
  <r>
    <s v="ORD-10658"/>
    <x v="303"/>
    <d v="2024-01-24T00:00:00"/>
    <x v="13"/>
    <x v="4"/>
    <x v="4"/>
    <x v="2"/>
    <x v="2"/>
    <n v="1"/>
    <n v="149.52000000000001"/>
    <n v="12"/>
    <n v="161"/>
    <n v="61.28"/>
    <x v="1"/>
    <n v="12"/>
    <n v="149.52000000000001"/>
    <n v="161.52000000000001"/>
    <x v="0"/>
  </r>
  <r>
    <s v="ORD-10659"/>
    <x v="304"/>
    <d v="2024-01-14T00:00:00"/>
    <x v="10"/>
    <x v="0"/>
    <x v="0"/>
    <x v="2"/>
    <x v="1"/>
    <n v="9"/>
    <n v="23.37"/>
    <n v="8"/>
    <n v="131"/>
    <n v="-31.54"/>
    <x v="0"/>
    <n v="1"/>
    <n v="210.33"/>
    <n v="218.33"/>
    <x v="0"/>
  </r>
  <r>
    <s v="ORD-10660"/>
    <x v="304"/>
    <d v="2024-01-18T00:00:00"/>
    <x v="10"/>
    <x v="0"/>
    <x v="0"/>
    <x v="0"/>
    <x v="3"/>
    <n v="8"/>
    <n v="13.8"/>
    <n v="12"/>
    <n v="106"/>
    <n v="2.83"/>
    <x v="0"/>
    <n v="5"/>
    <n v="110.4"/>
    <n v="122.4"/>
    <x v="0"/>
  </r>
  <r>
    <s v="ORD-10661"/>
    <x v="304"/>
    <d v="2024-01-18T00:00:00"/>
    <x v="2"/>
    <x v="1"/>
    <x v="1"/>
    <x v="0"/>
    <x v="1"/>
    <n v="5"/>
    <n v="144.52000000000001"/>
    <n v="12"/>
    <n v="210"/>
    <n v="283.04000000000002"/>
    <x v="0"/>
    <n v="5"/>
    <n v="722.6"/>
    <n v="734.6"/>
    <x v="0"/>
  </r>
  <r>
    <s v="ORD-10662"/>
    <x v="305"/>
    <d v="2024-01-18T00:00:00"/>
    <x v="9"/>
    <x v="2"/>
    <x v="2"/>
    <x v="2"/>
    <x v="1"/>
    <n v="1"/>
    <n v="129.03"/>
    <n v="75"/>
    <n v="144"/>
    <n v="-11.69"/>
    <x v="0"/>
    <n v="4"/>
    <n v="129.03"/>
    <n v="204.03"/>
    <x v="0"/>
  </r>
  <r>
    <s v="ORD-10663"/>
    <x v="306"/>
    <d v="2024-01-26T00:00:00"/>
    <x v="15"/>
    <x v="4"/>
    <x v="4"/>
    <x v="2"/>
    <x v="3"/>
    <n v="4"/>
    <n v="143.03"/>
    <n v="18"/>
    <n v="180"/>
    <n v="248.45"/>
    <x v="1"/>
    <n v="11"/>
    <n v="572.12"/>
    <n v="590.12"/>
    <x v="0"/>
  </r>
  <r>
    <s v="ORD-10664"/>
    <x v="306"/>
    <d v="2024-01-17T00:00:00"/>
    <x v="7"/>
    <x v="1"/>
    <x v="1"/>
    <x v="2"/>
    <x v="2"/>
    <n v="4"/>
    <n v="83.48"/>
    <n v="12"/>
    <n v="340"/>
    <n v="127.57"/>
    <x v="0"/>
    <n v="2"/>
    <n v="333.92"/>
    <n v="345.92"/>
    <x v="0"/>
  </r>
  <r>
    <s v="ORD-10665"/>
    <x v="307"/>
    <d v="2024-01-31T00:00:00"/>
    <x v="4"/>
    <x v="2"/>
    <x v="2"/>
    <x v="2"/>
    <x v="1"/>
    <n v="2"/>
    <n v="483.64"/>
    <n v="75"/>
    <n v="245"/>
    <n v="155.96"/>
    <x v="1"/>
    <n v="15"/>
    <n v="967.28"/>
    <n v="1042.28"/>
    <x v="0"/>
  </r>
  <r>
    <s v="ORD-10666"/>
    <x v="307"/>
    <d v="2024-01-20T00:00:00"/>
    <x v="10"/>
    <x v="0"/>
    <x v="0"/>
    <x v="2"/>
    <x v="3"/>
    <n v="10"/>
    <n v="43.44"/>
    <n v="12"/>
    <n v="104"/>
    <n v="28.75"/>
    <x v="0"/>
    <n v="4"/>
    <n v="434.4"/>
    <n v="446.4"/>
    <x v="0"/>
  </r>
  <r>
    <s v="ORD-10667"/>
    <x v="307"/>
    <d v="2024-01-20T00:00:00"/>
    <x v="10"/>
    <x v="0"/>
    <x v="0"/>
    <x v="0"/>
    <x v="3"/>
    <n v="14"/>
    <n v="33.64"/>
    <n v="12"/>
    <n v="36"/>
    <n v="31.67"/>
    <x v="0"/>
    <n v="4"/>
    <n v="470.96000000000004"/>
    <n v="482.96000000000004"/>
    <x v="1"/>
  </r>
  <r>
    <s v="ORD-10668"/>
    <x v="307"/>
    <d v="2024-01-17T00:00:00"/>
    <x v="6"/>
    <x v="3"/>
    <x v="3"/>
    <x v="1"/>
    <x v="2"/>
    <n v="2"/>
    <n v="1145.67"/>
    <n v="25"/>
    <n v="283"/>
    <n v="789.47"/>
    <x v="0"/>
    <n v="1"/>
    <n v="2291.34"/>
    <n v="2316.34"/>
    <x v="0"/>
  </r>
  <r>
    <s v="ORD-10669"/>
    <x v="308"/>
    <d v="2024-01-20T00:00:00"/>
    <x v="10"/>
    <x v="0"/>
    <x v="0"/>
    <x v="0"/>
    <x v="0"/>
    <n v="10"/>
    <n v="30.32"/>
    <n v="8"/>
    <n v="129"/>
    <n v="20.25"/>
    <x v="0"/>
    <n v="3"/>
    <n v="303.2"/>
    <n v="311.2"/>
    <x v="0"/>
  </r>
  <r>
    <s v="ORD-10670"/>
    <x v="309"/>
    <d v="2024-01-28T00:00:00"/>
    <x v="0"/>
    <x v="0"/>
    <x v="0"/>
    <x v="2"/>
    <x v="3"/>
    <n v="12"/>
    <n v="45.76"/>
    <n v="12"/>
    <n v="207"/>
    <n v="37.93"/>
    <x v="2"/>
    <n v="10"/>
    <n v="549.12"/>
    <n v="561.12"/>
    <x v="0"/>
  </r>
  <r>
    <s v="ORD-10671"/>
    <x v="310"/>
    <d v="2024-01-20T00:00:00"/>
    <x v="10"/>
    <x v="0"/>
    <x v="0"/>
    <x v="2"/>
    <x v="1"/>
    <n v="8"/>
    <n v="47.3"/>
    <n v="8"/>
    <n v="297"/>
    <n v="26.27"/>
    <x v="0"/>
    <n v="1"/>
    <n v="378.4"/>
    <n v="386.4"/>
    <x v="0"/>
  </r>
  <r>
    <s v="ORD-10672"/>
    <x v="311"/>
    <d v="2024-01-25T00:00:00"/>
    <x v="1"/>
    <x v="0"/>
    <x v="0"/>
    <x v="0"/>
    <x v="0"/>
    <n v="5"/>
    <n v="42.99"/>
    <n v="8"/>
    <n v="6"/>
    <n v="13.19"/>
    <x v="0"/>
    <n v="5"/>
    <n v="214.95000000000002"/>
    <n v="222.95000000000002"/>
    <x v="2"/>
  </r>
  <r>
    <s v="ORD-10673"/>
    <x v="311"/>
    <d v="2024-01-31T00:00:00"/>
    <x v="0"/>
    <x v="0"/>
    <x v="0"/>
    <x v="2"/>
    <x v="2"/>
    <n v="12"/>
    <n v="49.61"/>
    <n v="8"/>
    <n v="344"/>
    <n v="-89.3"/>
    <x v="1"/>
    <n v="11"/>
    <n v="595.31999999999994"/>
    <n v="603.31999999999994"/>
    <x v="0"/>
  </r>
  <r>
    <s v="ORD-10674"/>
    <x v="312"/>
    <d v="2024-01-22T00:00:00"/>
    <x v="9"/>
    <x v="2"/>
    <x v="2"/>
    <x v="0"/>
    <x v="2"/>
    <n v="1"/>
    <n v="439.06"/>
    <n v="75"/>
    <n v="57"/>
    <n v="50.31"/>
    <x v="0"/>
    <n v="1"/>
    <n v="439.06"/>
    <n v="514.05999999999995"/>
    <x v="0"/>
  </r>
  <r>
    <s v="ORD-10675"/>
    <x v="312"/>
    <d v="2024-01-28T00:00:00"/>
    <x v="12"/>
    <x v="3"/>
    <x v="3"/>
    <x v="2"/>
    <x v="3"/>
    <n v="2"/>
    <n v="1040.5999999999999"/>
    <n v="37.5"/>
    <n v="327"/>
    <n v="709.67"/>
    <x v="2"/>
    <n v="7"/>
    <n v="2081.1999999999998"/>
    <n v="2118.6999999999998"/>
    <x v="0"/>
  </r>
  <r>
    <s v="ORD-10676"/>
    <x v="312"/>
    <d v="2024-01-23T00:00:00"/>
    <x v="14"/>
    <x v="4"/>
    <x v="4"/>
    <x v="0"/>
    <x v="2"/>
    <n v="3"/>
    <n v="31.99"/>
    <n v="12"/>
    <n v="396"/>
    <n v="37.19"/>
    <x v="0"/>
    <n v="2"/>
    <n v="95.97"/>
    <n v="107.97"/>
    <x v="0"/>
  </r>
  <r>
    <s v="ORD-10677"/>
    <x v="312"/>
    <d v="2024-01-23T00:00:00"/>
    <x v="9"/>
    <x v="2"/>
    <x v="2"/>
    <x v="2"/>
    <x v="3"/>
    <n v="2"/>
    <n v="400.27"/>
    <n v="112.5"/>
    <n v="75"/>
    <n v="103.86"/>
    <x v="0"/>
    <n v="2"/>
    <n v="800.54"/>
    <n v="913.04"/>
    <x v="0"/>
  </r>
  <r>
    <s v="ORD-10678"/>
    <x v="313"/>
    <d v="2024-01-23T00:00:00"/>
    <x v="1"/>
    <x v="0"/>
    <x v="0"/>
    <x v="1"/>
    <x v="2"/>
    <n v="11"/>
    <n v="14.18"/>
    <n v="8"/>
    <n v="352"/>
    <n v="8.48"/>
    <x v="0"/>
    <n v="1"/>
    <n v="155.97999999999999"/>
    <n v="163.98"/>
    <x v="0"/>
  </r>
  <r>
    <s v="ORD-10679"/>
    <x v="313"/>
    <d v="2024-02-03T00:00:00"/>
    <x v="2"/>
    <x v="1"/>
    <x v="1"/>
    <x v="2"/>
    <x v="3"/>
    <n v="4"/>
    <n v="86.89"/>
    <n v="18"/>
    <n v="277"/>
    <n v="130.03"/>
    <x v="1"/>
    <n v="12"/>
    <n v="347.56"/>
    <n v="365.56"/>
    <x v="0"/>
  </r>
  <r>
    <s v="ORD-10680"/>
    <x v="314"/>
    <d v="2024-01-24T00:00:00"/>
    <x v="2"/>
    <x v="1"/>
    <x v="1"/>
    <x v="0"/>
    <x v="2"/>
    <n v="5"/>
    <n v="44.68"/>
    <n v="12"/>
    <n v="144"/>
    <n v="83.36"/>
    <x v="0"/>
    <n v="1"/>
    <n v="223.4"/>
    <n v="235.4"/>
    <x v="0"/>
  </r>
  <r>
    <s v="ORD-10681"/>
    <x v="315"/>
    <d v="2024-01-26T00:00:00"/>
    <x v="0"/>
    <x v="0"/>
    <x v="0"/>
    <x v="2"/>
    <x v="3"/>
    <n v="13"/>
    <n v="21.96"/>
    <n v="12"/>
    <n v="4"/>
    <n v="16.84"/>
    <x v="0"/>
    <n v="2"/>
    <n v="285.48"/>
    <n v="297.48"/>
    <x v="2"/>
  </r>
  <r>
    <s v="ORD-10682"/>
    <x v="315"/>
    <d v="2024-01-26T00:00:00"/>
    <x v="7"/>
    <x v="1"/>
    <x v="1"/>
    <x v="0"/>
    <x v="1"/>
    <n v="3"/>
    <n v="134.77000000000001"/>
    <n v="12"/>
    <n v="173"/>
    <n v="155.72"/>
    <x v="0"/>
    <n v="2"/>
    <n v="404.31000000000006"/>
    <n v="416.31000000000006"/>
    <x v="0"/>
  </r>
  <r>
    <s v="ORD-10683"/>
    <x v="316"/>
    <d v="2024-01-28T00:00:00"/>
    <x v="0"/>
    <x v="0"/>
    <x v="0"/>
    <x v="0"/>
    <x v="2"/>
    <n v="7"/>
    <n v="12.14"/>
    <n v="8"/>
    <n v="34"/>
    <n v="2.8"/>
    <x v="0"/>
    <n v="3"/>
    <n v="84.98"/>
    <n v="92.98"/>
    <x v="1"/>
  </r>
  <r>
    <s v="ORD-10684"/>
    <x v="316"/>
    <d v="2024-01-29T00:00:00"/>
    <x v="6"/>
    <x v="3"/>
    <x v="3"/>
    <x v="1"/>
    <x v="1"/>
    <n v="2"/>
    <n v="511.7"/>
    <n v="25"/>
    <n v="349"/>
    <n v="345.69"/>
    <x v="0"/>
    <n v="4"/>
    <n v="1023.4"/>
    <n v="1048.4000000000001"/>
    <x v="0"/>
  </r>
  <r>
    <s v="ORD-10685"/>
    <x v="317"/>
    <d v="2024-02-02T00:00:00"/>
    <x v="13"/>
    <x v="4"/>
    <x v="4"/>
    <x v="2"/>
    <x v="3"/>
    <n v="3"/>
    <n v="36.49"/>
    <n v="18"/>
    <n v="109"/>
    <n v="40.26"/>
    <x v="2"/>
    <n v="7"/>
    <n v="109.47"/>
    <n v="127.47"/>
    <x v="0"/>
  </r>
  <r>
    <s v="ORD-10686"/>
    <x v="317"/>
    <d v="2024-02-08T00:00:00"/>
    <x v="11"/>
    <x v="3"/>
    <x v="3"/>
    <x v="2"/>
    <x v="3"/>
    <n v="3"/>
    <n v="249.16"/>
    <n v="37.5"/>
    <n v="230"/>
    <n v="242.87"/>
    <x v="1"/>
    <n v="13"/>
    <n v="747.48"/>
    <n v="784.98"/>
    <x v="0"/>
  </r>
  <r>
    <s v="ORD-10687"/>
    <x v="318"/>
    <d v="2024-02-01T00:00:00"/>
    <x v="12"/>
    <x v="3"/>
    <x v="3"/>
    <x v="1"/>
    <x v="0"/>
    <n v="2"/>
    <n v="344.58"/>
    <n v="25"/>
    <n v="384"/>
    <n v="228.71"/>
    <x v="0"/>
    <n v="5"/>
    <n v="689.16"/>
    <n v="714.16"/>
    <x v="0"/>
  </r>
  <r>
    <s v="ORD-10688"/>
    <x v="319"/>
    <d v="2024-01-31T00:00:00"/>
    <x v="14"/>
    <x v="4"/>
    <x v="4"/>
    <x v="1"/>
    <x v="1"/>
    <n v="5"/>
    <n v="20.7"/>
    <n v="12"/>
    <n v="57"/>
    <n v="40.57"/>
    <x v="0"/>
    <n v="3"/>
    <n v="103.5"/>
    <n v="115.5"/>
    <x v="0"/>
  </r>
  <r>
    <s v="ORD-10689"/>
    <x v="319"/>
    <d v="2024-02-02T00:00:00"/>
    <x v="10"/>
    <x v="0"/>
    <x v="0"/>
    <x v="2"/>
    <x v="0"/>
    <n v="14"/>
    <n v="10.029999999999999"/>
    <n v="8"/>
    <n v="264"/>
    <n v="7.24"/>
    <x v="0"/>
    <n v="5"/>
    <n v="140.41999999999999"/>
    <n v="148.41999999999999"/>
    <x v="0"/>
  </r>
  <r>
    <s v="ORD-10690"/>
    <x v="320"/>
    <d v="2024-02-03T00:00:00"/>
    <x v="1"/>
    <x v="0"/>
    <x v="0"/>
    <x v="0"/>
    <x v="1"/>
    <n v="7"/>
    <n v="42.23"/>
    <n v="8"/>
    <n v="300"/>
    <n v="19.649999999999999"/>
    <x v="0"/>
    <n v="4"/>
    <n v="295.60999999999996"/>
    <n v="303.60999999999996"/>
    <x v="0"/>
  </r>
  <r>
    <s v="ORD-10691"/>
    <x v="320"/>
    <d v="2024-02-04T00:00:00"/>
    <x v="0"/>
    <x v="0"/>
    <x v="0"/>
    <x v="2"/>
    <x v="3"/>
    <n v="8"/>
    <n v="27.83"/>
    <n v="12"/>
    <n v="189"/>
    <n v="11.81"/>
    <x v="0"/>
    <n v="5"/>
    <n v="222.64"/>
    <n v="234.64"/>
    <x v="0"/>
  </r>
  <r>
    <s v="ORD-10692"/>
    <x v="321"/>
    <d v="2024-02-05T00:00:00"/>
    <x v="13"/>
    <x v="4"/>
    <x v="4"/>
    <x v="2"/>
    <x v="1"/>
    <n v="5"/>
    <n v="30.52"/>
    <n v="12"/>
    <n v="207"/>
    <n v="62.68"/>
    <x v="0"/>
    <n v="5"/>
    <n v="152.6"/>
    <n v="164.6"/>
    <x v="0"/>
  </r>
  <r>
    <s v="ORD-10693"/>
    <x v="321"/>
    <d v="2024-02-16T00:00:00"/>
    <x v="0"/>
    <x v="0"/>
    <x v="0"/>
    <x v="2"/>
    <x v="3"/>
    <n v="11"/>
    <n v="35.92"/>
    <n v="12"/>
    <n v="340"/>
    <n v="25.61"/>
    <x v="1"/>
    <n v="16"/>
    <n v="395.12"/>
    <n v="407.12"/>
    <x v="0"/>
  </r>
  <r>
    <s v="ORD-10694"/>
    <x v="321"/>
    <d v="2024-02-04T00:00:00"/>
    <x v="6"/>
    <x v="3"/>
    <x v="3"/>
    <x v="0"/>
    <x v="1"/>
    <n v="1"/>
    <n v="949.6"/>
    <n v="25"/>
    <n v="85"/>
    <n v="319.86"/>
    <x v="0"/>
    <n v="4"/>
    <n v="949.6"/>
    <n v="974.6"/>
    <x v="0"/>
  </r>
  <r>
    <s v="ORD-10695"/>
    <x v="321"/>
    <d v="2024-02-03T00:00:00"/>
    <x v="15"/>
    <x v="4"/>
    <x v="4"/>
    <x v="0"/>
    <x v="3"/>
    <n v="5"/>
    <n v="71.95"/>
    <n v="18"/>
    <n v="276"/>
    <n v="-53.96"/>
    <x v="0"/>
    <n v="3"/>
    <n v="359.75"/>
    <n v="377.75"/>
    <x v="0"/>
  </r>
  <r>
    <s v="ORD-10696"/>
    <x v="322"/>
    <d v="2024-02-08T00:00:00"/>
    <x v="7"/>
    <x v="1"/>
    <x v="1"/>
    <x v="2"/>
    <x v="3"/>
    <n v="1"/>
    <n v="141.41"/>
    <n v="18"/>
    <n v="89"/>
    <n v="-21.21"/>
    <x v="2"/>
    <n v="7"/>
    <n v="141.41"/>
    <n v="159.41"/>
    <x v="0"/>
  </r>
  <r>
    <s v="ORD-10697"/>
    <x v="322"/>
    <d v="2024-02-05T00:00:00"/>
    <x v="12"/>
    <x v="3"/>
    <x v="3"/>
    <x v="0"/>
    <x v="3"/>
    <n v="1"/>
    <n v="518.35"/>
    <n v="37.5"/>
    <n v="367"/>
    <n v="162.66999999999999"/>
    <x v="0"/>
    <n v="4"/>
    <n v="518.35"/>
    <n v="555.85"/>
    <x v="0"/>
  </r>
  <r>
    <s v="ORD-10698"/>
    <x v="322"/>
    <d v="2024-02-12T00:00:00"/>
    <x v="14"/>
    <x v="4"/>
    <x v="4"/>
    <x v="2"/>
    <x v="3"/>
    <n v="3"/>
    <n v="73.98"/>
    <n v="18"/>
    <n v="244"/>
    <n v="90.87"/>
    <x v="1"/>
    <n v="11"/>
    <n v="221.94"/>
    <n v="239.94"/>
    <x v="0"/>
  </r>
  <r>
    <s v="ORD-10699"/>
    <x v="322"/>
    <d v="2024-02-03T00:00:00"/>
    <x v="2"/>
    <x v="1"/>
    <x v="1"/>
    <x v="1"/>
    <x v="1"/>
    <n v="2"/>
    <n v="29.15"/>
    <n v="12"/>
    <n v="186"/>
    <n v="17.32"/>
    <x v="0"/>
    <n v="2"/>
    <n v="58.3"/>
    <n v="70.3"/>
    <x v="0"/>
  </r>
  <r>
    <s v="ORD-10700"/>
    <x v="322"/>
    <d v="2024-02-05T00:00:00"/>
    <x v="7"/>
    <x v="1"/>
    <x v="1"/>
    <x v="1"/>
    <x v="2"/>
    <n v="1"/>
    <n v="63.67"/>
    <n v="12"/>
    <n v="179"/>
    <n v="19.47"/>
    <x v="0"/>
    <n v="4"/>
    <n v="63.67"/>
    <n v="75.67"/>
    <x v="0"/>
  </r>
  <r>
    <s v="ORD-10701"/>
    <x v="323"/>
    <d v="2024-02-03T00:00:00"/>
    <x v="7"/>
    <x v="1"/>
    <x v="1"/>
    <x v="0"/>
    <x v="3"/>
    <n v="3"/>
    <n v="106.04"/>
    <n v="18"/>
    <n v="81"/>
    <n v="118.25"/>
    <x v="0"/>
    <n v="1"/>
    <n v="318.12"/>
    <n v="336.12"/>
    <x v="0"/>
  </r>
  <r>
    <s v="ORD-10702"/>
    <x v="323"/>
    <d v="2024-02-07T00:00:00"/>
    <x v="3"/>
    <x v="1"/>
    <x v="1"/>
    <x v="1"/>
    <x v="0"/>
    <n v="3"/>
    <n v="114.9"/>
    <n v="12"/>
    <n v="130"/>
    <n v="131.88"/>
    <x v="0"/>
    <n v="5"/>
    <n v="344.70000000000005"/>
    <n v="356.70000000000005"/>
    <x v="0"/>
  </r>
  <r>
    <s v="ORD-10703"/>
    <x v="323"/>
    <d v="2024-02-19T00:00:00"/>
    <x v="10"/>
    <x v="0"/>
    <x v="0"/>
    <x v="2"/>
    <x v="2"/>
    <n v="13"/>
    <n v="46.51"/>
    <n v="8"/>
    <n v="290"/>
    <n v="44.37"/>
    <x v="1"/>
    <n v="17"/>
    <n v="604.63"/>
    <n v="612.63"/>
    <x v="0"/>
  </r>
  <r>
    <s v="ORD-10704"/>
    <x v="324"/>
    <d v="2024-02-05T00:00:00"/>
    <x v="12"/>
    <x v="3"/>
    <x v="3"/>
    <x v="1"/>
    <x v="1"/>
    <n v="3"/>
    <n v="861.45"/>
    <n v="25"/>
    <n v="397"/>
    <n v="892.02"/>
    <x v="0"/>
    <n v="2"/>
    <n v="2584.3500000000004"/>
    <n v="2609.3500000000004"/>
    <x v="0"/>
  </r>
  <r>
    <s v="ORD-10705"/>
    <x v="324"/>
    <d v="2024-02-17T00:00:00"/>
    <x v="11"/>
    <x v="3"/>
    <x v="3"/>
    <x v="2"/>
    <x v="1"/>
    <n v="2"/>
    <n v="1173.1400000000001"/>
    <n v="25"/>
    <n v="343"/>
    <n v="808.7"/>
    <x v="1"/>
    <n v="14"/>
    <n v="2346.2800000000002"/>
    <n v="2371.2800000000002"/>
    <x v="0"/>
  </r>
  <r>
    <s v="ORD-10706"/>
    <x v="324"/>
    <d v="2024-02-05T00:00:00"/>
    <x v="0"/>
    <x v="0"/>
    <x v="0"/>
    <x v="1"/>
    <x v="1"/>
    <n v="6"/>
    <n v="31.42"/>
    <n v="8"/>
    <n v="263"/>
    <n v="11.08"/>
    <x v="0"/>
    <n v="2"/>
    <n v="188.52"/>
    <n v="196.52"/>
    <x v="0"/>
  </r>
  <r>
    <s v="ORD-10707"/>
    <x v="324"/>
    <d v="2024-02-05T00:00:00"/>
    <x v="7"/>
    <x v="1"/>
    <x v="1"/>
    <x v="1"/>
    <x v="0"/>
    <n v="3"/>
    <n v="84.24"/>
    <n v="12"/>
    <n v="126"/>
    <n v="95.09"/>
    <x v="0"/>
    <n v="2"/>
    <n v="252.71999999999997"/>
    <n v="264.71999999999997"/>
    <x v="0"/>
  </r>
  <r>
    <s v="ORD-10708"/>
    <x v="325"/>
    <d v="2024-02-08T00:00:00"/>
    <x v="9"/>
    <x v="2"/>
    <x v="2"/>
    <x v="0"/>
    <x v="0"/>
    <n v="1"/>
    <n v="210.09"/>
    <n v="75"/>
    <n v="54"/>
    <n v="4.5199999999999996"/>
    <x v="0"/>
    <n v="4"/>
    <n v="210.09"/>
    <n v="285.09000000000003"/>
    <x v="0"/>
  </r>
  <r>
    <s v="ORD-10709"/>
    <x v="325"/>
    <d v="2024-02-09T00:00:00"/>
    <x v="14"/>
    <x v="4"/>
    <x v="4"/>
    <x v="1"/>
    <x v="2"/>
    <n v="2"/>
    <n v="135.04"/>
    <n v="12"/>
    <n v="358"/>
    <n v="115.54"/>
    <x v="0"/>
    <n v="5"/>
    <n v="270.08"/>
    <n v="282.08"/>
    <x v="0"/>
  </r>
  <r>
    <s v="ORD-10710"/>
    <x v="326"/>
    <d v="2024-02-08T00:00:00"/>
    <x v="2"/>
    <x v="1"/>
    <x v="1"/>
    <x v="2"/>
    <x v="3"/>
    <n v="4"/>
    <n v="125.44"/>
    <n v="18"/>
    <n v="254"/>
    <n v="191.71"/>
    <x v="0"/>
    <n v="3"/>
    <n v="501.76"/>
    <n v="519.76"/>
    <x v="0"/>
  </r>
  <r>
    <s v="ORD-10711"/>
    <x v="326"/>
    <d v="2024-02-06T00:00:00"/>
    <x v="12"/>
    <x v="3"/>
    <x v="3"/>
    <x v="2"/>
    <x v="3"/>
    <n v="1"/>
    <n v="646.77"/>
    <n v="37.5"/>
    <n v="263"/>
    <n v="207.62"/>
    <x v="0"/>
    <n v="1"/>
    <n v="646.77"/>
    <n v="684.27"/>
    <x v="0"/>
  </r>
  <r>
    <s v="ORD-10712"/>
    <x v="326"/>
    <d v="2024-02-15T00:00:00"/>
    <x v="14"/>
    <x v="4"/>
    <x v="4"/>
    <x v="2"/>
    <x v="3"/>
    <n v="1"/>
    <n v="53.89"/>
    <n v="18"/>
    <n v="264"/>
    <n v="15.25"/>
    <x v="2"/>
    <n v="10"/>
    <n v="53.89"/>
    <n v="71.89"/>
    <x v="0"/>
  </r>
  <r>
    <s v="ORD-10713"/>
    <x v="326"/>
    <d v="2024-02-07T00:00:00"/>
    <x v="1"/>
    <x v="0"/>
    <x v="0"/>
    <x v="1"/>
    <x v="1"/>
    <n v="7"/>
    <n v="27.8"/>
    <n v="8"/>
    <n v="226"/>
    <n v="11.57"/>
    <x v="0"/>
    <n v="2"/>
    <n v="194.6"/>
    <n v="202.6"/>
    <x v="0"/>
  </r>
  <r>
    <s v="ORD-10714"/>
    <x v="326"/>
    <d v="2024-02-19T00:00:00"/>
    <x v="0"/>
    <x v="0"/>
    <x v="0"/>
    <x v="2"/>
    <x v="3"/>
    <n v="14"/>
    <n v="35"/>
    <n v="12"/>
    <n v="183"/>
    <n v="33.200000000000003"/>
    <x v="1"/>
    <n v="14"/>
    <n v="490"/>
    <n v="502"/>
    <x v="0"/>
  </r>
  <r>
    <s v="ORD-10715"/>
    <x v="326"/>
    <d v="2024-02-09T00:00:00"/>
    <x v="10"/>
    <x v="0"/>
    <x v="0"/>
    <x v="2"/>
    <x v="2"/>
    <n v="14"/>
    <n v="43.26"/>
    <n v="8"/>
    <n v="43"/>
    <n v="44.45"/>
    <x v="0"/>
    <n v="4"/>
    <n v="605.64"/>
    <n v="613.64"/>
    <x v="1"/>
  </r>
  <r>
    <s v="ORD-10716"/>
    <x v="327"/>
    <d v="2024-02-17T00:00:00"/>
    <x v="15"/>
    <x v="4"/>
    <x v="4"/>
    <x v="2"/>
    <x v="3"/>
    <n v="2"/>
    <n v="24.26"/>
    <n v="18"/>
    <n v="312"/>
    <n v="12.84"/>
    <x v="1"/>
    <n v="11"/>
    <n v="48.52"/>
    <n v="66.52000000000001"/>
    <x v="0"/>
  </r>
  <r>
    <s v="ORD-10717"/>
    <x v="327"/>
    <d v="2024-02-08T00:00:00"/>
    <x v="6"/>
    <x v="3"/>
    <x v="3"/>
    <x v="1"/>
    <x v="2"/>
    <n v="1"/>
    <n v="353.75"/>
    <n v="25"/>
    <n v="316"/>
    <n v="111.31"/>
    <x v="0"/>
    <n v="2"/>
    <n v="353.75"/>
    <n v="378.75"/>
    <x v="0"/>
  </r>
  <r>
    <s v="ORD-10718"/>
    <x v="327"/>
    <d v="2024-02-08T00:00:00"/>
    <x v="9"/>
    <x v="2"/>
    <x v="2"/>
    <x v="0"/>
    <x v="2"/>
    <n v="1"/>
    <n v="401.51"/>
    <n v="75"/>
    <n v="339"/>
    <n v="42.8"/>
    <x v="0"/>
    <n v="2"/>
    <n v="401.51"/>
    <n v="476.51"/>
    <x v="0"/>
  </r>
  <r>
    <s v="ORD-10719"/>
    <x v="328"/>
    <d v="2024-02-11T00:00:00"/>
    <x v="8"/>
    <x v="2"/>
    <x v="2"/>
    <x v="0"/>
    <x v="2"/>
    <n v="1"/>
    <n v="363.91"/>
    <n v="75"/>
    <n v="168"/>
    <n v="35.28"/>
    <x v="0"/>
    <n v="4"/>
    <n v="363.91"/>
    <n v="438.91"/>
    <x v="0"/>
  </r>
  <r>
    <s v="ORD-10720"/>
    <x v="329"/>
    <d v="2024-02-09T00:00:00"/>
    <x v="1"/>
    <x v="0"/>
    <x v="0"/>
    <x v="2"/>
    <x v="1"/>
    <n v="7"/>
    <n v="35.1"/>
    <n v="8"/>
    <n v="231"/>
    <n v="15.65"/>
    <x v="0"/>
    <n v="1"/>
    <n v="245.70000000000002"/>
    <n v="253.70000000000002"/>
    <x v="0"/>
  </r>
  <r>
    <s v="ORD-10721"/>
    <x v="329"/>
    <d v="2024-02-11T00:00:00"/>
    <x v="0"/>
    <x v="0"/>
    <x v="0"/>
    <x v="0"/>
    <x v="3"/>
    <n v="8"/>
    <n v="26.19"/>
    <n v="12"/>
    <n v="107"/>
    <n v="10.76"/>
    <x v="0"/>
    <n v="3"/>
    <n v="209.52"/>
    <n v="221.52"/>
    <x v="0"/>
  </r>
  <r>
    <s v="ORD-10722"/>
    <x v="330"/>
    <d v="2024-02-11T00:00:00"/>
    <x v="12"/>
    <x v="3"/>
    <x v="3"/>
    <x v="0"/>
    <x v="1"/>
    <n v="2"/>
    <n v="598.82000000000005"/>
    <n v="25"/>
    <n v="219"/>
    <n v="406.67"/>
    <x v="0"/>
    <n v="2"/>
    <n v="1197.6400000000001"/>
    <n v="1222.6400000000001"/>
    <x v="0"/>
  </r>
  <r>
    <s v="ORD-10723"/>
    <x v="330"/>
    <d v="2024-02-13T00:00:00"/>
    <x v="1"/>
    <x v="0"/>
    <x v="0"/>
    <x v="2"/>
    <x v="3"/>
    <n v="7"/>
    <n v="29.91"/>
    <n v="12"/>
    <n v="380"/>
    <n v="10.75"/>
    <x v="0"/>
    <n v="4"/>
    <n v="209.37"/>
    <n v="221.37"/>
    <x v="0"/>
  </r>
  <r>
    <s v="ORD-10724"/>
    <x v="331"/>
    <d v="2024-02-15T00:00:00"/>
    <x v="6"/>
    <x v="3"/>
    <x v="3"/>
    <x v="2"/>
    <x v="3"/>
    <n v="2"/>
    <n v="1006.1"/>
    <n v="37.5"/>
    <n v="268"/>
    <n v="685.52"/>
    <x v="0"/>
    <n v="5"/>
    <n v="2012.2"/>
    <n v="2049.6999999999998"/>
    <x v="0"/>
  </r>
  <r>
    <s v="ORD-10725"/>
    <x v="331"/>
    <d v="2024-02-12T00:00:00"/>
    <x v="15"/>
    <x v="4"/>
    <x v="4"/>
    <x v="1"/>
    <x v="1"/>
    <n v="4"/>
    <n v="65.040000000000006"/>
    <n v="12"/>
    <n v="211"/>
    <n v="111.07"/>
    <x v="0"/>
    <n v="2"/>
    <n v="260.16000000000003"/>
    <n v="272.16000000000003"/>
    <x v="0"/>
  </r>
  <r>
    <s v="ORD-10726"/>
    <x v="331"/>
    <d v="2024-02-13T00:00:00"/>
    <x v="5"/>
    <x v="3"/>
    <x v="3"/>
    <x v="0"/>
    <x v="1"/>
    <n v="3"/>
    <n v="1005.79"/>
    <n v="25"/>
    <n v="95"/>
    <n v="-452.61"/>
    <x v="0"/>
    <n v="3"/>
    <n v="3017.37"/>
    <n v="3042.37"/>
    <x v="0"/>
  </r>
  <r>
    <s v="ORD-10727"/>
    <x v="332"/>
    <d v="2024-02-15T00:00:00"/>
    <x v="7"/>
    <x v="1"/>
    <x v="1"/>
    <x v="2"/>
    <x v="3"/>
    <n v="5"/>
    <n v="110.11"/>
    <n v="18"/>
    <n v="345"/>
    <n v="211.22"/>
    <x v="0"/>
    <n v="4"/>
    <n v="550.54999999999995"/>
    <n v="568.54999999999995"/>
    <x v="0"/>
  </r>
  <r>
    <s v="ORD-10728"/>
    <x v="332"/>
    <d v="2024-02-18T00:00:00"/>
    <x v="4"/>
    <x v="2"/>
    <x v="2"/>
    <x v="2"/>
    <x v="2"/>
    <n v="1"/>
    <n v="167.9"/>
    <n v="75"/>
    <n v="85"/>
    <n v="-3.92"/>
    <x v="2"/>
    <n v="7"/>
    <n v="167.9"/>
    <n v="242.9"/>
    <x v="0"/>
  </r>
  <r>
    <s v="ORD-10729"/>
    <x v="333"/>
    <d v="2024-02-14T00:00:00"/>
    <x v="12"/>
    <x v="3"/>
    <x v="3"/>
    <x v="2"/>
    <x v="3"/>
    <n v="1"/>
    <n v="932.72"/>
    <n v="37.5"/>
    <n v="60"/>
    <n v="307.7"/>
    <x v="0"/>
    <n v="2"/>
    <n v="932.72"/>
    <n v="970.22"/>
    <x v="0"/>
  </r>
  <r>
    <s v="ORD-10730"/>
    <x v="333"/>
    <d v="2024-02-16T00:00:00"/>
    <x v="2"/>
    <x v="1"/>
    <x v="1"/>
    <x v="0"/>
    <x v="0"/>
    <n v="1"/>
    <n v="60.79"/>
    <n v="12"/>
    <n v="133"/>
    <n v="18.32"/>
    <x v="0"/>
    <n v="4"/>
    <n v="60.79"/>
    <n v="72.789999999999992"/>
    <x v="0"/>
  </r>
  <r>
    <s v="ORD-10731"/>
    <x v="334"/>
    <d v="2024-02-19T00:00:00"/>
    <x v="14"/>
    <x v="4"/>
    <x v="4"/>
    <x v="1"/>
    <x v="0"/>
    <n v="2"/>
    <n v="74.05"/>
    <n v="12"/>
    <n v="265"/>
    <n v="60.64"/>
    <x v="0"/>
    <n v="5"/>
    <n v="148.1"/>
    <n v="160.1"/>
    <x v="0"/>
  </r>
  <r>
    <s v="ORD-10732"/>
    <x v="335"/>
    <d v="2024-02-22T00:00:00"/>
    <x v="3"/>
    <x v="1"/>
    <x v="1"/>
    <x v="2"/>
    <x v="1"/>
    <n v="5"/>
    <n v="89.2"/>
    <n v="12"/>
    <n v="93"/>
    <n v="172.4"/>
    <x v="0"/>
    <n v="5"/>
    <n v="446"/>
    <n v="458"/>
    <x v="0"/>
  </r>
  <r>
    <s v="ORD-10733"/>
    <x v="336"/>
    <d v="2024-02-19T00:00:00"/>
    <x v="11"/>
    <x v="3"/>
    <x v="3"/>
    <x v="2"/>
    <x v="3"/>
    <n v="3"/>
    <n v="588.85"/>
    <n v="37.5"/>
    <n v="134"/>
    <n v="599.54"/>
    <x v="0"/>
    <n v="1"/>
    <n v="1766.5500000000002"/>
    <n v="1804.0500000000002"/>
    <x v="0"/>
  </r>
  <r>
    <s v="ORD-10734"/>
    <x v="336"/>
    <d v="2024-02-20T00:00:00"/>
    <x v="1"/>
    <x v="0"/>
    <x v="0"/>
    <x v="2"/>
    <x v="1"/>
    <n v="14"/>
    <n v="22.21"/>
    <n v="8"/>
    <n v="38"/>
    <n v="20.87"/>
    <x v="0"/>
    <n v="2"/>
    <n v="310.94"/>
    <n v="318.94"/>
    <x v="1"/>
  </r>
  <r>
    <s v="ORD-10735"/>
    <x v="336"/>
    <d v="2024-03-06T00:00:00"/>
    <x v="5"/>
    <x v="3"/>
    <x v="3"/>
    <x v="2"/>
    <x v="3"/>
    <n v="1"/>
    <n v="1189.3399999999999"/>
    <n v="37.5"/>
    <n v="124"/>
    <n v="397.52"/>
    <x v="1"/>
    <n v="17"/>
    <n v="1189.3399999999999"/>
    <n v="1226.8399999999999"/>
    <x v="0"/>
  </r>
  <r>
    <s v="ORD-10736"/>
    <x v="337"/>
    <d v="2024-02-26T00:00:00"/>
    <x v="15"/>
    <x v="4"/>
    <x v="4"/>
    <x v="1"/>
    <x v="2"/>
    <n v="2"/>
    <n v="121.19"/>
    <n v="12"/>
    <n v="216"/>
    <n v="103.07"/>
    <x v="0"/>
    <n v="4"/>
    <n v="242.38"/>
    <n v="254.38"/>
    <x v="0"/>
  </r>
  <r>
    <s v="ORD-10737"/>
    <x v="337"/>
    <d v="2024-02-29T00:00:00"/>
    <x v="0"/>
    <x v="0"/>
    <x v="0"/>
    <x v="2"/>
    <x v="3"/>
    <n v="14"/>
    <n v="37.64"/>
    <n v="12"/>
    <n v="80"/>
    <n v="36.15"/>
    <x v="2"/>
    <n v="7"/>
    <n v="526.96"/>
    <n v="538.96"/>
    <x v="0"/>
  </r>
  <r>
    <s v="ORD-10738"/>
    <x v="338"/>
    <d v="2024-02-26T00:00:00"/>
    <x v="10"/>
    <x v="0"/>
    <x v="0"/>
    <x v="2"/>
    <x v="3"/>
    <n v="13"/>
    <n v="22.84"/>
    <n v="12"/>
    <n v="151"/>
    <n v="17.75"/>
    <x v="0"/>
    <n v="3"/>
    <n v="296.92"/>
    <n v="308.92"/>
    <x v="0"/>
  </r>
  <r>
    <s v="ORD-10739"/>
    <x v="338"/>
    <d v="2024-02-24T00:00:00"/>
    <x v="1"/>
    <x v="0"/>
    <x v="0"/>
    <x v="2"/>
    <x v="3"/>
    <n v="9"/>
    <n v="26.09"/>
    <n v="12"/>
    <n v="388"/>
    <n v="12.79"/>
    <x v="0"/>
    <n v="1"/>
    <n v="234.81"/>
    <n v="246.81"/>
    <x v="0"/>
  </r>
  <r>
    <s v="ORD-10740"/>
    <x v="338"/>
    <d v="2024-03-03T00:00:00"/>
    <x v="5"/>
    <x v="3"/>
    <x v="3"/>
    <x v="2"/>
    <x v="3"/>
    <n v="3"/>
    <n v="636.21"/>
    <n v="37.5"/>
    <n v="47"/>
    <n v="649.27"/>
    <x v="2"/>
    <n v="9"/>
    <n v="1908.63"/>
    <n v="1946.13"/>
    <x v="1"/>
  </r>
  <r>
    <s v="ORD-10741"/>
    <x v="339"/>
    <d v="2024-03-06T00:00:00"/>
    <x v="9"/>
    <x v="2"/>
    <x v="2"/>
    <x v="2"/>
    <x v="1"/>
    <n v="1"/>
    <n v="194.4"/>
    <n v="75"/>
    <n v="300"/>
    <n v="1.38"/>
    <x v="1"/>
    <n v="11"/>
    <n v="194.4"/>
    <n v="269.39999999999998"/>
    <x v="0"/>
  </r>
  <r>
    <s v="ORD-10742"/>
    <x v="339"/>
    <d v="2024-02-28T00:00:00"/>
    <x v="9"/>
    <x v="2"/>
    <x v="2"/>
    <x v="1"/>
    <x v="2"/>
    <n v="2"/>
    <n v="474.45"/>
    <n v="75"/>
    <n v="306"/>
    <n v="152.28"/>
    <x v="0"/>
    <n v="4"/>
    <n v="948.9"/>
    <n v="1023.9"/>
    <x v="0"/>
  </r>
  <r>
    <s v="ORD-10743"/>
    <x v="339"/>
    <d v="2024-03-09T00:00:00"/>
    <x v="5"/>
    <x v="3"/>
    <x v="3"/>
    <x v="2"/>
    <x v="1"/>
    <n v="2"/>
    <n v="430.73"/>
    <n v="25"/>
    <n v="235"/>
    <n v="289.01"/>
    <x v="1"/>
    <n v="14"/>
    <n v="861.46"/>
    <n v="886.46"/>
    <x v="0"/>
  </r>
  <r>
    <s v="ORD-10744"/>
    <x v="339"/>
    <d v="2024-02-26T00:00:00"/>
    <x v="7"/>
    <x v="1"/>
    <x v="1"/>
    <x v="1"/>
    <x v="1"/>
    <n v="5"/>
    <n v="141.02000000000001"/>
    <n v="12"/>
    <n v="248"/>
    <n v="276.02999999999997"/>
    <x v="0"/>
    <n v="2"/>
    <n v="705.1"/>
    <n v="717.1"/>
    <x v="0"/>
  </r>
  <r>
    <s v="ORD-10745"/>
    <x v="340"/>
    <d v="2024-03-02T00:00:00"/>
    <x v="8"/>
    <x v="2"/>
    <x v="2"/>
    <x v="2"/>
    <x v="3"/>
    <n v="2"/>
    <n v="449.98"/>
    <n v="112.5"/>
    <n v="331"/>
    <n v="123.74"/>
    <x v="0"/>
    <n v="5"/>
    <n v="899.96"/>
    <n v="1012.46"/>
    <x v="0"/>
  </r>
  <r>
    <s v="ORD-10746"/>
    <x v="340"/>
    <d v="2024-03-02T00:00:00"/>
    <x v="10"/>
    <x v="0"/>
    <x v="0"/>
    <x v="2"/>
    <x v="0"/>
    <n v="9"/>
    <n v="22.53"/>
    <n v="8"/>
    <n v="53"/>
    <n v="12.22"/>
    <x v="0"/>
    <n v="5"/>
    <n v="202.77"/>
    <n v="210.77"/>
    <x v="0"/>
  </r>
  <r>
    <s v="ORD-10747"/>
    <x v="340"/>
    <d v="2024-03-02T00:00:00"/>
    <x v="4"/>
    <x v="2"/>
    <x v="2"/>
    <x v="2"/>
    <x v="1"/>
    <n v="2"/>
    <n v="150.32"/>
    <n v="75"/>
    <n v="199"/>
    <n v="22.63"/>
    <x v="0"/>
    <n v="5"/>
    <n v="300.64"/>
    <n v="375.64"/>
    <x v="0"/>
  </r>
  <r>
    <s v="ORD-10748"/>
    <x v="341"/>
    <d v="2024-03-08T00:00:00"/>
    <x v="9"/>
    <x v="2"/>
    <x v="2"/>
    <x v="2"/>
    <x v="3"/>
    <n v="1"/>
    <n v="381.1"/>
    <n v="112.5"/>
    <n v="105"/>
    <n v="19.97"/>
    <x v="2"/>
    <n v="8"/>
    <n v="381.1"/>
    <n v="493.6"/>
    <x v="0"/>
  </r>
  <r>
    <s v="ORD-10749"/>
    <x v="341"/>
    <d v="2024-03-04T00:00:00"/>
    <x v="1"/>
    <x v="0"/>
    <x v="0"/>
    <x v="2"/>
    <x v="3"/>
    <n v="7"/>
    <n v="37.369999999999997"/>
    <n v="12"/>
    <n v="310"/>
    <n v="14.93"/>
    <x v="0"/>
    <n v="4"/>
    <n v="261.58999999999997"/>
    <n v="273.58999999999997"/>
    <x v="0"/>
  </r>
  <r>
    <s v="ORD-10750"/>
    <x v="341"/>
    <d v="2024-03-17T00:00:00"/>
    <x v="0"/>
    <x v="0"/>
    <x v="0"/>
    <x v="2"/>
    <x v="1"/>
    <n v="12"/>
    <n v="49.84"/>
    <n v="8"/>
    <n v="7"/>
    <n v="43.85"/>
    <x v="1"/>
    <n v="17"/>
    <n v="598.08000000000004"/>
    <n v="606.08000000000004"/>
    <x v="2"/>
  </r>
  <r>
    <s v="ORD-10751"/>
    <x v="342"/>
    <d v="2024-03-14T00:00:00"/>
    <x v="10"/>
    <x v="0"/>
    <x v="0"/>
    <x v="2"/>
    <x v="3"/>
    <n v="8"/>
    <n v="33.869999999999997"/>
    <n v="12"/>
    <n v="391"/>
    <n v="15.67"/>
    <x v="1"/>
    <n v="13"/>
    <n v="270.95999999999998"/>
    <n v="282.95999999999998"/>
    <x v="0"/>
  </r>
  <r>
    <s v="ORD-10752"/>
    <x v="343"/>
    <d v="2024-03-17T00:00:00"/>
    <x v="6"/>
    <x v="3"/>
    <x v="3"/>
    <x v="2"/>
    <x v="2"/>
    <n v="1"/>
    <n v="233.65"/>
    <n v="25"/>
    <n v="372"/>
    <n v="69.28"/>
    <x v="1"/>
    <n v="15"/>
    <n v="233.65"/>
    <n v="258.64999999999998"/>
    <x v="0"/>
  </r>
  <r>
    <s v="ORD-10753"/>
    <x v="343"/>
    <d v="2024-03-13T00:00:00"/>
    <x v="5"/>
    <x v="3"/>
    <x v="3"/>
    <x v="2"/>
    <x v="1"/>
    <n v="1"/>
    <n v="996.85"/>
    <n v="25"/>
    <n v="269"/>
    <n v="336.4"/>
    <x v="1"/>
    <n v="11"/>
    <n v="996.85"/>
    <n v="1021.85"/>
    <x v="0"/>
  </r>
  <r>
    <s v="ORD-10754"/>
    <x v="343"/>
    <d v="2024-03-04T00:00:00"/>
    <x v="14"/>
    <x v="4"/>
    <x v="4"/>
    <x v="0"/>
    <x v="1"/>
    <n v="4"/>
    <n v="120.27"/>
    <n v="12"/>
    <n v="187"/>
    <n v="210.49"/>
    <x v="0"/>
    <n v="2"/>
    <n v="481.08"/>
    <n v="493.08"/>
    <x v="0"/>
  </r>
  <r>
    <s v="ORD-10755"/>
    <x v="344"/>
    <d v="2024-03-07T00:00:00"/>
    <x v="5"/>
    <x v="3"/>
    <x v="3"/>
    <x v="2"/>
    <x v="3"/>
    <n v="3"/>
    <n v="908.68"/>
    <n v="37.5"/>
    <n v="276"/>
    <n v="935.36"/>
    <x v="0"/>
    <n v="4"/>
    <n v="2726.04"/>
    <n v="2763.54"/>
    <x v="0"/>
  </r>
  <r>
    <s v="ORD-10756"/>
    <x v="344"/>
    <d v="2024-03-05T00:00:00"/>
    <x v="13"/>
    <x v="4"/>
    <x v="4"/>
    <x v="1"/>
    <x v="1"/>
    <n v="3"/>
    <n v="100.14"/>
    <n v="12"/>
    <n v="160"/>
    <n v="129.19"/>
    <x v="0"/>
    <n v="2"/>
    <n v="300.42"/>
    <n v="312.42"/>
    <x v="0"/>
  </r>
  <r>
    <s v="ORD-10757"/>
    <x v="345"/>
    <d v="2024-03-05T00:00:00"/>
    <x v="10"/>
    <x v="0"/>
    <x v="0"/>
    <x v="1"/>
    <x v="0"/>
    <n v="14"/>
    <n v="44.68"/>
    <n v="8"/>
    <n v="299"/>
    <n v="46.04"/>
    <x v="0"/>
    <n v="1"/>
    <n v="625.52"/>
    <n v="633.52"/>
    <x v="0"/>
  </r>
  <r>
    <s v="ORD-10758"/>
    <x v="346"/>
    <d v="2024-03-07T00:00:00"/>
    <x v="2"/>
    <x v="1"/>
    <x v="1"/>
    <x v="2"/>
    <x v="3"/>
    <n v="5"/>
    <n v="132.35"/>
    <n v="18"/>
    <n v="384"/>
    <n v="255.7"/>
    <x v="0"/>
    <n v="2"/>
    <n v="661.75"/>
    <n v="679.75"/>
    <x v="0"/>
  </r>
  <r>
    <s v="ORD-10759"/>
    <x v="347"/>
    <d v="2024-03-11T00:00:00"/>
    <x v="2"/>
    <x v="1"/>
    <x v="1"/>
    <x v="1"/>
    <x v="2"/>
    <n v="1"/>
    <n v="80.14"/>
    <n v="12"/>
    <n v="323"/>
    <n v="26.06"/>
    <x v="0"/>
    <n v="4"/>
    <n v="80.14"/>
    <n v="92.14"/>
    <x v="0"/>
  </r>
  <r>
    <s v="ORD-10760"/>
    <x v="347"/>
    <d v="2024-03-09T00:00:00"/>
    <x v="12"/>
    <x v="3"/>
    <x v="3"/>
    <x v="2"/>
    <x v="3"/>
    <n v="3"/>
    <n v="952.99"/>
    <n v="37.5"/>
    <n v="91"/>
    <n v="981.89"/>
    <x v="0"/>
    <n v="2"/>
    <n v="2858.9700000000003"/>
    <n v="2896.4700000000003"/>
    <x v="0"/>
  </r>
  <r>
    <s v="ORD-10761"/>
    <x v="348"/>
    <d v="2024-03-13T00:00:00"/>
    <x v="0"/>
    <x v="0"/>
    <x v="0"/>
    <x v="0"/>
    <x v="3"/>
    <n v="10"/>
    <n v="17.89"/>
    <n v="12"/>
    <n v="176"/>
    <n v="8.31"/>
    <x v="0"/>
    <n v="3"/>
    <n v="178.9"/>
    <n v="190.9"/>
    <x v="0"/>
  </r>
  <r>
    <s v="ORD-10762"/>
    <x v="348"/>
    <d v="2024-03-11T00:00:00"/>
    <x v="11"/>
    <x v="3"/>
    <x v="3"/>
    <x v="0"/>
    <x v="2"/>
    <n v="2"/>
    <n v="433.4"/>
    <n v="25"/>
    <n v="367"/>
    <n v="290.88"/>
    <x v="0"/>
    <n v="1"/>
    <n v="866.8"/>
    <n v="891.8"/>
    <x v="0"/>
  </r>
  <r>
    <s v="ORD-10763"/>
    <x v="348"/>
    <d v="2024-03-26T00:00:00"/>
    <x v="10"/>
    <x v="0"/>
    <x v="0"/>
    <x v="2"/>
    <x v="1"/>
    <n v="8"/>
    <n v="16.25"/>
    <n v="8"/>
    <n v="118"/>
    <n v="6.4"/>
    <x v="1"/>
    <n v="16"/>
    <n v="130"/>
    <n v="138"/>
    <x v="0"/>
  </r>
  <r>
    <s v="ORD-10764"/>
    <x v="349"/>
    <d v="2024-03-15T00:00:00"/>
    <x v="4"/>
    <x v="2"/>
    <x v="2"/>
    <x v="1"/>
    <x v="0"/>
    <n v="1"/>
    <n v="305.97000000000003"/>
    <n v="75"/>
    <n v="362"/>
    <n v="23.69"/>
    <x v="0"/>
    <n v="4"/>
    <n v="305.97000000000003"/>
    <n v="380.97"/>
    <x v="0"/>
  </r>
  <r>
    <s v="ORD-10765"/>
    <x v="349"/>
    <d v="2024-03-14T00:00:00"/>
    <x v="0"/>
    <x v="0"/>
    <x v="0"/>
    <x v="2"/>
    <x v="1"/>
    <n v="7"/>
    <n v="33.799999999999997"/>
    <n v="8"/>
    <n v="299"/>
    <n v="14.93"/>
    <x v="0"/>
    <n v="3"/>
    <n v="236.59999999999997"/>
    <n v="244.59999999999997"/>
    <x v="0"/>
  </r>
  <r>
    <s v="ORD-10766"/>
    <x v="350"/>
    <d v="2024-03-18T00:00:00"/>
    <x v="11"/>
    <x v="3"/>
    <x v="3"/>
    <x v="2"/>
    <x v="3"/>
    <n v="3"/>
    <n v="649.91"/>
    <n v="37.5"/>
    <n v="189"/>
    <n v="663.66"/>
    <x v="0"/>
    <n v="5"/>
    <n v="1949.73"/>
    <n v="1987.23"/>
    <x v="0"/>
  </r>
  <r>
    <s v="ORD-10767"/>
    <x v="350"/>
    <d v="2024-03-16T00:00:00"/>
    <x v="4"/>
    <x v="2"/>
    <x v="2"/>
    <x v="2"/>
    <x v="2"/>
    <n v="2"/>
    <n v="269.57"/>
    <n v="75"/>
    <n v="57"/>
    <n v="70.33"/>
    <x v="0"/>
    <n v="3"/>
    <n v="539.14"/>
    <n v="614.14"/>
    <x v="0"/>
  </r>
  <r>
    <s v="ORD-10768"/>
    <x v="351"/>
    <d v="2024-03-19T00:00:00"/>
    <x v="13"/>
    <x v="4"/>
    <x v="4"/>
    <x v="1"/>
    <x v="0"/>
    <n v="4"/>
    <n v="37.36"/>
    <n v="12"/>
    <n v="27"/>
    <n v="61.24"/>
    <x v="0"/>
    <n v="3"/>
    <n v="149.44"/>
    <n v="161.44"/>
    <x v="1"/>
  </r>
  <r>
    <s v="ORD-10769"/>
    <x v="352"/>
    <d v="2024-03-20T00:00:00"/>
    <x v="1"/>
    <x v="0"/>
    <x v="0"/>
    <x v="2"/>
    <x v="3"/>
    <n v="14"/>
    <n v="35.22"/>
    <n v="12"/>
    <n v="3"/>
    <n v="-73.95"/>
    <x v="0"/>
    <n v="3"/>
    <n v="493.08"/>
    <n v="505.08"/>
    <x v="2"/>
  </r>
  <r>
    <s v="ORD-10770"/>
    <x v="352"/>
    <d v="2024-03-21T00:00:00"/>
    <x v="6"/>
    <x v="3"/>
    <x v="3"/>
    <x v="0"/>
    <x v="2"/>
    <n v="1"/>
    <n v="912.75"/>
    <n v="25"/>
    <n v="51"/>
    <n v="306.95999999999998"/>
    <x v="0"/>
    <n v="4"/>
    <n v="912.75"/>
    <n v="937.75"/>
    <x v="0"/>
  </r>
  <r>
    <s v="ORD-10771"/>
    <x v="352"/>
    <d v="2024-03-22T00:00:00"/>
    <x v="6"/>
    <x v="3"/>
    <x v="3"/>
    <x v="1"/>
    <x v="0"/>
    <n v="3"/>
    <n v="869.26"/>
    <n v="25"/>
    <n v="264"/>
    <n v="900.22"/>
    <x v="0"/>
    <n v="5"/>
    <n v="2607.7799999999997"/>
    <n v="2632.7799999999997"/>
    <x v="0"/>
  </r>
  <r>
    <s v="ORD-10772"/>
    <x v="352"/>
    <d v="2024-03-18T00:00:00"/>
    <x v="1"/>
    <x v="0"/>
    <x v="0"/>
    <x v="0"/>
    <x v="0"/>
    <n v="12"/>
    <n v="20.45"/>
    <n v="8"/>
    <n v="101"/>
    <n v="15.64"/>
    <x v="0"/>
    <n v="1"/>
    <n v="245.39999999999998"/>
    <n v="253.39999999999998"/>
    <x v="0"/>
  </r>
  <r>
    <s v="ORD-10773"/>
    <x v="353"/>
    <d v="2024-03-23T00:00:00"/>
    <x v="10"/>
    <x v="0"/>
    <x v="0"/>
    <x v="0"/>
    <x v="0"/>
    <n v="7"/>
    <n v="35.71"/>
    <n v="8"/>
    <n v="234"/>
    <n v="16"/>
    <x v="0"/>
    <n v="5"/>
    <n v="249.97"/>
    <n v="257.97000000000003"/>
    <x v="0"/>
  </r>
  <r>
    <s v="ORD-10774"/>
    <x v="354"/>
    <d v="2024-03-26T00:00:00"/>
    <x v="13"/>
    <x v="4"/>
    <x v="4"/>
    <x v="2"/>
    <x v="3"/>
    <n v="5"/>
    <n v="143.93"/>
    <n v="18"/>
    <n v="174"/>
    <n v="314.85000000000002"/>
    <x v="2"/>
    <n v="7"/>
    <n v="719.65000000000009"/>
    <n v="737.65000000000009"/>
    <x v="0"/>
  </r>
  <r>
    <s v="ORD-10775"/>
    <x v="355"/>
    <d v="2024-03-21T00:00:00"/>
    <x v="11"/>
    <x v="3"/>
    <x v="3"/>
    <x v="2"/>
    <x v="3"/>
    <n v="1"/>
    <n v="1073.25"/>
    <n v="37.5"/>
    <n v="297"/>
    <n v="356.89"/>
    <x v="0"/>
    <n v="1"/>
    <n v="1073.25"/>
    <n v="1110.75"/>
    <x v="0"/>
  </r>
  <r>
    <s v="ORD-10776"/>
    <x v="355"/>
    <d v="2024-03-24T00:00:00"/>
    <x v="12"/>
    <x v="3"/>
    <x v="3"/>
    <x v="0"/>
    <x v="0"/>
    <n v="3"/>
    <n v="310.41000000000003"/>
    <n v="25"/>
    <n v="366"/>
    <n v="313.43"/>
    <x v="0"/>
    <n v="4"/>
    <n v="931.23"/>
    <n v="956.23"/>
    <x v="0"/>
  </r>
  <r>
    <s v="ORD-10777"/>
    <x v="355"/>
    <d v="2024-03-25T00:00:00"/>
    <x v="5"/>
    <x v="3"/>
    <x v="3"/>
    <x v="0"/>
    <x v="1"/>
    <n v="1"/>
    <n v="1134.25"/>
    <n v="25"/>
    <n v="264"/>
    <n v="384.49"/>
    <x v="0"/>
    <n v="5"/>
    <n v="1134.25"/>
    <n v="1159.25"/>
    <x v="0"/>
  </r>
  <r>
    <s v="ORD-10778"/>
    <x v="355"/>
    <d v="2024-03-22T00:00:00"/>
    <x v="14"/>
    <x v="4"/>
    <x v="4"/>
    <x v="2"/>
    <x v="3"/>
    <n v="1"/>
    <n v="38.11"/>
    <n v="18"/>
    <n v="326"/>
    <n v="8.15"/>
    <x v="0"/>
    <n v="2"/>
    <n v="38.11"/>
    <n v="56.11"/>
    <x v="0"/>
  </r>
  <r>
    <s v="ORD-10779"/>
    <x v="356"/>
    <d v="2024-03-24T00:00:00"/>
    <x v="0"/>
    <x v="0"/>
    <x v="0"/>
    <x v="0"/>
    <x v="1"/>
    <n v="12"/>
    <n v="24.41"/>
    <n v="8"/>
    <n v="1"/>
    <n v="19.43"/>
    <x v="0"/>
    <n v="3"/>
    <n v="292.92"/>
    <n v="300.92"/>
    <x v="2"/>
  </r>
  <r>
    <s v="ORD-10780"/>
    <x v="357"/>
    <d v="2024-03-26T00:00:00"/>
    <x v="0"/>
    <x v="0"/>
    <x v="0"/>
    <x v="0"/>
    <x v="1"/>
    <n v="6"/>
    <n v="48.24"/>
    <n v="8"/>
    <n v="198"/>
    <n v="19.149999999999999"/>
    <x v="0"/>
    <n v="4"/>
    <n v="289.44"/>
    <n v="297.44"/>
    <x v="0"/>
  </r>
  <r>
    <s v="ORD-10781"/>
    <x v="357"/>
    <d v="2024-03-27T00:00:00"/>
    <x v="3"/>
    <x v="1"/>
    <x v="1"/>
    <x v="2"/>
    <x v="3"/>
    <n v="1"/>
    <n v="83.39"/>
    <n v="18"/>
    <n v="40"/>
    <n v="24.36"/>
    <x v="0"/>
    <n v="5"/>
    <n v="83.39"/>
    <n v="101.39"/>
    <x v="1"/>
  </r>
  <r>
    <s v="ORD-10782"/>
    <x v="358"/>
    <d v="2024-03-27T00:00:00"/>
    <x v="14"/>
    <x v="4"/>
    <x v="4"/>
    <x v="2"/>
    <x v="3"/>
    <n v="2"/>
    <n v="95.01"/>
    <n v="18"/>
    <n v="336"/>
    <n v="76.5"/>
    <x v="0"/>
    <n v="4"/>
    <n v="190.02"/>
    <n v="208.02"/>
    <x v="0"/>
  </r>
  <r>
    <s v="ORD-10783"/>
    <x v="359"/>
    <d v="2024-03-28T00:00:00"/>
    <x v="1"/>
    <x v="0"/>
    <x v="0"/>
    <x v="0"/>
    <x v="1"/>
    <n v="12"/>
    <n v="42.17"/>
    <n v="8"/>
    <n v="71"/>
    <n v="36.479999999999997"/>
    <x v="0"/>
    <n v="4"/>
    <n v="506.04"/>
    <n v="514.04"/>
    <x v="0"/>
  </r>
  <r>
    <s v="ORD-10784"/>
    <x v="359"/>
    <d v="2024-03-26T00:00:00"/>
    <x v="12"/>
    <x v="3"/>
    <x v="3"/>
    <x v="0"/>
    <x v="2"/>
    <n v="1"/>
    <n v="557.47"/>
    <n v="25"/>
    <n v="33"/>
    <n v="182.61"/>
    <x v="0"/>
    <n v="2"/>
    <n v="557.47"/>
    <n v="582.47"/>
    <x v="1"/>
  </r>
  <r>
    <s v="ORD-10785"/>
    <x v="359"/>
    <d v="2024-03-25T00:00:00"/>
    <x v="10"/>
    <x v="0"/>
    <x v="0"/>
    <x v="2"/>
    <x v="3"/>
    <n v="13"/>
    <n v="20.28"/>
    <n v="12"/>
    <n v="200"/>
    <n v="15.09"/>
    <x v="0"/>
    <n v="1"/>
    <n v="263.64"/>
    <n v="275.64"/>
    <x v="0"/>
  </r>
  <r>
    <s v="ORD-10786"/>
    <x v="360"/>
    <d v="2024-04-03T00:00:00"/>
    <x v="2"/>
    <x v="1"/>
    <x v="1"/>
    <x v="2"/>
    <x v="0"/>
    <n v="1"/>
    <n v="60.9"/>
    <n v="12"/>
    <n v="60"/>
    <n v="18.36"/>
    <x v="2"/>
    <n v="9"/>
    <n v="60.9"/>
    <n v="72.900000000000006"/>
    <x v="0"/>
  </r>
  <r>
    <s v="ORD-10787"/>
    <x v="361"/>
    <d v="2024-03-30T00:00:00"/>
    <x v="14"/>
    <x v="4"/>
    <x v="4"/>
    <x v="2"/>
    <x v="3"/>
    <n v="4"/>
    <n v="58.21"/>
    <n v="18"/>
    <n v="102"/>
    <n v="95.79"/>
    <x v="0"/>
    <n v="3"/>
    <n v="232.84"/>
    <n v="250.84"/>
    <x v="0"/>
  </r>
  <r>
    <s v="ORD-10788"/>
    <x v="362"/>
    <d v="2024-03-31T00:00:00"/>
    <x v="6"/>
    <x v="3"/>
    <x v="3"/>
    <x v="1"/>
    <x v="0"/>
    <n v="1"/>
    <n v="1073.58"/>
    <n v="25"/>
    <n v="34"/>
    <n v="363.25"/>
    <x v="0"/>
    <n v="3"/>
    <n v="1073.58"/>
    <n v="1098.58"/>
    <x v="1"/>
  </r>
  <r>
    <s v="ORD-10789"/>
    <x v="362"/>
    <d v="2024-04-08T00:00:00"/>
    <x v="10"/>
    <x v="0"/>
    <x v="0"/>
    <x v="2"/>
    <x v="3"/>
    <n v="9"/>
    <n v="36.22"/>
    <n v="12"/>
    <n v="84"/>
    <n v="20.079999999999998"/>
    <x v="1"/>
    <n v="11"/>
    <n v="325.98"/>
    <n v="337.98"/>
    <x v="0"/>
  </r>
  <r>
    <s v="ORD-10790"/>
    <x v="362"/>
    <d v="2024-04-02T00:00:00"/>
    <x v="0"/>
    <x v="0"/>
    <x v="0"/>
    <x v="2"/>
    <x v="2"/>
    <n v="13"/>
    <n v="26.32"/>
    <n v="8"/>
    <n v="8"/>
    <n v="23.37"/>
    <x v="0"/>
    <n v="5"/>
    <n v="342.16"/>
    <n v="350.16"/>
    <x v="2"/>
  </r>
  <r>
    <s v="ORD-10791"/>
    <x v="362"/>
    <d v="2024-04-14T00:00:00"/>
    <x v="3"/>
    <x v="1"/>
    <x v="1"/>
    <x v="2"/>
    <x v="2"/>
    <n v="3"/>
    <n v="144.58000000000001"/>
    <n v="12"/>
    <n v="193"/>
    <n v="167.5"/>
    <x v="1"/>
    <n v="17"/>
    <n v="433.74"/>
    <n v="445.74"/>
    <x v="0"/>
  </r>
  <r>
    <s v="ORD-10792"/>
    <x v="363"/>
    <d v="2024-04-01T00:00:00"/>
    <x v="3"/>
    <x v="1"/>
    <x v="1"/>
    <x v="2"/>
    <x v="2"/>
    <n v="1"/>
    <n v="123.97"/>
    <n v="12"/>
    <n v="250"/>
    <n v="43.59"/>
    <x v="0"/>
    <n v="3"/>
    <n v="123.97"/>
    <n v="135.97"/>
    <x v="0"/>
  </r>
  <r>
    <s v="ORD-10793"/>
    <x v="363"/>
    <d v="2024-04-01T00:00:00"/>
    <x v="11"/>
    <x v="3"/>
    <x v="3"/>
    <x v="2"/>
    <x v="2"/>
    <n v="3"/>
    <n v="1178.44"/>
    <n v="25"/>
    <n v="214"/>
    <n v="1224.8699999999999"/>
    <x v="0"/>
    <n v="3"/>
    <n v="3535.32"/>
    <n v="3560.32"/>
    <x v="0"/>
  </r>
  <r>
    <s v="ORD-10794"/>
    <x v="364"/>
    <d v="2024-04-04T00:00:00"/>
    <x v="0"/>
    <x v="0"/>
    <x v="0"/>
    <x v="1"/>
    <x v="1"/>
    <n v="8"/>
    <n v="26.73"/>
    <n v="8"/>
    <n v="117"/>
    <n v="13.1"/>
    <x v="0"/>
    <n v="5"/>
    <n v="213.84"/>
    <n v="221.84"/>
    <x v="0"/>
  </r>
  <r>
    <s v="ORD-10795"/>
    <x v="364"/>
    <d v="2024-04-09T00:00:00"/>
    <x v="14"/>
    <x v="4"/>
    <x v="4"/>
    <x v="2"/>
    <x v="1"/>
    <n v="3"/>
    <n v="45.6"/>
    <n v="12"/>
    <n v="63"/>
    <n v="55.56"/>
    <x v="2"/>
    <n v="10"/>
    <n v="136.80000000000001"/>
    <n v="148.80000000000001"/>
    <x v="0"/>
  </r>
  <r>
    <s v="ORD-10796"/>
    <x v="364"/>
    <d v="2024-04-04T00:00:00"/>
    <x v="2"/>
    <x v="1"/>
    <x v="1"/>
    <x v="2"/>
    <x v="3"/>
    <n v="3"/>
    <n v="83.07"/>
    <n v="18"/>
    <n v="206"/>
    <n v="90.68"/>
    <x v="0"/>
    <n v="5"/>
    <n v="249.20999999999998"/>
    <n v="267.20999999999998"/>
    <x v="0"/>
  </r>
  <r>
    <s v="ORD-10797"/>
    <x v="364"/>
    <d v="2024-04-09T00:00:00"/>
    <x v="2"/>
    <x v="1"/>
    <x v="1"/>
    <x v="2"/>
    <x v="1"/>
    <n v="2"/>
    <n v="43.07"/>
    <n v="12"/>
    <n v="47"/>
    <n v="28.46"/>
    <x v="2"/>
    <n v="10"/>
    <n v="86.14"/>
    <n v="98.14"/>
    <x v="1"/>
  </r>
  <r>
    <s v="ORD-10798"/>
    <x v="364"/>
    <d v="2024-04-04T00:00:00"/>
    <x v="7"/>
    <x v="1"/>
    <x v="1"/>
    <x v="2"/>
    <x v="3"/>
    <n v="4"/>
    <n v="38.68"/>
    <n v="18"/>
    <n v="166"/>
    <n v="52.89"/>
    <x v="0"/>
    <n v="5"/>
    <n v="154.72"/>
    <n v="172.72"/>
    <x v="0"/>
  </r>
  <r>
    <s v="ORD-10799"/>
    <x v="365"/>
    <d v="2024-04-05T00:00:00"/>
    <x v="14"/>
    <x v="4"/>
    <x v="4"/>
    <x v="1"/>
    <x v="2"/>
    <n v="4"/>
    <n v="63.8"/>
    <n v="12"/>
    <n v="41"/>
    <n v="108.84"/>
    <x v="0"/>
    <n v="5"/>
    <n v="255.2"/>
    <n v="267.2"/>
    <x v="1"/>
  </r>
  <r>
    <s v="ORD-10800"/>
    <x v="365"/>
    <d v="2024-04-04T00:00:00"/>
    <x v="0"/>
    <x v="0"/>
    <x v="0"/>
    <x v="2"/>
    <x v="0"/>
    <n v="14"/>
    <n v="20.55"/>
    <n v="8"/>
    <n v="255"/>
    <n v="-43.16"/>
    <x v="0"/>
    <n v="4"/>
    <n v="287.7"/>
    <n v="295.7"/>
    <x v="0"/>
  </r>
  <r>
    <s v="ORD-10801"/>
    <x v="365"/>
    <d v="2024-04-03T00:00:00"/>
    <x v="3"/>
    <x v="1"/>
    <x v="1"/>
    <x v="2"/>
    <x v="3"/>
    <n v="4"/>
    <n v="50.84"/>
    <n v="18"/>
    <n v="110"/>
    <n v="72.349999999999994"/>
    <x v="0"/>
    <n v="3"/>
    <n v="203.36"/>
    <n v="221.36"/>
    <x v="0"/>
  </r>
  <r>
    <s v="ORD-10802"/>
    <x v="366"/>
    <d v="2024-04-02T00:00:00"/>
    <x v="0"/>
    <x v="0"/>
    <x v="0"/>
    <x v="2"/>
    <x v="3"/>
    <n v="7"/>
    <n v="39.71"/>
    <n v="12"/>
    <n v="184"/>
    <n v="16.239999999999998"/>
    <x v="0"/>
    <n v="1"/>
    <n v="277.97000000000003"/>
    <n v="289.97000000000003"/>
    <x v="0"/>
  </r>
  <r>
    <s v="ORD-10803"/>
    <x v="366"/>
    <d v="2024-04-03T00:00:00"/>
    <x v="1"/>
    <x v="0"/>
    <x v="0"/>
    <x v="0"/>
    <x v="1"/>
    <n v="7"/>
    <n v="44.63"/>
    <n v="8"/>
    <n v="171"/>
    <n v="20.99"/>
    <x v="0"/>
    <n v="2"/>
    <n v="312.41000000000003"/>
    <n v="320.41000000000003"/>
    <x v="0"/>
  </r>
  <r>
    <s v="ORD-10804"/>
    <x v="366"/>
    <d v="2024-04-06T00:00:00"/>
    <x v="9"/>
    <x v="2"/>
    <x v="2"/>
    <x v="2"/>
    <x v="3"/>
    <n v="2"/>
    <n v="492.83"/>
    <n v="112.5"/>
    <n v="62"/>
    <n v="140.88"/>
    <x v="0"/>
    <n v="5"/>
    <n v="985.66"/>
    <n v="1098.1599999999999"/>
    <x v="0"/>
  </r>
  <r>
    <s v="ORD-10805"/>
    <x v="367"/>
    <d v="2024-04-12T00:00:00"/>
    <x v="7"/>
    <x v="1"/>
    <x v="1"/>
    <x v="2"/>
    <x v="0"/>
    <n v="3"/>
    <n v="27.01"/>
    <n v="12"/>
    <n v="327"/>
    <n v="-12.15"/>
    <x v="2"/>
    <n v="9"/>
    <n v="81.03"/>
    <n v="93.03"/>
    <x v="0"/>
  </r>
  <r>
    <s v="ORD-10806"/>
    <x v="367"/>
    <d v="2024-04-07T00:00:00"/>
    <x v="15"/>
    <x v="4"/>
    <x v="4"/>
    <x v="0"/>
    <x v="1"/>
    <n v="4"/>
    <n v="121.05"/>
    <n v="12"/>
    <n v="86"/>
    <n v="211.89"/>
    <x v="0"/>
    <n v="4"/>
    <n v="484.2"/>
    <n v="496.2"/>
    <x v="0"/>
  </r>
  <r>
    <s v="ORD-10807"/>
    <x v="367"/>
    <d v="2024-04-20T00:00:00"/>
    <x v="4"/>
    <x v="2"/>
    <x v="2"/>
    <x v="2"/>
    <x v="1"/>
    <n v="1"/>
    <n v="107.84"/>
    <n v="75"/>
    <n v="178"/>
    <n v="-15.93"/>
    <x v="1"/>
    <n v="17"/>
    <n v="107.84"/>
    <n v="182.84"/>
    <x v="0"/>
  </r>
  <r>
    <s v="ORD-10808"/>
    <x v="368"/>
    <d v="2024-04-08T00:00:00"/>
    <x v="0"/>
    <x v="0"/>
    <x v="0"/>
    <x v="0"/>
    <x v="1"/>
    <n v="5"/>
    <n v="25.94"/>
    <n v="8"/>
    <n v="78"/>
    <n v="6.38"/>
    <x v="0"/>
    <n v="4"/>
    <n v="129.70000000000002"/>
    <n v="137.70000000000002"/>
    <x v="0"/>
  </r>
  <r>
    <s v="ORD-10809"/>
    <x v="368"/>
    <d v="2024-04-15T00:00:00"/>
    <x v="2"/>
    <x v="1"/>
    <x v="1"/>
    <x v="2"/>
    <x v="1"/>
    <n v="4"/>
    <n v="49.98"/>
    <n v="12"/>
    <n v="241"/>
    <n v="73.97"/>
    <x v="1"/>
    <n v="11"/>
    <n v="199.92"/>
    <n v="211.92"/>
    <x v="0"/>
  </r>
  <r>
    <s v="ORD-10810"/>
    <x v="368"/>
    <d v="2024-04-05T00:00:00"/>
    <x v="0"/>
    <x v="0"/>
    <x v="0"/>
    <x v="1"/>
    <x v="1"/>
    <n v="9"/>
    <n v="14.68"/>
    <n v="8"/>
    <n v="35"/>
    <n v="6.57"/>
    <x v="0"/>
    <n v="1"/>
    <n v="132.12"/>
    <n v="140.12"/>
    <x v="1"/>
  </r>
  <r>
    <s v="ORD-10811"/>
    <x v="368"/>
    <d v="2024-04-17T00:00:00"/>
    <x v="7"/>
    <x v="1"/>
    <x v="1"/>
    <x v="2"/>
    <x v="1"/>
    <n v="2"/>
    <n v="82.87"/>
    <n v="12"/>
    <n v="230"/>
    <n v="60.3"/>
    <x v="1"/>
    <n v="13"/>
    <n v="165.74"/>
    <n v="177.74"/>
    <x v="0"/>
  </r>
  <r>
    <s v="ORD-10812"/>
    <x v="368"/>
    <d v="2024-04-11T00:00:00"/>
    <x v="15"/>
    <x v="4"/>
    <x v="4"/>
    <x v="2"/>
    <x v="1"/>
    <n v="2"/>
    <n v="119.82"/>
    <n v="12"/>
    <n v="320"/>
    <n v="101.84"/>
    <x v="2"/>
    <n v="7"/>
    <n v="239.64"/>
    <n v="251.64"/>
    <x v="0"/>
  </r>
  <r>
    <s v="ORD-10813"/>
    <x v="369"/>
    <d v="2024-04-07T00:00:00"/>
    <x v="4"/>
    <x v="2"/>
    <x v="2"/>
    <x v="2"/>
    <x v="3"/>
    <n v="1"/>
    <n v="330.82"/>
    <n v="112.5"/>
    <n v="43"/>
    <n v="9.91"/>
    <x v="0"/>
    <n v="2"/>
    <n v="330.82"/>
    <n v="443.32"/>
    <x v="1"/>
  </r>
  <r>
    <s v="ORD-10814"/>
    <x v="370"/>
    <d v="2024-04-09T00:00:00"/>
    <x v="9"/>
    <x v="2"/>
    <x v="2"/>
    <x v="0"/>
    <x v="0"/>
    <n v="2"/>
    <n v="237.22"/>
    <n v="75"/>
    <n v="185"/>
    <n v="57.39"/>
    <x v="0"/>
    <n v="2"/>
    <n v="474.44"/>
    <n v="549.44000000000005"/>
    <x v="0"/>
  </r>
  <r>
    <s v="ORD-10815"/>
    <x v="370"/>
    <d v="2024-04-12T00:00:00"/>
    <x v="14"/>
    <x v="4"/>
    <x v="4"/>
    <x v="2"/>
    <x v="3"/>
    <n v="5"/>
    <n v="123.78"/>
    <n v="18"/>
    <n v="135"/>
    <n v="269.5"/>
    <x v="0"/>
    <n v="5"/>
    <n v="618.9"/>
    <n v="636.9"/>
    <x v="0"/>
  </r>
  <r>
    <s v="ORD-10816"/>
    <x v="371"/>
    <d v="2024-04-15T00:00:00"/>
    <x v="12"/>
    <x v="3"/>
    <x v="3"/>
    <x v="2"/>
    <x v="2"/>
    <n v="2"/>
    <n v="1133.1099999999999"/>
    <n v="25"/>
    <n v="51"/>
    <n v="780.68"/>
    <x v="2"/>
    <n v="7"/>
    <n v="2266.2199999999998"/>
    <n v="2291.2199999999998"/>
    <x v="0"/>
  </r>
  <r>
    <s v="ORD-10817"/>
    <x v="372"/>
    <d v="2024-04-10T00:00:00"/>
    <x v="3"/>
    <x v="1"/>
    <x v="1"/>
    <x v="2"/>
    <x v="3"/>
    <n v="5"/>
    <n v="36.159999999999997"/>
    <n v="18"/>
    <n v="239"/>
    <n v="63.33"/>
    <x v="0"/>
    <n v="1"/>
    <n v="180.79999999999998"/>
    <n v="198.79999999999998"/>
    <x v="0"/>
  </r>
  <r>
    <s v="ORD-10818"/>
    <x v="373"/>
    <d v="2024-04-13T00:00:00"/>
    <x v="5"/>
    <x v="3"/>
    <x v="3"/>
    <x v="2"/>
    <x v="2"/>
    <n v="3"/>
    <n v="1024.18"/>
    <n v="25"/>
    <n v="338"/>
    <n v="1062.8900000000001"/>
    <x v="0"/>
    <n v="3"/>
    <n v="3072.54"/>
    <n v="3097.54"/>
    <x v="0"/>
  </r>
  <r>
    <s v="ORD-10819"/>
    <x v="374"/>
    <d v="2024-04-14T00:00:00"/>
    <x v="0"/>
    <x v="0"/>
    <x v="0"/>
    <x v="1"/>
    <x v="1"/>
    <n v="6"/>
    <n v="18.97"/>
    <n v="8"/>
    <n v="78"/>
    <n v="-17.07"/>
    <x v="0"/>
    <n v="3"/>
    <n v="113.82"/>
    <n v="121.82"/>
    <x v="0"/>
  </r>
  <r>
    <s v="ORD-10820"/>
    <x v="374"/>
    <d v="2024-04-27T00:00:00"/>
    <x v="12"/>
    <x v="3"/>
    <x v="3"/>
    <x v="2"/>
    <x v="3"/>
    <n v="1"/>
    <n v="1017.41"/>
    <n v="37.5"/>
    <n v="308"/>
    <n v="337.34"/>
    <x v="1"/>
    <n v="16"/>
    <n v="1017.41"/>
    <n v="1054.9099999999999"/>
    <x v="0"/>
  </r>
  <r>
    <s v="ORD-10821"/>
    <x v="374"/>
    <d v="2024-04-26T00:00:00"/>
    <x v="11"/>
    <x v="3"/>
    <x v="3"/>
    <x v="2"/>
    <x v="3"/>
    <n v="2"/>
    <n v="299.66000000000003"/>
    <n v="37.5"/>
    <n v="114"/>
    <n v="191.02"/>
    <x v="1"/>
    <n v="15"/>
    <n v="599.32000000000005"/>
    <n v="636.82000000000005"/>
    <x v="0"/>
  </r>
  <r>
    <s v="ORD-10822"/>
    <x v="374"/>
    <d v="2024-04-14T00:00:00"/>
    <x v="2"/>
    <x v="1"/>
    <x v="1"/>
    <x v="0"/>
    <x v="3"/>
    <n v="1"/>
    <n v="142.63999999999999"/>
    <n v="18"/>
    <n v="145"/>
    <n v="48.06"/>
    <x v="0"/>
    <n v="3"/>
    <n v="142.63999999999999"/>
    <n v="160.63999999999999"/>
    <x v="0"/>
  </r>
  <r>
    <s v="ORD-10823"/>
    <x v="375"/>
    <d v="2024-04-14T00:00:00"/>
    <x v="5"/>
    <x v="3"/>
    <x v="3"/>
    <x v="1"/>
    <x v="0"/>
    <n v="1"/>
    <n v="838"/>
    <n v="25"/>
    <n v="69"/>
    <n v="280.8"/>
    <x v="0"/>
    <n v="2"/>
    <n v="838"/>
    <n v="863"/>
    <x v="0"/>
  </r>
  <r>
    <s v="ORD-10824"/>
    <x v="376"/>
    <d v="2024-04-17T00:00:00"/>
    <x v="11"/>
    <x v="3"/>
    <x v="3"/>
    <x v="2"/>
    <x v="3"/>
    <n v="3"/>
    <n v="283.8"/>
    <n v="37.5"/>
    <n v="80"/>
    <n v="279.24"/>
    <x v="0"/>
    <n v="4"/>
    <n v="851.40000000000009"/>
    <n v="888.90000000000009"/>
    <x v="0"/>
  </r>
  <r>
    <s v="ORD-10825"/>
    <x v="377"/>
    <d v="2024-04-15T00:00:00"/>
    <x v="7"/>
    <x v="1"/>
    <x v="1"/>
    <x v="1"/>
    <x v="0"/>
    <n v="1"/>
    <n v="99.98"/>
    <n v="12"/>
    <n v="269"/>
    <n v="33.99"/>
    <x v="0"/>
    <n v="1"/>
    <n v="99.98"/>
    <n v="111.98"/>
    <x v="0"/>
  </r>
  <r>
    <s v="ORD-10826"/>
    <x v="377"/>
    <d v="2024-04-18T00:00:00"/>
    <x v="11"/>
    <x v="3"/>
    <x v="3"/>
    <x v="0"/>
    <x v="2"/>
    <n v="2"/>
    <n v="927.1"/>
    <n v="25"/>
    <n v="325"/>
    <n v="636.47"/>
    <x v="0"/>
    <n v="4"/>
    <n v="1854.2"/>
    <n v="1879.2"/>
    <x v="0"/>
  </r>
  <r>
    <s v="ORD-10827"/>
    <x v="378"/>
    <d v="2024-04-20T00:00:00"/>
    <x v="5"/>
    <x v="3"/>
    <x v="3"/>
    <x v="0"/>
    <x v="2"/>
    <n v="1"/>
    <n v="955.79"/>
    <n v="25"/>
    <n v="41"/>
    <n v="322.02999999999997"/>
    <x v="0"/>
    <n v="5"/>
    <n v="955.79"/>
    <n v="980.79"/>
    <x v="1"/>
  </r>
  <r>
    <s v="ORD-10828"/>
    <x v="378"/>
    <d v="2024-04-20T00:00:00"/>
    <x v="14"/>
    <x v="4"/>
    <x v="4"/>
    <x v="1"/>
    <x v="1"/>
    <n v="4"/>
    <n v="51.95"/>
    <n v="12"/>
    <n v="337"/>
    <n v="87.51"/>
    <x v="0"/>
    <n v="5"/>
    <n v="207.8"/>
    <n v="219.8"/>
    <x v="0"/>
  </r>
  <r>
    <s v="ORD-10829"/>
    <x v="378"/>
    <d v="2024-04-27T00:00:00"/>
    <x v="12"/>
    <x v="3"/>
    <x v="3"/>
    <x v="2"/>
    <x v="1"/>
    <n v="2"/>
    <n v="1075.1199999999999"/>
    <n v="25"/>
    <n v="152"/>
    <n v="740.08"/>
    <x v="1"/>
    <n v="12"/>
    <n v="2150.2399999999998"/>
    <n v="2175.2399999999998"/>
    <x v="0"/>
  </r>
  <r>
    <s v="ORD-10830"/>
    <x v="379"/>
    <d v="2024-04-22T00:00:00"/>
    <x v="4"/>
    <x v="2"/>
    <x v="2"/>
    <x v="0"/>
    <x v="0"/>
    <n v="1"/>
    <n v="104.66"/>
    <n v="75"/>
    <n v="132"/>
    <n v="-16.57"/>
    <x v="0"/>
    <n v="5"/>
    <n v="104.66"/>
    <n v="179.66"/>
    <x v="0"/>
  </r>
  <r>
    <s v="ORD-10831"/>
    <x v="380"/>
    <d v="2024-04-23T00:00:00"/>
    <x v="7"/>
    <x v="1"/>
    <x v="1"/>
    <x v="2"/>
    <x v="3"/>
    <n v="5"/>
    <n v="35.14"/>
    <n v="18"/>
    <n v="329"/>
    <n v="61.28"/>
    <x v="0"/>
    <n v="5"/>
    <n v="175.7"/>
    <n v="193.7"/>
    <x v="0"/>
  </r>
  <r>
    <s v="ORD-10832"/>
    <x v="380"/>
    <d v="2024-04-20T00:00:00"/>
    <x v="7"/>
    <x v="1"/>
    <x v="1"/>
    <x v="2"/>
    <x v="3"/>
    <n v="5"/>
    <n v="68.430000000000007"/>
    <n v="18"/>
    <n v="236"/>
    <n v="127.86"/>
    <x v="0"/>
    <n v="2"/>
    <n v="342.15000000000003"/>
    <n v="360.15000000000003"/>
    <x v="0"/>
  </r>
  <r>
    <s v="ORD-10833"/>
    <x v="380"/>
    <d v="2024-04-23T00:00:00"/>
    <x v="6"/>
    <x v="3"/>
    <x v="3"/>
    <x v="2"/>
    <x v="1"/>
    <n v="2"/>
    <n v="1142.6099999999999"/>
    <n v="25"/>
    <n v="198"/>
    <n v="787.33"/>
    <x v="0"/>
    <n v="5"/>
    <n v="2285.2199999999998"/>
    <n v="2310.2199999999998"/>
    <x v="0"/>
  </r>
  <r>
    <s v="ORD-10834"/>
    <x v="381"/>
    <d v="2024-04-23T00:00:00"/>
    <x v="0"/>
    <x v="0"/>
    <x v="0"/>
    <x v="0"/>
    <x v="3"/>
    <n v="8"/>
    <n v="49.11"/>
    <n v="12"/>
    <n v="98"/>
    <n v="25.43"/>
    <x v="0"/>
    <n v="4"/>
    <n v="392.88"/>
    <n v="404.88"/>
    <x v="0"/>
  </r>
  <r>
    <s v="ORD-10835"/>
    <x v="381"/>
    <d v="2024-04-26T00:00:00"/>
    <x v="1"/>
    <x v="0"/>
    <x v="0"/>
    <x v="2"/>
    <x v="0"/>
    <n v="5"/>
    <n v="23.62"/>
    <n v="8"/>
    <n v="4"/>
    <n v="5.45"/>
    <x v="2"/>
    <n v="7"/>
    <n v="118.10000000000001"/>
    <n v="126.10000000000001"/>
    <x v="2"/>
  </r>
  <r>
    <s v="ORD-10836"/>
    <x v="382"/>
    <d v="2024-04-23T00:00:00"/>
    <x v="6"/>
    <x v="3"/>
    <x v="3"/>
    <x v="2"/>
    <x v="3"/>
    <n v="2"/>
    <n v="970.48"/>
    <n v="37.5"/>
    <n v="129"/>
    <n v="660.59"/>
    <x v="0"/>
    <n v="3"/>
    <n v="1940.96"/>
    <n v="1978.46"/>
    <x v="0"/>
  </r>
  <r>
    <s v="ORD-10837"/>
    <x v="382"/>
    <d v="2024-04-25T00:00:00"/>
    <x v="4"/>
    <x v="2"/>
    <x v="2"/>
    <x v="1"/>
    <x v="2"/>
    <n v="1"/>
    <n v="307.06"/>
    <n v="75"/>
    <n v="267"/>
    <n v="23.91"/>
    <x v="0"/>
    <n v="5"/>
    <n v="307.06"/>
    <n v="382.06"/>
    <x v="0"/>
  </r>
  <r>
    <s v="ORD-10838"/>
    <x v="382"/>
    <d v="2024-04-21T00:00:00"/>
    <x v="6"/>
    <x v="3"/>
    <x v="3"/>
    <x v="2"/>
    <x v="3"/>
    <n v="2"/>
    <n v="1033.27"/>
    <n v="37.5"/>
    <n v="265"/>
    <n v="704.54"/>
    <x v="0"/>
    <n v="1"/>
    <n v="2066.54"/>
    <n v="2104.04"/>
    <x v="0"/>
  </r>
  <r>
    <s v="ORD-10839"/>
    <x v="383"/>
    <d v="2024-04-23T00:00:00"/>
    <x v="0"/>
    <x v="0"/>
    <x v="0"/>
    <x v="2"/>
    <x v="2"/>
    <n v="6"/>
    <n v="49.04"/>
    <n v="8"/>
    <n v="329"/>
    <n v="19.54"/>
    <x v="0"/>
    <n v="2"/>
    <n v="294.24"/>
    <n v="302.24"/>
    <x v="0"/>
  </r>
  <r>
    <s v="ORD-10840"/>
    <x v="383"/>
    <d v="2024-04-24T00:00:00"/>
    <x v="7"/>
    <x v="1"/>
    <x v="1"/>
    <x v="2"/>
    <x v="2"/>
    <n v="1"/>
    <n v="34.51"/>
    <n v="12"/>
    <n v="371"/>
    <n v="7.8"/>
    <x v="0"/>
    <n v="3"/>
    <n v="34.51"/>
    <n v="46.51"/>
    <x v="0"/>
  </r>
  <r>
    <s v="ORD-10841"/>
    <x v="384"/>
    <d v="2024-04-24T00:00:00"/>
    <x v="15"/>
    <x v="4"/>
    <x v="4"/>
    <x v="1"/>
    <x v="1"/>
    <n v="5"/>
    <n v="52.94"/>
    <n v="12"/>
    <n v="284"/>
    <n v="113.12"/>
    <x v="0"/>
    <n v="2"/>
    <n v="264.7"/>
    <n v="276.7"/>
    <x v="0"/>
  </r>
  <r>
    <s v="ORD-10842"/>
    <x v="384"/>
    <d v="2024-04-23T00:00:00"/>
    <x v="8"/>
    <x v="2"/>
    <x v="2"/>
    <x v="1"/>
    <x v="0"/>
    <n v="2"/>
    <n v="364.05"/>
    <n v="75"/>
    <n v="287"/>
    <n v="108.12"/>
    <x v="0"/>
    <n v="1"/>
    <n v="728.1"/>
    <n v="803.1"/>
    <x v="0"/>
  </r>
  <r>
    <s v="ORD-10843"/>
    <x v="385"/>
    <d v="2024-04-30T00:00:00"/>
    <x v="5"/>
    <x v="3"/>
    <x v="3"/>
    <x v="2"/>
    <x v="3"/>
    <n v="3"/>
    <n v="947.74"/>
    <n v="37.5"/>
    <n v="396"/>
    <n v="976.38"/>
    <x v="0"/>
    <n v="5"/>
    <n v="2843.2200000000003"/>
    <n v="2880.7200000000003"/>
    <x v="0"/>
  </r>
  <r>
    <s v="ORD-10844"/>
    <x v="386"/>
    <d v="2024-04-30T00:00:00"/>
    <x v="1"/>
    <x v="0"/>
    <x v="0"/>
    <x v="2"/>
    <x v="3"/>
    <n v="14"/>
    <n v="14.08"/>
    <n v="12"/>
    <n v="135"/>
    <n v="9.77"/>
    <x v="0"/>
    <n v="4"/>
    <n v="197.12"/>
    <n v="209.12"/>
    <x v="0"/>
  </r>
  <r>
    <s v="ORD-10845"/>
    <x v="386"/>
    <d v="2024-04-27T00:00:00"/>
    <x v="1"/>
    <x v="0"/>
    <x v="0"/>
    <x v="2"/>
    <x v="0"/>
    <n v="7"/>
    <n v="41.68"/>
    <n v="8"/>
    <n v="1"/>
    <n v="19.34"/>
    <x v="0"/>
    <n v="1"/>
    <n v="291.76"/>
    <n v="299.76"/>
    <x v="2"/>
  </r>
  <r>
    <s v="ORD-10846"/>
    <x v="387"/>
    <d v="2024-05-01T00:00:00"/>
    <x v="3"/>
    <x v="1"/>
    <x v="1"/>
    <x v="1"/>
    <x v="0"/>
    <n v="3"/>
    <n v="88.61"/>
    <n v="12"/>
    <n v="323"/>
    <n v="100.33"/>
    <x v="0"/>
    <n v="4"/>
    <n v="265.83"/>
    <n v="277.83"/>
    <x v="0"/>
  </r>
  <r>
    <s v="ORD-10847"/>
    <x v="387"/>
    <d v="2024-04-28T00:00:00"/>
    <x v="15"/>
    <x v="4"/>
    <x v="4"/>
    <x v="1"/>
    <x v="2"/>
    <n v="1"/>
    <n v="71.7"/>
    <n v="12"/>
    <n v="179"/>
    <n v="26.27"/>
    <x v="0"/>
    <n v="1"/>
    <n v="71.7"/>
    <n v="83.7"/>
    <x v="0"/>
  </r>
  <r>
    <s v="ORD-10848"/>
    <x v="387"/>
    <d v="2024-05-02T00:00:00"/>
    <x v="15"/>
    <x v="4"/>
    <x v="4"/>
    <x v="1"/>
    <x v="1"/>
    <n v="4"/>
    <n v="112.27"/>
    <n v="12"/>
    <n v="87"/>
    <n v="196.1"/>
    <x v="0"/>
    <n v="5"/>
    <n v="449.08"/>
    <n v="461.08"/>
    <x v="0"/>
  </r>
  <r>
    <s v="ORD-10849"/>
    <x v="388"/>
    <d v="2024-04-30T00:00:00"/>
    <x v="1"/>
    <x v="0"/>
    <x v="0"/>
    <x v="2"/>
    <x v="1"/>
    <n v="14"/>
    <n v="33.47"/>
    <n v="8"/>
    <n v="46"/>
    <n v="33.49"/>
    <x v="0"/>
    <n v="2"/>
    <n v="468.58"/>
    <n v="476.58"/>
    <x v="1"/>
  </r>
  <r>
    <s v="ORD-10850"/>
    <x v="389"/>
    <d v="2024-05-04T00:00:00"/>
    <x v="3"/>
    <x v="1"/>
    <x v="1"/>
    <x v="2"/>
    <x v="1"/>
    <n v="3"/>
    <n v="42.13"/>
    <n v="12"/>
    <n v="380"/>
    <n v="44.56"/>
    <x v="0"/>
    <n v="5"/>
    <n v="126.39000000000001"/>
    <n v="138.39000000000001"/>
    <x v="0"/>
  </r>
  <r>
    <s v="ORD-10851"/>
    <x v="389"/>
    <d v="2024-05-04T00:00:00"/>
    <x v="3"/>
    <x v="1"/>
    <x v="1"/>
    <x v="2"/>
    <x v="0"/>
    <n v="4"/>
    <n v="126.38"/>
    <n v="12"/>
    <n v="350"/>
    <n v="196.21"/>
    <x v="0"/>
    <n v="5"/>
    <n v="505.52"/>
    <n v="517.52"/>
    <x v="0"/>
  </r>
  <r>
    <s v="ORD-10852"/>
    <x v="389"/>
    <d v="2024-05-03T00:00:00"/>
    <x v="1"/>
    <x v="0"/>
    <x v="0"/>
    <x v="0"/>
    <x v="1"/>
    <n v="6"/>
    <n v="46.36"/>
    <n v="8"/>
    <n v="292"/>
    <n v="18.25"/>
    <x v="0"/>
    <n v="4"/>
    <n v="278.15999999999997"/>
    <n v="286.15999999999997"/>
    <x v="0"/>
  </r>
  <r>
    <s v="ORD-10853"/>
    <x v="390"/>
    <d v="2024-05-06T00:00:00"/>
    <x v="2"/>
    <x v="1"/>
    <x v="1"/>
    <x v="2"/>
    <x v="3"/>
    <n v="4"/>
    <n v="37.17"/>
    <n v="18"/>
    <n v="43"/>
    <n v="50.47"/>
    <x v="0"/>
    <n v="4"/>
    <n v="148.68"/>
    <n v="166.68"/>
    <x v="1"/>
  </r>
  <r>
    <s v="ORD-10854"/>
    <x v="390"/>
    <d v="2024-05-03T00:00:00"/>
    <x v="1"/>
    <x v="0"/>
    <x v="0"/>
    <x v="0"/>
    <x v="1"/>
    <n v="12"/>
    <n v="33.61"/>
    <n v="8"/>
    <n v="8"/>
    <n v="-60.5"/>
    <x v="0"/>
    <n v="1"/>
    <n v="403.32"/>
    <n v="411.32"/>
    <x v="2"/>
  </r>
  <r>
    <s v="ORD-10855"/>
    <x v="390"/>
    <d v="2024-05-03T00:00:00"/>
    <x v="12"/>
    <x v="3"/>
    <x v="3"/>
    <x v="2"/>
    <x v="1"/>
    <n v="3"/>
    <n v="920.89"/>
    <n v="25"/>
    <n v="352"/>
    <n v="954.44"/>
    <x v="0"/>
    <n v="1"/>
    <n v="2762.67"/>
    <n v="2787.67"/>
    <x v="0"/>
  </r>
  <r>
    <s v="ORD-10856"/>
    <x v="391"/>
    <d v="2024-05-07T00:00:00"/>
    <x v="14"/>
    <x v="4"/>
    <x v="4"/>
    <x v="0"/>
    <x v="3"/>
    <n v="3"/>
    <n v="128.84"/>
    <n v="18"/>
    <n v="337"/>
    <n v="164.93"/>
    <x v="0"/>
    <n v="4"/>
    <n v="386.52"/>
    <n v="404.52"/>
    <x v="0"/>
  </r>
  <r>
    <s v="ORD-10857"/>
    <x v="391"/>
    <d v="2024-05-06T00:00:00"/>
    <x v="6"/>
    <x v="3"/>
    <x v="3"/>
    <x v="2"/>
    <x v="0"/>
    <n v="2"/>
    <n v="1076.8399999999999"/>
    <n v="25"/>
    <n v="225"/>
    <n v="741.29"/>
    <x v="0"/>
    <n v="3"/>
    <n v="2153.6799999999998"/>
    <n v="2178.6799999999998"/>
    <x v="0"/>
  </r>
  <r>
    <s v="ORD-10858"/>
    <x v="391"/>
    <d v="2024-05-15T00:00:00"/>
    <x v="6"/>
    <x v="3"/>
    <x v="3"/>
    <x v="2"/>
    <x v="1"/>
    <n v="2"/>
    <n v="575.38"/>
    <n v="25"/>
    <n v="374"/>
    <n v="390.26"/>
    <x v="1"/>
    <n v="12"/>
    <n v="1150.76"/>
    <n v="1175.76"/>
    <x v="0"/>
  </r>
  <r>
    <s v="ORD-10859"/>
    <x v="392"/>
    <d v="2024-05-16T00:00:00"/>
    <x v="2"/>
    <x v="1"/>
    <x v="1"/>
    <x v="2"/>
    <x v="2"/>
    <n v="2"/>
    <n v="102.49"/>
    <n v="12"/>
    <n v="52"/>
    <n v="75.989999999999995"/>
    <x v="1"/>
    <n v="12"/>
    <n v="204.98"/>
    <n v="216.98"/>
    <x v="0"/>
  </r>
  <r>
    <s v="ORD-10860"/>
    <x v="392"/>
    <d v="2024-05-07T00:00:00"/>
    <x v="3"/>
    <x v="1"/>
    <x v="1"/>
    <x v="1"/>
    <x v="0"/>
    <n v="3"/>
    <n v="78.290000000000006"/>
    <n v="12"/>
    <n v="381"/>
    <n v="87.94"/>
    <x v="0"/>
    <n v="3"/>
    <n v="234.87"/>
    <n v="246.87"/>
    <x v="0"/>
  </r>
  <r>
    <s v="ORD-10861"/>
    <x v="392"/>
    <d v="2024-05-08T00:00:00"/>
    <x v="5"/>
    <x v="3"/>
    <x v="3"/>
    <x v="1"/>
    <x v="2"/>
    <n v="2"/>
    <n v="997.52"/>
    <n v="25"/>
    <n v="371"/>
    <n v="685.76"/>
    <x v="0"/>
    <n v="4"/>
    <n v="1995.04"/>
    <n v="2020.04"/>
    <x v="0"/>
  </r>
  <r>
    <s v="ORD-10862"/>
    <x v="393"/>
    <d v="2024-05-16T00:00:00"/>
    <x v="12"/>
    <x v="3"/>
    <x v="3"/>
    <x v="2"/>
    <x v="0"/>
    <n v="3"/>
    <n v="1041.04"/>
    <n v="25"/>
    <n v="165"/>
    <n v="1080.5999999999999"/>
    <x v="1"/>
    <n v="11"/>
    <n v="3123.12"/>
    <n v="3148.12"/>
    <x v="0"/>
  </r>
  <r>
    <s v="ORD-10863"/>
    <x v="394"/>
    <d v="2024-05-09T00:00:00"/>
    <x v="11"/>
    <x v="3"/>
    <x v="3"/>
    <x v="2"/>
    <x v="3"/>
    <n v="3"/>
    <n v="916.98"/>
    <n v="37.5"/>
    <n v="49"/>
    <n v="944.08"/>
    <x v="0"/>
    <n v="3"/>
    <n v="2750.94"/>
    <n v="2788.44"/>
    <x v="1"/>
  </r>
  <r>
    <s v="ORD-10864"/>
    <x v="394"/>
    <d v="2024-05-23T00:00:00"/>
    <x v="4"/>
    <x v="2"/>
    <x v="2"/>
    <x v="2"/>
    <x v="2"/>
    <n v="1"/>
    <n v="408.9"/>
    <n v="75"/>
    <n v="139"/>
    <n v="44.28"/>
    <x v="1"/>
    <n v="17"/>
    <n v="408.9"/>
    <n v="483.9"/>
    <x v="0"/>
  </r>
  <r>
    <s v="ORD-10865"/>
    <x v="395"/>
    <d v="2024-05-12T00:00:00"/>
    <x v="3"/>
    <x v="1"/>
    <x v="1"/>
    <x v="2"/>
    <x v="2"/>
    <n v="5"/>
    <n v="48.55"/>
    <n v="12"/>
    <n v="35"/>
    <n v="91.1"/>
    <x v="0"/>
    <n v="5"/>
    <n v="242.75"/>
    <n v="254.75"/>
    <x v="1"/>
  </r>
  <r>
    <s v="ORD-10866"/>
    <x v="395"/>
    <d v="2024-05-08T00:00:00"/>
    <x v="13"/>
    <x v="4"/>
    <x v="4"/>
    <x v="0"/>
    <x v="1"/>
    <n v="5"/>
    <n v="149.57"/>
    <n v="12"/>
    <n v="376"/>
    <n v="330.53"/>
    <x v="0"/>
    <n v="1"/>
    <n v="747.84999999999991"/>
    <n v="759.84999999999991"/>
    <x v="0"/>
  </r>
  <r>
    <s v="ORD-10867"/>
    <x v="395"/>
    <d v="2024-05-12T00:00:00"/>
    <x v="15"/>
    <x v="4"/>
    <x v="4"/>
    <x v="0"/>
    <x v="2"/>
    <n v="2"/>
    <n v="99.21"/>
    <n v="12"/>
    <n v="133"/>
    <n v="83.29"/>
    <x v="0"/>
    <n v="5"/>
    <n v="198.42"/>
    <n v="210.42"/>
    <x v="0"/>
  </r>
  <r>
    <s v="ORD-10868"/>
    <x v="396"/>
    <d v="2024-05-11T00:00:00"/>
    <x v="14"/>
    <x v="4"/>
    <x v="4"/>
    <x v="0"/>
    <x v="0"/>
    <n v="1"/>
    <n v="77.819999999999993"/>
    <n v="12"/>
    <n v="345"/>
    <n v="29.02"/>
    <x v="0"/>
    <n v="3"/>
    <n v="77.819999999999993"/>
    <n v="89.82"/>
    <x v="0"/>
  </r>
  <r>
    <s v="ORD-10869"/>
    <x v="396"/>
    <d v="2024-05-10T00:00:00"/>
    <x v="13"/>
    <x v="4"/>
    <x v="4"/>
    <x v="2"/>
    <x v="3"/>
    <n v="3"/>
    <n v="53.62"/>
    <n v="18"/>
    <n v="120"/>
    <n v="63.39"/>
    <x v="0"/>
    <n v="2"/>
    <n v="160.85999999999999"/>
    <n v="178.85999999999999"/>
    <x v="0"/>
  </r>
  <r>
    <s v="ORD-10870"/>
    <x v="396"/>
    <d v="2024-05-13T00:00:00"/>
    <x v="15"/>
    <x v="4"/>
    <x v="4"/>
    <x v="0"/>
    <x v="0"/>
    <n v="1"/>
    <n v="112.66"/>
    <n v="12"/>
    <n v="199"/>
    <n v="44.7"/>
    <x v="0"/>
    <n v="5"/>
    <n v="112.66"/>
    <n v="124.66"/>
    <x v="0"/>
  </r>
  <r>
    <s v="ORD-10871"/>
    <x v="397"/>
    <d v="2024-05-11T00:00:00"/>
    <x v="2"/>
    <x v="1"/>
    <x v="1"/>
    <x v="1"/>
    <x v="1"/>
    <n v="2"/>
    <n v="114.3"/>
    <n v="12"/>
    <n v="291"/>
    <n v="85.44"/>
    <x v="0"/>
    <n v="2"/>
    <n v="228.6"/>
    <n v="240.6"/>
    <x v="0"/>
  </r>
  <r>
    <s v="ORD-10872"/>
    <x v="398"/>
    <d v="2024-05-12T00:00:00"/>
    <x v="14"/>
    <x v="4"/>
    <x v="4"/>
    <x v="2"/>
    <x v="0"/>
    <n v="3"/>
    <n v="147.06"/>
    <n v="12"/>
    <n v="161"/>
    <n v="192.53"/>
    <x v="0"/>
    <n v="1"/>
    <n v="441.18"/>
    <n v="453.18"/>
    <x v="0"/>
  </r>
  <r>
    <s v="ORD-10873"/>
    <x v="398"/>
    <d v="2024-05-16T00:00:00"/>
    <x v="0"/>
    <x v="0"/>
    <x v="0"/>
    <x v="0"/>
    <x v="0"/>
    <n v="9"/>
    <n v="35.31"/>
    <n v="8"/>
    <n v="151"/>
    <n v="21.42"/>
    <x v="0"/>
    <n v="5"/>
    <n v="317.79000000000002"/>
    <n v="325.79000000000002"/>
    <x v="0"/>
  </r>
  <r>
    <s v="ORD-10874"/>
    <x v="398"/>
    <d v="2024-05-12T00:00:00"/>
    <x v="15"/>
    <x v="4"/>
    <x v="4"/>
    <x v="1"/>
    <x v="0"/>
    <n v="3"/>
    <n v="52.65"/>
    <n v="12"/>
    <n v="148"/>
    <n v="65.08"/>
    <x v="0"/>
    <n v="1"/>
    <n v="157.94999999999999"/>
    <n v="169.95"/>
    <x v="0"/>
  </r>
  <r>
    <s v="ORD-10875"/>
    <x v="398"/>
    <d v="2024-05-12T00:00:00"/>
    <x v="1"/>
    <x v="0"/>
    <x v="0"/>
    <x v="1"/>
    <x v="2"/>
    <n v="11"/>
    <n v="19.14"/>
    <n v="8"/>
    <n v="9"/>
    <n v="12.84"/>
    <x v="0"/>
    <n v="1"/>
    <n v="210.54000000000002"/>
    <n v="218.54000000000002"/>
    <x v="2"/>
  </r>
  <r>
    <s v="ORD-10876"/>
    <x v="398"/>
    <d v="2024-05-15T00:00:00"/>
    <x v="0"/>
    <x v="0"/>
    <x v="0"/>
    <x v="0"/>
    <x v="3"/>
    <n v="11"/>
    <n v="17.54"/>
    <n v="12"/>
    <n v="171"/>
    <n v="9.44"/>
    <x v="0"/>
    <n v="4"/>
    <n v="192.94"/>
    <n v="204.94"/>
    <x v="0"/>
  </r>
  <r>
    <s v="ORD-10877"/>
    <x v="399"/>
    <d v="2024-05-26T00:00:00"/>
    <x v="5"/>
    <x v="3"/>
    <x v="3"/>
    <x v="2"/>
    <x v="2"/>
    <n v="2"/>
    <n v="445.3"/>
    <n v="25"/>
    <n v="195"/>
    <n v="299.20999999999998"/>
    <x v="1"/>
    <n v="14"/>
    <n v="890.6"/>
    <n v="915.6"/>
    <x v="0"/>
  </r>
  <r>
    <s v="ORD-10878"/>
    <x v="400"/>
    <d v="2024-05-16T00:00:00"/>
    <x v="3"/>
    <x v="1"/>
    <x v="1"/>
    <x v="1"/>
    <x v="1"/>
    <n v="5"/>
    <n v="139.94"/>
    <n v="12"/>
    <n v="68"/>
    <n v="273.88"/>
    <x v="0"/>
    <n v="3"/>
    <n v="699.7"/>
    <n v="711.7"/>
    <x v="0"/>
  </r>
  <r>
    <s v="ORD-10879"/>
    <x v="400"/>
    <d v="2024-05-16T00:00:00"/>
    <x v="4"/>
    <x v="2"/>
    <x v="2"/>
    <x v="0"/>
    <x v="1"/>
    <n v="2"/>
    <n v="313.95"/>
    <n v="75"/>
    <n v="355"/>
    <n v="88.08"/>
    <x v="0"/>
    <n v="3"/>
    <n v="627.9"/>
    <n v="702.9"/>
    <x v="0"/>
  </r>
  <r>
    <s v="ORD-10880"/>
    <x v="401"/>
    <d v="2024-05-15T00:00:00"/>
    <x v="1"/>
    <x v="0"/>
    <x v="0"/>
    <x v="2"/>
    <x v="3"/>
    <n v="11"/>
    <n v="49.94"/>
    <n v="12"/>
    <n v="378"/>
    <n v="37.950000000000003"/>
    <x v="0"/>
    <n v="1"/>
    <n v="549.33999999999992"/>
    <n v="561.33999999999992"/>
    <x v="0"/>
  </r>
  <r>
    <s v="ORD-10881"/>
    <x v="402"/>
    <d v="2024-05-22T00:00:00"/>
    <x v="7"/>
    <x v="1"/>
    <x v="1"/>
    <x v="2"/>
    <x v="3"/>
    <n v="3"/>
    <n v="109.3"/>
    <n v="18"/>
    <n v="210"/>
    <n v="122.16"/>
    <x v="2"/>
    <n v="7"/>
    <n v="327.9"/>
    <n v="345.9"/>
    <x v="0"/>
  </r>
  <r>
    <s v="ORD-10882"/>
    <x v="403"/>
    <d v="2024-05-29T00:00:00"/>
    <x v="2"/>
    <x v="1"/>
    <x v="1"/>
    <x v="2"/>
    <x v="3"/>
    <n v="4"/>
    <n v="97.56"/>
    <n v="18"/>
    <n v="39"/>
    <n v="147.1"/>
    <x v="1"/>
    <n v="13"/>
    <n v="390.24"/>
    <n v="408.24"/>
    <x v="1"/>
  </r>
  <r>
    <s v="ORD-10883"/>
    <x v="403"/>
    <d v="2024-05-18T00:00:00"/>
    <x v="3"/>
    <x v="1"/>
    <x v="1"/>
    <x v="2"/>
    <x v="3"/>
    <n v="5"/>
    <n v="88.59"/>
    <n v="18"/>
    <n v="331"/>
    <n v="-66.44"/>
    <x v="0"/>
    <n v="2"/>
    <n v="442.95000000000005"/>
    <n v="460.95000000000005"/>
    <x v="0"/>
  </r>
  <r>
    <s v="ORD-10884"/>
    <x v="404"/>
    <d v="2024-05-21T00:00:00"/>
    <x v="7"/>
    <x v="1"/>
    <x v="1"/>
    <x v="0"/>
    <x v="2"/>
    <n v="2"/>
    <n v="101.07"/>
    <n v="12"/>
    <n v="229"/>
    <n v="74.86"/>
    <x v="0"/>
    <n v="4"/>
    <n v="202.14"/>
    <n v="214.14"/>
    <x v="0"/>
  </r>
  <r>
    <s v="ORD-10885"/>
    <x v="404"/>
    <d v="2024-05-21T00:00:00"/>
    <x v="5"/>
    <x v="3"/>
    <x v="3"/>
    <x v="1"/>
    <x v="1"/>
    <n v="1"/>
    <n v="497.49"/>
    <n v="25"/>
    <n v="359"/>
    <n v="161.62"/>
    <x v="0"/>
    <n v="4"/>
    <n v="497.49"/>
    <n v="522.49"/>
    <x v="0"/>
  </r>
  <r>
    <s v="ORD-10886"/>
    <x v="404"/>
    <d v="2024-06-01T00:00:00"/>
    <x v="5"/>
    <x v="3"/>
    <x v="3"/>
    <x v="2"/>
    <x v="1"/>
    <n v="2"/>
    <n v="304.48"/>
    <n v="25"/>
    <n v="359"/>
    <n v="200.64"/>
    <x v="1"/>
    <n v="15"/>
    <n v="608.96"/>
    <n v="633.96"/>
    <x v="0"/>
  </r>
  <r>
    <s v="ORD-10887"/>
    <x v="405"/>
    <d v="2024-05-22T00:00:00"/>
    <x v="2"/>
    <x v="1"/>
    <x v="1"/>
    <x v="2"/>
    <x v="3"/>
    <n v="3"/>
    <n v="78.31"/>
    <n v="18"/>
    <n v="272"/>
    <n v="84.97"/>
    <x v="0"/>
    <n v="4"/>
    <n v="234.93"/>
    <n v="252.93"/>
    <x v="0"/>
  </r>
  <r>
    <s v="ORD-10888"/>
    <x v="405"/>
    <d v="2024-05-22T00:00:00"/>
    <x v="1"/>
    <x v="0"/>
    <x v="0"/>
    <x v="0"/>
    <x v="3"/>
    <n v="9"/>
    <n v="37.35"/>
    <n v="12"/>
    <n v="365"/>
    <n v="20.89"/>
    <x v="0"/>
    <n v="4"/>
    <n v="336.15000000000003"/>
    <n v="348.15000000000003"/>
    <x v="0"/>
  </r>
  <r>
    <s v="ORD-10889"/>
    <x v="406"/>
    <d v="2024-05-20T00:00:00"/>
    <x v="9"/>
    <x v="2"/>
    <x v="2"/>
    <x v="0"/>
    <x v="1"/>
    <n v="1"/>
    <n v="304.87"/>
    <n v="75"/>
    <n v="91"/>
    <n v="23.47"/>
    <x v="0"/>
    <n v="1"/>
    <n v="304.87"/>
    <n v="379.87"/>
    <x v="0"/>
  </r>
  <r>
    <s v="ORD-10890"/>
    <x v="407"/>
    <d v="2024-05-22T00:00:00"/>
    <x v="11"/>
    <x v="3"/>
    <x v="3"/>
    <x v="0"/>
    <x v="2"/>
    <n v="1"/>
    <n v="596.36"/>
    <n v="25"/>
    <n v="320"/>
    <n v="196.23"/>
    <x v="0"/>
    <n v="2"/>
    <n v="596.36"/>
    <n v="621.36"/>
    <x v="0"/>
  </r>
  <r>
    <s v="ORD-10891"/>
    <x v="408"/>
    <d v="2024-06-06T00:00:00"/>
    <x v="12"/>
    <x v="3"/>
    <x v="3"/>
    <x v="2"/>
    <x v="3"/>
    <n v="2"/>
    <n v="952.98"/>
    <n v="37.5"/>
    <n v="257"/>
    <n v="648.34"/>
    <x v="1"/>
    <n v="14"/>
    <n v="1905.96"/>
    <n v="1943.46"/>
    <x v="0"/>
  </r>
  <r>
    <s v="ORD-10892"/>
    <x v="408"/>
    <d v="2024-05-28T00:00:00"/>
    <x v="0"/>
    <x v="0"/>
    <x v="0"/>
    <x v="2"/>
    <x v="3"/>
    <n v="9"/>
    <n v="17.170000000000002"/>
    <n v="12"/>
    <n v="126"/>
    <n v="6.36"/>
    <x v="0"/>
    <n v="5"/>
    <n v="154.53000000000003"/>
    <n v="166.53000000000003"/>
    <x v="0"/>
  </r>
  <r>
    <s v="ORD-10893"/>
    <x v="408"/>
    <d v="2024-06-01T00:00:00"/>
    <x v="11"/>
    <x v="3"/>
    <x v="3"/>
    <x v="2"/>
    <x v="2"/>
    <n v="2"/>
    <n v="745.46"/>
    <n v="25"/>
    <n v="26"/>
    <n v="509.32"/>
    <x v="2"/>
    <n v="9"/>
    <n v="1490.92"/>
    <n v="1515.92"/>
    <x v="1"/>
  </r>
  <r>
    <s v="ORD-10894"/>
    <x v="409"/>
    <d v="2024-05-26T00:00:00"/>
    <x v="11"/>
    <x v="3"/>
    <x v="3"/>
    <x v="0"/>
    <x v="0"/>
    <n v="3"/>
    <n v="275.87"/>
    <n v="25"/>
    <n v="103"/>
    <n v="277.16000000000003"/>
    <x v="0"/>
    <n v="2"/>
    <n v="827.61"/>
    <n v="852.61"/>
    <x v="0"/>
  </r>
  <r>
    <s v="ORD-10895"/>
    <x v="409"/>
    <d v="2024-05-28T00:00:00"/>
    <x v="1"/>
    <x v="0"/>
    <x v="0"/>
    <x v="2"/>
    <x v="3"/>
    <n v="11"/>
    <n v="29.63"/>
    <n v="12"/>
    <n v="237"/>
    <n v="20.07"/>
    <x v="0"/>
    <n v="4"/>
    <n v="325.93"/>
    <n v="337.93"/>
    <x v="0"/>
  </r>
  <r>
    <s v="ORD-10896"/>
    <x v="409"/>
    <d v="2024-05-27T00:00:00"/>
    <x v="15"/>
    <x v="4"/>
    <x v="4"/>
    <x v="2"/>
    <x v="3"/>
    <n v="4"/>
    <n v="30.18"/>
    <n v="18"/>
    <n v="54"/>
    <n v="45.32"/>
    <x v="0"/>
    <n v="3"/>
    <n v="120.72"/>
    <n v="138.72"/>
    <x v="0"/>
  </r>
  <r>
    <s v="ORD-10897"/>
    <x v="410"/>
    <d v="2024-05-29T00:00:00"/>
    <x v="2"/>
    <x v="1"/>
    <x v="1"/>
    <x v="1"/>
    <x v="1"/>
    <n v="3"/>
    <n v="24.39"/>
    <n v="12"/>
    <n v="183"/>
    <n v="23.27"/>
    <x v="0"/>
    <n v="4"/>
    <n v="73.17"/>
    <n v="85.17"/>
    <x v="0"/>
  </r>
  <r>
    <s v="ORD-10898"/>
    <x v="410"/>
    <d v="2024-06-03T00:00:00"/>
    <x v="7"/>
    <x v="1"/>
    <x v="1"/>
    <x v="2"/>
    <x v="3"/>
    <n v="2"/>
    <n v="74.13"/>
    <n v="18"/>
    <n v="315"/>
    <n v="50.3"/>
    <x v="2"/>
    <n v="9"/>
    <n v="148.26"/>
    <n v="166.26"/>
    <x v="0"/>
  </r>
  <r>
    <s v="ORD-10899"/>
    <x v="410"/>
    <d v="2024-05-30T00:00:00"/>
    <x v="9"/>
    <x v="2"/>
    <x v="2"/>
    <x v="0"/>
    <x v="3"/>
    <n v="2"/>
    <n v="430.69"/>
    <n v="112.5"/>
    <n v="125"/>
    <n v="116.03"/>
    <x v="0"/>
    <n v="5"/>
    <n v="861.38"/>
    <n v="973.88"/>
    <x v="0"/>
  </r>
  <r>
    <s v="ORD-10900"/>
    <x v="410"/>
    <d v="2024-05-26T00:00:00"/>
    <x v="10"/>
    <x v="0"/>
    <x v="0"/>
    <x v="0"/>
    <x v="2"/>
    <n v="14"/>
    <n v="19.95"/>
    <n v="8"/>
    <n v="187"/>
    <n v="18.350000000000001"/>
    <x v="0"/>
    <n v="1"/>
    <n v="279.3"/>
    <n v="287.3"/>
    <x v="0"/>
  </r>
  <r>
    <s v="ORD-10901"/>
    <x v="411"/>
    <d v="2024-05-28T00:00:00"/>
    <x v="10"/>
    <x v="0"/>
    <x v="0"/>
    <x v="1"/>
    <x v="0"/>
    <n v="10"/>
    <n v="12.46"/>
    <n v="8"/>
    <n v="228"/>
    <n v="5.97"/>
    <x v="0"/>
    <n v="2"/>
    <n v="124.60000000000001"/>
    <n v="132.60000000000002"/>
    <x v="0"/>
  </r>
  <r>
    <s v="ORD-10902"/>
    <x v="412"/>
    <d v="2024-06-08T00:00:00"/>
    <x v="6"/>
    <x v="3"/>
    <x v="3"/>
    <x v="2"/>
    <x v="2"/>
    <n v="1"/>
    <n v="344.52"/>
    <n v="25"/>
    <n v="333"/>
    <n v="108.08"/>
    <x v="1"/>
    <n v="12"/>
    <n v="344.52"/>
    <n v="369.52"/>
    <x v="0"/>
  </r>
  <r>
    <s v="ORD-10903"/>
    <x v="412"/>
    <d v="2024-05-29T00:00:00"/>
    <x v="3"/>
    <x v="1"/>
    <x v="1"/>
    <x v="0"/>
    <x v="1"/>
    <n v="2"/>
    <n v="77.97"/>
    <n v="12"/>
    <n v="256"/>
    <n v="56.38"/>
    <x v="0"/>
    <n v="2"/>
    <n v="155.94"/>
    <n v="167.94"/>
    <x v="0"/>
  </r>
  <r>
    <s v="ORD-10904"/>
    <x v="412"/>
    <d v="2024-05-29T00:00:00"/>
    <x v="11"/>
    <x v="3"/>
    <x v="3"/>
    <x v="2"/>
    <x v="3"/>
    <n v="3"/>
    <n v="219.17"/>
    <n v="37.5"/>
    <n v="137"/>
    <n v="211.38"/>
    <x v="0"/>
    <n v="2"/>
    <n v="657.51"/>
    <n v="695.01"/>
    <x v="0"/>
  </r>
  <r>
    <s v="ORD-10905"/>
    <x v="413"/>
    <d v="2024-06-02T00:00:00"/>
    <x v="8"/>
    <x v="2"/>
    <x v="2"/>
    <x v="1"/>
    <x v="2"/>
    <n v="2"/>
    <n v="161.03"/>
    <n v="75"/>
    <n v="363"/>
    <n v="26.91"/>
    <x v="0"/>
    <n v="5"/>
    <n v="322.06"/>
    <n v="397.06"/>
    <x v="0"/>
  </r>
  <r>
    <s v="ORD-10906"/>
    <x v="414"/>
    <d v="2024-06-02T00:00:00"/>
    <x v="14"/>
    <x v="4"/>
    <x v="4"/>
    <x v="0"/>
    <x v="3"/>
    <n v="2"/>
    <n v="111.83"/>
    <n v="18"/>
    <n v="58"/>
    <n v="91.65"/>
    <x v="0"/>
    <n v="4"/>
    <n v="223.66"/>
    <n v="241.66"/>
    <x v="0"/>
  </r>
  <r>
    <s v="ORD-10907"/>
    <x v="414"/>
    <d v="2024-06-12T00:00:00"/>
    <x v="2"/>
    <x v="1"/>
    <x v="1"/>
    <x v="2"/>
    <x v="3"/>
    <n v="3"/>
    <n v="70.319999999999993"/>
    <n v="18"/>
    <n v="195"/>
    <n v="75.38"/>
    <x v="1"/>
    <n v="14"/>
    <n v="210.95999999999998"/>
    <n v="228.95999999999998"/>
    <x v="0"/>
  </r>
  <r>
    <s v="ORD-10908"/>
    <x v="415"/>
    <d v="2024-06-04T00:00:00"/>
    <x v="5"/>
    <x v="3"/>
    <x v="3"/>
    <x v="1"/>
    <x v="1"/>
    <n v="3"/>
    <n v="864.81"/>
    <n v="25"/>
    <n v="278"/>
    <n v="895.55"/>
    <x v="0"/>
    <n v="5"/>
    <n v="2594.4299999999998"/>
    <n v="2619.4299999999998"/>
    <x v="0"/>
  </r>
  <r>
    <s v="ORD-10909"/>
    <x v="415"/>
    <d v="2024-06-02T00:00:00"/>
    <x v="0"/>
    <x v="0"/>
    <x v="0"/>
    <x v="1"/>
    <x v="2"/>
    <n v="6"/>
    <n v="36.72"/>
    <n v="8"/>
    <n v="168"/>
    <n v="13.62"/>
    <x v="0"/>
    <n v="3"/>
    <n v="220.32"/>
    <n v="228.32"/>
    <x v="0"/>
  </r>
  <r>
    <s v="ORD-10910"/>
    <x v="415"/>
    <d v="2024-06-04T00:00:00"/>
    <x v="2"/>
    <x v="1"/>
    <x v="1"/>
    <x v="0"/>
    <x v="1"/>
    <n v="4"/>
    <n v="57.35"/>
    <n v="12"/>
    <n v="29"/>
    <n v="85.76"/>
    <x v="0"/>
    <n v="5"/>
    <n v="229.4"/>
    <n v="241.4"/>
    <x v="1"/>
  </r>
  <r>
    <s v="ORD-10911"/>
    <x v="415"/>
    <d v="2024-06-01T00:00:00"/>
    <x v="13"/>
    <x v="4"/>
    <x v="4"/>
    <x v="0"/>
    <x v="0"/>
    <n v="2"/>
    <n v="103.42"/>
    <n v="12"/>
    <n v="92"/>
    <n v="87.08"/>
    <x v="0"/>
    <n v="2"/>
    <n v="206.84"/>
    <n v="218.84"/>
    <x v="0"/>
  </r>
  <r>
    <s v="ORD-10912"/>
    <x v="416"/>
    <d v="2024-06-05T00:00:00"/>
    <x v="14"/>
    <x v="4"/>
    <x v="4"/>
    <x v="2"/>
    <x v="0"/>
    <n v="5"/>
    <n v="116.8"/>
    <n v="12"/>
    <n v="335"/>
    <n v="256.8"/>
    <x v="0"/>
    <n v="5"/>
    <n v="584"/>
    <n v="596"/>
    <x v="0"/>
  </r>
  <r>
    <s v="ORD-10913"/>
    <x v="416"/>
    <d v="2024-06-04T00:00:00"/>
    <x v="3"/>
    <x v="1"/>
    <x v="1"/>
    <x v="1"/>
    <x v="1"/>
    <n v="4"/>
    <n v="75.150000000000006"/>
    <n v="12"/>
    <n v="194"/>
    <n v="114.24"/>
    <x v="0"/>
    <n v="4"/>
    <n v="300.60000000000002"/>
    <n v="312.60000000000002"/>
    <x v="0"/>
  </r>
  <r>
    <s v="ORD-10914"/>
    <x v="416"/>
    <d v="2024-06-04T00:00:00"/>
    <x v="6"/>
    <x v="3"/>
    <x v="3"/>
    <x v="2"/>
    <x v="0"/>
    <n v="1"/>
    <n v="708.31"/>
    <n v="25"/>
    <n v="295"/>
    <n v="235.41"/>
    <x v="0"/>
    <n v="4"/>
    <n v="708.31"/>
    <n v="733.31"/>
    <x v="0"/>
  </r>
  <r>
    <s v="ORD-10915"/>
    <x v="417"/>
    <d v="2024-06-12T00:00:00"/>
    <x v="7"/>
    <x v="1"/>
    <x v="1"/>
    <x v="2"/>
    <x v="3"/>
    <n v="1"/>
    <n v="21.31"/>
    <n v="18"/>
    <n v="214"/>
    <n v="-0.48"/>
    <x v="1"/>
    <n v="11"/>
    <n v="21.31"/>
    <n v="39.31"/>
    <x v="0"/>
  </r>
  <r>
    <s v="ORD-10916"/>
    <x v="417"/>
    <d v="2024-06-05T00:00:00"/>
    <x v="6"/>
    <x v="3"/>
    <x v="3"/>
    <x v="1"/>
    <x v="2"/>
    <n v="3"/>
    <n v="600.85"/>
    <n v="25"/>
    <n v="392"/>
    <n v="618.39"/>
    <x v="0"/>
    <n v="4"/>
    <n v="1802.5500000000002"/>
    <n v="1827.5500000000002"/>
    <x v="0"/>
  </r>
  <r>
    <s v="ORD-10917"/>
    <x v="418"/>
    <d v="2024-06-03T00:00:00"/>
    <x v="1"/>
    <x v="0"/>
    <x v="0"/>
    <x v="0"/>
    <x v="2"/>
    <n v="5"/>
    <n v="16.899999999999999"/>
    <n v="8"/>
    <n v="37"/>
    <n v="2.76"/>
    <x v="0"/>
    <n v="1"/>
    <n v="84.5"/>
    <n v="92.5"/>
    <x v="1"/>
  </r>
  <r>
    <s v="ORD-10918"/>
    <x v="419"/>
    <d v="2024-06-04T00:00:00"/>
    <x v="0"/>
    <x v="0"/>
    <x v="0"/>
    <x v="2"/>
    <x v="0"/>
    <n v="10"/>
    <n v="29.16"/>
    <n v="8"/>
    <n v="375"/>
    <n v="19.329999999999998"/>
    <x v="0"/>
    <n v="1"/>
    <n v="291.60000000000002"/>
    <n v="299.60000000000002"/>
    <x v="0"/>
  </r>
  <r>
    <s v="ORD-10919"/>
    <x v="419"/>
    <d v="2024-06-13T00:00:00"/>
    <x v="0"/>
    <x v="0"/>
    <x v="0"/>
    <x v="2"/>
    <x v="0"/>
    <n v="9"/>
    <n v="20.43"/>
    <n v="8"/>
    <n v="332"/>
    <n v="10.71"/>
    <x v="2"/>
    <n v="10"/>
    <n v="183.87"/>
    <n v="191.87"/>
    <x v="0"/>
  </r>
  <r>
    <s v="ORD-10920"/>
    <x v="420"/>
    <d v="2024-06-09T00:00:00"/>
    <x v="12"/>
    <x v="3"/>
    <x v="3"/>
    <x v="2"/>
    <x v="1"/>
    <n v="2"/>
    <n v="946.25"/>
    <n v="25"/>
    <n v="190"/>
    <n v="649.88"/>
    <x v="0"/>
    <n v="5"/>
    <n v="1892.5"/>
    <n v="1917.5"/>
    <x v="0"/>
  </r>
  <r>
    <s v="ORD-10921"/>
    <x v="420"/>
    <d v="2024-06-09T00:00:00"/>
    <x v="4"/>
    <x v="2"/>
    <x v="2"/>
    <x v="2"/>
    <x v="1"/>
    <n v="2"/>
    <n v="373.61"/>
    <n v="75"/>
    <n v="339"/>
    <n v="111.94"/>
    <x v="0"/>
    <n v="5"/>
    <n v="747.22"/>
    <n v="822.22"/>
    <x v="0"/>
  </r>
  <r>
    <s v="ORD-10922"/>
    <x v="420"/>
    <d v="2024-06-19T00:00:00"/>
    <x v="10"/>
    <x v="0"/>
    <x v="0"/>
    <x v="2"/>
    <x v="1"/>
    <n v="7"/>
    <n v="41.18"/>
    <n v="8"/>
    <n v="337"/>
    <n v="19.059999999999999"/>
    <x v="1"/>
    <n v="15"/>
    <n v="288.26"/>
    <n v="296.26"/>
    <x v="0"/>
  </r>
  <r>
    <s v="ORD-10923"/>
    <x v="420"/>
    <d v="2024-06-07T00:00:00"/>
    <x v="2"/>
    <x v="1"/>
    <x v="1"/>
    <x v="1"/>
    <x v="2"/>
    <n v="1"/>
    <n v="146.21"/>
    <n v="12"/>
    <n v="350"/>
    <n v="52.48"/>
    <x v="0"/>
    <n v="3"/>
    <n v="146.21"/>
    <n v="158.21"/>
    <x v="0"/>
  </r>
  <r>
    <s v="ORD-10924"/>
    <x v="420"/>
    <d v="2024-06-07T00:00:00"/>
    <x v="10"/>
    <x v="0"/>
    <x v="0"/>
    <x v="2"/>
    <x v="3"/>
    <n v="6"/>
    <n v="17.22"/>
    <n v="12"/>
    <n v="136"/>
    <n v="2.2599999999999998"/>
    <x v="0"/>
    <n v="3"/>
    <n v="103.32"/>
    <n v="115.32"/>
    <x v="0"/>
  </r>
  <r>
    <s v="ORD-10925"/>
    <x v="421"/>
    <d v="2024-06-21T00:00:00"/>
    <x v="7"/>
    <x v="1"/>
    <x v="1"/>
    <x v="2"/>
    <x v="0"/>
    <n v="4"/>
    <n v="24.53"/>
    <n v="12"/>
    <n v="228"/>
    <n v="33.26"/>
    <x v="1"/>
    <n v="16"/>
    <n v="98.12"/>
    <n v="110.12"/>
    <x v="0"/>
  </r>
  <r>
    <s v="ORD-10926"/>
    <x v="421"/>
    <d v="2024-06-15T00:00:00"/>
    <x v="2"/>
    <x v="1"/>
    <x v="1"/>
    <x v="2"/>
    <x v="3"/>
    <n v="3"/>
    <n v="31.6"/>
    <n v="18"/>
    <n v="276"/>
    <n v="-14.22"/>
    <x v="2"/>
    <n v="10"/>
    <n v="94.800000000000011"/>
    <n v="112.80000000000001"/>
    <x v="0"/>
  </r>
  <r>
    <s v="ORD-10927"/>
    <x v="422"/>
    <d v="2024-06-11T00:00:00"/>
    <x v="3"/>
    <x v="1"/>
    <x v="1"/>
    <x v="2"/>
    <x v="3"/>
    <n v="4"/>
    <n v="112.56"/>
    <n v="18"/>
    <n v="268"/>
    <n v="171.1"/>
    <x v="0"/>
    <n v="5"/>
    <n v="450.24"/>
    <n v="468.24"/>
    <x v="0"/>
  </r>
  <r>
    <s v="ORD-10928"/>
    <x v="423"/>
    <d v="2024-06-09T00:00:00"/>
    <x v="15"/>
    <x v="4"/>
    <x v="4"/>
    <x v="2"/>
    <x v="1"/>
    <n v="4"/>
    <n v="107.86"/>
    <n v="12"/>
    <n v="154"/>
    <n v="188.14"/>
    <x v="0"/>
    <n v="2"/>
    <n v="431.44"/>
    <n v="443.44"/>
    <x v="0"/>
  </r>
  <r>
    <s v="ORD-10929"/>
    <x v="423"/>
    <d v="2024-06-23T00:00:00"/>
    <x v="5"/>
    <x v="3"/>
    <x v="3"/>
    <x v="2"/>
    <x v="3"/>
    <n v="3"/>
    <n v="451.85"/>
    <n v="37.5"/>
    <n v="184"/>
    <n v="455.7"/>
    <x v="1"/>
    <n v="16"/>
    <n v="1355.5500000000002"/>
    <n v="1393.0500000000002"/>
    <x v="0"/>
  </r>
  <r>
    <s v="ORD-10930"/>
    <x v="423"/>
    <d v="2024-06-11T00:00:00"/>
    <x v="8"/>
    <x v="2"/>
    <x v="2"/>
    <x v="0"/>
    <x v="0"/>
    <n v="2"/>
    <n v="445.15"/>
    <n v="75"/>
    <n v="176"/>
    <n v="140.56"/>
    <x v="0"/>
    <n v="4"/>
    <n v="890.3"/>
    <n v="965.3"/>
    <x v="0"/>
  </r>
  <r>
    <s v="ORD-10931"/>
    <x v="424"/>
    <d v="2024-06-13T00:00:00"/>
    <x v="14"/>
    <x v="4"/>
    <x v="4"/>
    <x v="0"/>
    <x v="1"/>
    <n v="4"/>
    <n v="105.96"/>
    <n v="12"/>
    <n v="125"/>
    <n v="184.74"/>
    <x v="0"/>
    <n v="5"/>
    <n v="423.84"/>
    <n v="435.84"/>
    <x v="0"/>
  </r>
  <r>
    <s v="ORD-10932"/>
    <x v="424"/>
    <d v="2024-06-12T00:00:00"/>
    <x v="12"/>
    <x v="3"/>
    <x v="3"/>
    <x v="2"/>
    <x v="3"/>
    <n v="3"/>
    <n v="929.7"/>
    <n v="37.5"/>
    <n v="193"/>
    <n v="957.43"/>
    <x v="0"/>
    <n v="4"/>
    <n v="2789.1000000000004"/>
    <n v="2826.6000000000004"/>
    <x v="0"/>
  </r>
  <r>
    <s v="ORD-10933"/>
    <x v="425"/>
    <d v="2024-06-10T00:00:00"/>
    <x v="0"/>
    <x v="0"/>
    <x v="0"/>
    <x v="0"/>
    <x v="1"/>
    <n v="11"/>
    <n v="13.39"/>
    <n v="8"/>
    <n v="90"/>
    <n v="7.78"/>
    <x v="0"/>
    <n v="1"/>
    <n v="147.29000000000002"/>
    <n v="155.29000000000002"/>
    <x v="0"/>
  </r>
  <r>
    <s v="ORD-10934"/>
    <x v="425"/>
    <d v="2024-06-20T00:00:00"/>
    <x v="13"/>
    <x v="4"/>
    <x v="4"/>
    <x v="2"/>
    <x v="3"/>
    <n v="5"/>
    <n v="143.44999999999999"/>
    <n v="18"/>
    <n v="146"/>
    <n v="313.75"/>
    <x v="1"/>
    <n v="11"/>
    <n v="717.25"/>
    <n v="735.25"/>
    <x v="0"/>
  </r>
  <r>
    <s v="ORD-10935"/>
    <x v="425"/>
    <d v="2024-06-14T00:00:00"/>
    <x v="1"/>
    <x v="0"/>
    <x v="0"/>
    <x v="0"/>
    <x v="0"/>
    <n v="11"/>
    <n v="42.24"/>
    <n v="8"/>
    <n v="27"/>
    <n v="-69.7"/>
    <x v="0"/>
    <n v="5"/>
    <n v="464.64000000000004"/>
    <n v="472.64000000000004"/>
    <x v="1"/>
  </r>
  <r>
    <s v="ORD-10936"/>
    <x v="425"/>
    <d v="2024-06-24T00:00:00"/>
    <x v="8"/>
    <x v="2"/>
    <x v="2"/>
    <x v="2"/>
    <x v="1"/>
    <n v="2"/>
    <n v="384.88"/>
    <n v="75"/>
    <n v="213"/>
    <n v="116.45"/>
    <x v="1"/>
    <n v="15"/>
    <n v="769.76"/>
    <n v="844.76"/>
    <x v="0"/>
  </r>
  <r>
    <s v="ORD-10937"/>
    <x v="426"/>
    <d v="2024-06-19T00:00:00"/>
    <x v="3"/>
    <x v="1"/>
    <x v="1"/>
    <x v="2"/>
    <x v="1"/>
    <n v="2"/>
    <n v="74.97"/>
    <n v="12"/>
    <n v="233"/>
    <n v="53.98"/>
    <x v="2"/>
    <n v="9"/>
    <n v="149.94"/>
    <n v="161.94"/>
    <x v="0"/>
  </r>
  <r>
    <s v="ORD-10938"/>
    <x v="427"/>
    <d v="2024-06-17T00:00:00"/>
    <x v="10"/>
    <x v="0"/>
    <x v="0"/>
    <x v="1"/>
    <x v="2"/>
    <n v="12"/>
    <n v="32.1"/>
    <n v="8"/>
    <n v="99"/>
    <n v="26.82"/>
    <x v="0"/>
    <n v="4"/>
    <n v="385.20000000000005"/>
    <n v="393.20000000000005"/>
    <x v="0"/>
  </r>
  <r>
    <s v="ORD-10939"/>
    <x v="428"/>
    <d v="2024-06-17T00:00:00"/>
    <x v="5"/>
    <x v="3"/>
    <x v="3"/>
    <x v="0"/>
    <x v="1"/>
    <n v="1"/>
    <n v="1030.92"/>
    <n v="25"/>
    <n v="28"/>
    <n v="348.32"/>
    <x v="0"/>
    <n v="3"/>
    <n v="1030.92"/>
    <n v="1055.92"/>
    <x v="1"/>
  </r>
  <r>
    <s v="ORD-10940"/>
    <x v="429"/>
    <d v="2024-06-29T00:00:00"/>
    <x v="7"/>
    <x v="1"/>
    <x v="1"/>
    <x v="2"/>
    <x v="2"/>
    <n v="4"/>
    <n v="129.84"/>
    <n v="12"/>
    <n v="103"/>
    <n v="201.75"/>
    <x v="1"/>
    <n v="14"/>
    <n v="519.36"/>
    <n v="531.36"/>
    <x v="0"/>
  </r>
  <r>
    <s v="ORD-10941"/>
    <x v="429"/>
    <d v="2024-06-20T00:00:00"/>
    <x v="1"/>
    <x v="0"/>
    <x v="0"/>
    <x v="2"/>
    <x v="0"/>
    <n v="5"/>
    <n v="14.9"/>
    <n v="8"/>
    <n v="323"/>
    <n v="1.96"/>
    <x v="0"/>
    <n v="5"/>
    <n v="74.5"/>
    <n v="82.5"/>
    <x v="0"/>
  </r>
  <r>
    <s v="ORD-10942"/>
    <x v="430"/>
    <d v="2024-06-25T00:00:00"/>
    <x v="10"/>
    <x v="0"/>
    <x v="0"/>
    <x v="2"/>
    <x v="1"/>
    <n v="6"/>
    <n v="13.67"/>
    <n v="8"/>
    <n v="127"/>
    <n v="2.56"/>
    <x v="2"/>
    <n v="8"/>
    <n v="82.02"/>
    <n v="90.02"/>
    <x v="0"/>
  </r>
  <r>
    <s v="ORD-10943"/>
    <x v="430"/>
    <d v="2024-07-01T00:00:00"/>
    <x v="5"/>
    <x v="3"/>
    <x v="3"/>
    <x v="2"/>
    <x v="3"/>
    <n v="3"/>
    <n v="819.9"/>
    <n v="37.5"/>
    <n v="97"/>
    <n v="842.14"/>
    <x v="1"/>
    <n v="14"/>
    <n v="2459.6999999999998"/>
    <n v="2497.1999999999998"/>
    <x v="0"/>
  </r>
  <r>
    <s v="ORD-10944"/>
    <x v="431"/>
    <d v="2024-06-20T00:00:00"/>
    <x v="0"/>
    <x v="0"/>
    <x v="0"/>
    <x v="2"/>
    <x v="3"/>
    <n v="6"/>
    <n v="15.39"/>
    <n v="12"/>
    <n v="130"/>
    <n v="1.39"/>
    <x v="0"/>
    <n v="2"/>
    <n v="92.34"/>
    <n v="104.34"/>
    <x v="0"/>
  </r>
  <r>
    <s v="ORD-10945"/>
    <x v="432"/>
    <d v="2024-06-23T00:00:00"/>
    <x v="8"/>
    <x v="2"/>
    <x v="2"/>
    <x v="1"/>
    <x v="1"/>
    <n v="1"/>
    <n v="389.29"/>
    <n v="75"/>
    <n v="327"/>
    <n v="40.36"/>
    <x v="0"/>
    <n v="3"/>
    <n v="389.29"/>
    <n v="464.29"/>
    <x v="0"/>
  </r>
  <r>
    <s v="ORD-10946"/>
    <x v="432"/>
    <d v="2024-06-22T00:00:00"/>
    <x v="3"/>
    <x v="1"/>
    <x v="1"/>
    <x v="2"/>
    <x v="1"/>
    <n v="4"/>
    <n v="91.5"/>
    <n v="12"/>
    <n v="389"/>
    <n v="140.4"/>
    <x v="0"/>
    <n v="2"/>
    <n v="366"/>
    <n v="378"/>
    <x v="0"/>
  </r>
  <r>
    <s v="ORD-10947"/>
    <x v="432"/>
    <d v="2024-06-23T00:00:00"/>
    <x v="5"/>
    <x v="3"/>
    <x v="3"/>
    <x v="0"/>
    <x v="3"/>
    <n v="1"/>
    <n v="1132.49"/>
    <n v="37.5"/>
    <n v="373"/>
    <n v="377.62"/>
    <x v="0"/>
    <n v="3"/>
    <n v="1132.49"/>
    <n v="1169.99"/>
    <x v="0"/>
  </r>
  <r>
    <s v="ORD-10948"/>
    <x v="433"/>
    <d v="2024-06-22T00:00:00"/>
    <x v="4"/>
    <x v="2"/>
    <x v="2"/>
    <x v="1"/>
    <x v="0"/>
    <n v="2"/>
    <n v="149.69"/>
    <n v="75"/>
    <n v="367"/>
    <n v="22.38"/>
    <x v="0"/>
    <n v="1"/>
    <n v="299.38"/>
    <n v="374.38"/>
    <x v="0"/>
  </r>
  <r>
    <s v="ORD-10949"/>
    <x v="434"/>
    <d v="2024-06-25T00:00:00"/>
    <x v="15"/>
    <x v="4"/>
    <x v="4"/>
    <x v="1"/>
    <x v="1"/>
    <n v="1"/>
    <n v="107.8"/>
    <n v="12"/>
    <n v="164"/>
    <n v="42.51"/>
    <x v="0"/>
    <n v="2"/>
    <n v="107.8"/>
    <n v="119.8"/>
    <x v="0"/>
  </r>
  <r>
    <s v="ORD-10950"/>
    <x v="434"/>
    <d v="2024-06-27T00:00:00"/>
    <x v="2"/>
    <x v="1"/>
    <x v="1"/>
    <x v="0"/>
    <x v="2"/>
    <n v="1"/>
    <n v="39.159999999999997"/>
    <n v="12"/>
    <n v="208"/>
    <n v="9.66"/>
    <x v="0"/>
    <n v="4"/>
    <n v="39.159999999999997"/>
    <n v="51.16"/>
    <x v="0"/>
  </r>
  <r>
    <s v="ORD-10951"/>
    <x v="435"/>
    <d v="2024-06-27T00:00:00"/>
    <x v="6"/>
    <x v="3"/>
    <x v="3"/>
    <x v="1"/>
    <x v="2"/>
    <n v="2"/>
    <n v="1133.3800000000001"/>
    <n v="25"/>
    <n v="356"/>
    <n v="-340.01"/>
    <x v="0"/>
    <n v="3"/>
    <n v="2266.7600000000002"/>
    <n v="2291.7600000000002"/>
    <x v="0"/>
  </r>
  <r>
    <s v="ORD-10952"/>
    <x v="435"/>
    <d v="2024-06-29T00:00:00"/>
    <x v="1"/>
    <x v="0"/>
    <x v="0"/>
    <x v="1"/>
    <x v="1"/>
    <n v="12"/>
    <n v="39.159999999999997"/>
    <n v="8"/>
    <n v="7"/>
    <n v="33.6"/>
    <x v="0"/>
    <n v="5"/>
    <n v="469.91999999999996"/>
    <n v="477.91999999999996"/>
    <x v="2"/>
  </r>
  <r>
    <s v="ORD-10953"/>
    <x v="436"/>
    <d v="2024-06-30T00:00:00"/>
    <x v="11"/>
    <x v="3"/>
    <x v="3"/>
    <x v="2"/>
    <x v="3"/>
    <n v="3"/>
    <n v="1136.3499999999999"/>
    <n v="37.5"/>
    <n v="380"/>
    <n v="1174.4100000000001"/>
    <x v="0"/>
    <n v="5"/>
    <n v="3409.0499999999997"/>
    <n v="3446.5499999999997"/>
    <x v="0"/>
  </r>
  <r>
    <s v="ORD-10954"/>
    <x v="437"/>
    <d v="2024-06-29T00:00:00"/>
    <x v="0"/>
    <x v="0"/>
    <x v="0"/>
    <x v="0"/>
    <x v="1"/>
    <n v="6"/>
    <n v="49.39"/>
    <n v="8"/>
    <n v="239"/>
    <n v="19.71"/>
    <x v="0"/>
    <n v="3"/>
    <n v="296.34000000000003"/>
    <n v="304.34000000000003"/>
    <x v="0"/>
  </r>
  <r>
    <s v="ORD-10955"/>
    <x v="437"/>
    <d v="2024-06-28T00:00:00"/>
    <x v="15"/>
    <x v="4"/>
    <x v="4"/>
    <x v="2"/>
    <x v="3"/>
    <n v="4"/>
    <n v="139.85"/>
    <n v="18"/>
    <n v="193"/>
    <n v="-83.91"/>
    <x v="0"/>
    <n v="2"/>
    <n v="559.4"/>
    <n v="577.4"/>
    <x v="0"/>
  </r>
  <r>
    <s v="ORD-10956"/>
    <x v="438"/>
    <d v="2024-07-03T00:00:00"/>
    <x v="7"/>
    <x v="1"/>
    <x v="1"/>
    <x v="2"/>
    <x v="3"/>
    <n v="4"/>
    <n v="118.43"/>
    <n v="18"/>
    <n v="96"/>
    <n v="180.49"/>
    <x v="0"/>
    <n v="4"/>
    <n v="473.72"/>
    <n v="491.72"/>
    <x v="0"/>
  </r>
  <r>
    <s v="ORD-10957"/>
    <x v="438"/>
    <d v="2024-07-10T00:00:00"/>
    <x v="3"/>
    <x v="1"/>
    <x v="1"/>
    <x v="2"/>
    <x v="0"/>
    <n v="2"/>
    <n v="78.19"/>
    <n v="12"/>
    <n v="364"/>
    <n v="56.55"/>
    <x v="1"/>
    <n v="11"/>
    <n v="156.38"/>
    <n v="168.38"/>
    <x v="0"/>
  </r>
  <r>
    <s v="ORD-10958"/>
    <x v="438"/>
    <d v="2024-07-02T00:00:00"/>
    <x v="0"/>
    <x v="0"/>
    <x v="0"/>
    <x v="0"/>
    <x v="1"/>
    <n v="8"/>
    <n v="19.73"/>
    <n v="8"/>
    <n v="322"/>
    <n v="8.6300000000000008"/>
    <x v="0"/>
    <n v="3"/>
    <n v="157.84"/>
    <n v="165.84"/>
    <x v="0"/>
  </r>
  <r>
    <s v="ORD-10959"/>
    <x v="438"/>
    <d v="2024-07-07T00:00:00"/>
    <x v="15"/>
    <x v="4"/>
    <x v="4"/>
    <x v="2"/>
    <x v="3"/>
    <n v="4"/>
    <n v="36.770000000000003"/>
    <n v="18"/>
    <n v="282"/>
    <n v="57.19"/>
    <x v="2"/>
    <n v="8"/>
    <n v="147.08000000000001"/>
    <n v="165.08"/>
    <x v="0"/>
  </r>
  <r>
    <s v="ORD-10960"/>
    <x v="439"/>
    <d v="2024-07-01T00:00:00"/>
    <x v="7"/>
    <x v="1"/>
    <x v="1"/>
    <x v="1"/>
    <x v="1"/>
    <n v="1"/>
    <n v="119.7"/>
    <n v="12"/>
    <n v="390"/>
    <n v="41.88"/>
    <x v="0"/>
    <n v="1"/>
    <n v="119.7"/>
    <n v="131.69999999999999"/>
    <x v="0"/>
  </r>
  <r>
    <s v="ORD-10961"/>
    <x v="440"/>
    <d v="2024-07-08T00:00:00"/>
    <x v="0"/>
    <x v="0"/>
    <x v="0"/>
    <x v="2"/>
    <x v="3"/>
    <n v="8"/>
    <n v="49.14"/>
    <n v="12"/>
    <n v="292"/>
    <n v="25.45"/>
    <x v="2"/>
    <n v="7"/>
    <n v="393.12"/>
    <n v="405.12"/>
    <x v="0"/>
  </r>
  <r>
    <s v="ORD-10962"/>
    <x v="441"/>
    <d v="2024-07-03T00:00:00"/>
    <x v="7"/>
    <x v="1"/>
    <x v="1"/>
    <x v="0"/>
    <x v="1"/>
    <n v="4"/>
    <n v="63.91"/>
    <n v="12"/>
    <n v="42"/>
    <n v="96.25"/>
    <x v="0"/>
    <n v="1"/>
    <n v="255.64"/>
    <n v="267.64"/>
    <x v="1"/>
  </r>
  <r>
    <s v="ORD-10963"/>
    <x v="442"/>
    <d v="2024-07-15T00:00:00"/>
    <x v="0"/>
    <x v="0"/>
    <x v="0"/>
    <x v="2"/>
    <x v="1"/>
    <n v="11"/>
    <n v="32.24"/>
    <n v="8"/>
    <n v="341"/>
    <n v="-53.2"/>
    <x v="1"/>
    <n v="12"/>
    <n v="354.64000000000004"/>
    <n v="362.64000000000004"/>
    <x v="0"/>
  </r>
  <r>
    <s v="ORD-10964"/>
    <x v="442"/>
    <d v="2024-07-05T00:00:00"/>
    <x v="15"/>
    <x v="4"/>
    <x v="4"/>
    <x v="1"/>
    <x v="2"/>
    <n v="3"/>
    <n v="52.42"/>
    <n v="12"/>
    <n v="32"/>
    <n v="64.77"/>
    <x v="0"/>
    <n v="2"/>
    <n v="157.26"/>
    <n v="169.26"/>
    <x v="1"/>
  </r>
  <r>
    <s v="ORD-10965"/>
    <x v="443"/>
    <d v="2024-07-05T00:00:00"/>
    <x v="1"/>
    <x v="0"/>
    <x v="0"/>
    <x v="1"/>
    <x v="1"/>
    <n v="13"/>
    <n v="19.29"/>
    <n v="8"/>
    <n v="3"/>
    <n v="16.059999999999999"/>
    <x v="0"/>
    <n v="1"/>
    <n v="250.76999999999998"/>
    <n v="258.77"/>
    <x v="2"/>
  </r>
  <r>
    <s v="ORD-10966"/>
    <x v="443"/>
    <d v="2024-07-09T00:00:00"/>
    <x v="11"/>
    <x v="3"/>
    <x v="3"/>
    <x v="1"/>
    <x v="1"/>
    <n v="1"/>
    <n v="507.43"/>
    <n v="25"/>
    <n v="202"/>
    <n v="165.1"/>
    <x v="0"/>
    <n v="5"/>
    <n v="507.43"/>
    <n v="532.43000000000006"/>
    <x v="0"/>
  </r>
  <r>
    <s v="ORD-10967"/>
    <x v="444"/>
    <d v="2024-07-16T00:00:00"/>
    <x v="8"/>
    <x v="2"/>
    <x v="2"/>
    <x v="2"/>
    <x v="1"/>
    <n v="1"/>
    <n v="307.70999999999998"/>
    <n v="75"/>
    <n v="296"/>
    <n v="24.04"/>
    <x v="1"/>
    <n v="11"/>
    <n v="307.70999999999998"/>
    <n v="382.71"/>
    <x v="0"/>
  </r>
  <r>
    <s v="ORD-10968"/>
    <x v="445"/>
    <d v="2024-07-07T00:00:00"/>
    <x v="9"/>
    <x v="2"/>
    <x v="2"/>
    <x v="2"/>
    <x v="3"/>
    <n v="2"/>
    <n v="203.06"/>
    <n v="112.5"/>
    <n v="220"/>
    <n v="24.98"/>
    <x v="0"/>
    <n v="1"/>
    <n v="406.12"/>
    <n v="518.62"/>
    <x v="0"/>
  </r>
  <r>
    <s v="ORD-10969"/>
    <x v="445"/>
    <d v="2024-07-07T00:00:00"/>
    <x v="1"/>
    <x v="0"/>
    <x v="0"/>
    <x v="1"/>
    <x v="2"/>
    <n v="5"/>
    <n v="46.62"/>
    <n v="8"/>
    <n v="83"/>
    <n v="14.65"/>
    <x v="0"/>
    <n v="1"/>
    <n v="233.1"/>
    <n v="241.1"/>
    <x v="0"/>
  </r>
  <r>
    <s v="ORD-10970"/>
    <x v="446"/>
    <d v="2024-07-09T00:00:00"/>
    <x v="3"/>
    <x v="1"/>
    <x v="1"/>
    <x v="2"/>
    <x v="3"/>
    <n v="3"/>
    <n v="75.17"/>
    <n v="18"/>
    <n v="197"/>
    <n v="81.2"/>
    <x v="0"/>
    <n v="2"/>
    <n v="225.51"/>
    <n v="243.51"/>
    <x v="0"/>
  </r>
  <r>
    <s v="ORD-10971"/>
    <x v="446"/>
    <d v="2024-07-11T00:00:00"/>
    <x v="3"/>
    <x v="1"/>
    <x v="1"/>
    <x v="1"/>
    <x v="0"/>
    <n v="4"/>
    <n v="70.430000000000007"/>
    <n v="12"/>
    <n v="66"/>
    <n v="106.68"/>
    <x v="0"/>
    <n v="4"/>
    <n v="281.72000000000003"/>
    <n v="293.72000000000003"/>
    <x v="0"/>
  </r>
  <r>
    <s v="ORD-10972"/>
    <x v="446"/>
    <d v="2024-07-11T00:00:00"/>
    <x v="5"/>
    <x v="3"/>
    <x v="3"/>
    <x v="0"/>
    <x v="0"/>
    <n v="1"/>
    <n v="221.65"/>
    <n v="25"/>
    <n v="27"/>
    <n v="-33.25"/>
    <x v="0"/>
    <n v="4"/>
    <n v="221.65"/>
    <n v="246.65"/>
    <x v="1"/>
  </r>
  <r>
    <s v="ORD-10973"/>
    <x v="446"/>
    <d v="2024-07-10T00:00:00"/>
    <x v="12"/>
    <x v="3"/>
    <x v="3"/>
    <x v="0"/>
    <x v="2"/>
    <n v="3"/>
    <n v="962.65"/>
    <n v="25"/>
    <n v="325"/>
    <n v="998.29"/>
    <x v="0"/>
    <n v="3"/>
    <n v="2887.95"/>
    <n v="2912.95"/>
    <x v="0"/>
  </r>
  <r>
    <s v="ORD-10974"/>
    <x v="447"/>
    <d v="2024-07-15T00:00:00"/>
    <x v="2"/>
    <x v="1"/>
    <x v="1"/>
    <x v="0"/>
    <x v="3"/>
    <n v="3"/>
    <n v="145.06"/>
    <n v="18"/>
    <n v="258"/>
    <n v="165.07"/>
    <x v="0"/>
    <n v="5"/>
    <n v="435.18"/>
    <n v="453.18"/>
    <x v="0"/>
  </r>
  <r>
    <s v="ORD-10975"/>
    <x v="447"/>
    <d v="2024-07-17T00:00:00"/>
    <x v="10"/>
    <x v="0"/>
    <x v="0"/>
    <x v="2"/>
    <x v="2"/>
    <n v="6"/>
    <n v="14.75"/>
    <n v="8"/>
    <n v="176"/>
    <n v="3.08"/>
    <x v="2"/>
    <n v="7"/>
    <n v="88.5"/>
    <n v="96.5"/>
    <x v="0"/>
  </r>
  <r>
    <s v="ORD-10976"/>
    <x v="447"/>
    <d v="2024-07-11T00:00:00"/>
    <x v="0"/>
    <x v="0"/>
    <x v="0"/>
    <x v="2"/>
    <x v="3"/>
    <n v="12"/>
    <n v="48.6"/>
    <n v="12"/>
    <n v="252"/>
    <n v="-87.48"/>
    <x v="0"/>
    <n v="1"/>
    <n v="583.20000000000005"/>
    <n v="595.20000000000005"/>
    <x v="0"/>
  </r>
  <r>
    <s v="ORD-10977"/>
    <x v="448"/>
    <d v="2024-07-16T00:00:00"/>
    <x v="12"/>
    <x v="3"/>
    <x v="3"/>
    <x v="2"/>
    <x v="3"/>
    <n v="3"/>
    <n v="789.13"/>
    <n v="37.5"/>
    <n v="320"/>
    <n v="809.84"/>
    <x v="0"/>
    <n v="4"/>
    <n v="2367.39"/>
    <n v="2404.89"/>
    <x v="0"/>
  </r>
  <r>
    <s v="ORD-10978"/>
    <x v="448"/>
    <d v="2024-07-16T00:00:00"/>
    <x v="4"/>
    <x v="2"/>
    <x v="2"/>
    <x v="1"/>
    <x v="2"/>
    <n v="1"/>
    <n v="318.44"/>
    <n v="75"/>
    <n v="126"/>
    <n v="26.19"/>
    <x v="0"/>
    <n v="4"/>
    <n v="318.44"/>
    <n v="393.44"/>
    <x v="0"/>
  </r>
  <r>
    <s v="ORD-10979"/>
    <x v="449"/>
    <d v="2024-07-18T00:00:00"/>
    <x v="1"/>
    <x v="0"/>
    <x v="0"/>
    <x v="0"/>
    <x v="0"/>
    <n v="13"/>
    <n v="41.49"/>
    <n v="8"/>
    <n v="299"/>
    <n v="-80.91"/>
    <x v="0"/>
    <n v="5"/>
    <n v="539.37"/>
    <n v="547.37"/>
    <x v="0"/>
  </r>
  <r>
    <s v="ORD-10980"/>
    <x v="450"/>
    <d v="2024-07-18T00:00:00"/>
    <x v="1"/>
    <x v="0"/>
    <x v="0"/>
    <x v="0"/>
    <x v="2"/>
    <n v="10"/>
    <n v="19.43"/>
    <n v="8"/>
    <n v="100"/>
    <n v="11.54"/>
    <x v="0"/>
    <n v="4"/>
    <n v="194.3"/>
    <n v="202.3"/>
    <x v="0"/>
  </r>
  <r>
    <s v="ORD-10981"/>
    <x v="450"/>
    <d v="2024-07-19T00:00:00"/>
    <x v="9"/>
    <x v="2"/>
    <x v="2"/>
    <x v="0"/>
    <x v="0"/>
    <n v="2"/>
    <n v="470.48"/>
    <n v="75"/>
    <n v="210"/>
    <n v="150.69"/>
    <x v="0"/>
    <n v="5"/>
    <n v="940.96"/>
    <n v="1015.96"/>
    <x v="0"/>
  </r>
  <r>
    <s v="ORD-10982"/>
    <x v="450"/>
    <d v="2024-07-31T00:00:00"/>
    <x v="4"/>
    <x v="2"/>
    <x v="2"/>
    <x v="2"/>
    <x v="3"/>
    <n v="1"/>
    <n v="272.93"/>
    <n v="112.5"/>
    <n v="380"/>
    <n v="-1.66"/>
    <x v="1"/>
    <n v="17"/>
    <n v="272.93"/>
    <n v="385.43"/>
    <x v="0"/>
  </r>
  <r>
    <s v="ORD-10983"/>
    <x v="451"/>
    <d v="2024-07-20T00:00:00"/>
    <x v="1"/>
    <x v="0"/>
    <x v="0"/>
    <x v="0"/>
    <x v="2"/>
    <n v="14"/>
    <n v="27.22"/>
    <n v="8"/>
    <n v="45"/>
    <n v="26.48"/>
    <x v="0"/>
    <n v="4"/>
    <n v="381.08"/>
    <n v="389.08"/>
    <x v="1"/>
  </r>
  <r>
    <s v="ORD-10984"/>
    <x v="451"/>
    <d v="2024-07-21T00:00:00"/>
    <x v="1"/>
    <x v="0"/>
    <x v="0"/>
    <x v="0"/>
    <x v="2"/>
    <n v="10"/>
    <n v="13.95"/>
    <n v="8"/>
    <n v="286"/>
    <n v="7.16"/>
    <x v="0"/>
    <n v="5"/>
    <n v="139.5"/>
    <n v="147.5"/>
    <x v="0"/>
  </r>
  <r>
    <s v="ORD-10985"/>
    <x v="451"/>
    <d v="2024-07-19T00:00:00"/>
    <x v="7"/>
    <x v="1"/>
    <x v="1"/>
    <x v="0"/>
    <x v="0"/>
    <n v="1"/>
    <n v="121.73"/>
    <n v="12"/>
    <n v="121"/>
    <n v="42.69"/>
    <x v="0"/>
    <n v="3"/>
    <n v="121.73"/>
    <n v="133.73000000000002"/>
    <x v="0"/>
  </r>
  <r>
    <s v="ORD-10986"/>
    <x v="452"/>
    <d v="2024-07-19T00:00:00"/>
    <x v="1"/>
    <x v="0"/>
    <x v="0"/>
    <x v="0"/>
    <x v="3"/>
    <n v="13"/>
    <n v="38.54"/>
    <n v="12"/>
    <n v="32"/>
    <n v="34.08"/>
    <x v="0"/>
    <n v="2"/>
    <n v="501.02"/>
    <n v="513.02"/>
    <x v="1"/>
  </r>
  <r>
    <s v="ORD-10987"/>
    <x v="452"/>
    <d v="2024-07-22T00:00:00"/>
    <x v="2"/>
    <x v="1"/>
    <x v="1"/>
    <x v="0"/>
    <x v="3"/>
    <n v="3"/>
    <n v="70.62"/>
    <n v="18"/>
    <n v="127"/>
    <n v="75.739999999999995"/>
    <x v="0"/>
    <n v="5"/>
    <n v="211.86"/>
    <n v="229.86"/>
    <x v="0"/>
  </r>
  <r>
    <s v="ORD-10988"/>
    <x v="452"/>
    <d v="2024-07-19T00:00:00"/>
    <x v="0"/>
    <x v="0"/>
    <x v="0"/>
    <x v="2"/>
    <x v="3"/>
    <n v="5"/>
    <n v="20.149999999999999"/>
    <n v="12"/>
    <n v="109"/>
    <n v="2.06"/>
    <x v="0"/>
    <n v="2"/>
    <n v="100.75"/>
    <n v="112.75"/>
    <x v="0"/>
  </r>
  <r>
    <s v="ORD-10989"/>
    <x v="453"/>
    <d v="2024-07-22T00:00:00"/>
    <x v="8"/>
    <x v="2"/>
    <x v="2"/>
    <x v="2"/>
    <x v="1"/>
    <n v="1"/>
    <n v="345.38"/>
    <n v="75"/>
    <n v="358"/>
    <n v="31.58"/>
    <x v="0"/>
    <n v="4"/>
    <n v="345.38"/>
    <n v="420.38"/>
    <x v="0"/>
  </r>
  <r>
    <s v="ORD-10990"/>
    <x v="454"/>
    <d v="2024-07-20T00:00:00"/>
    <x v="8"/>
    <x v="2"/>
    <x v="2"/>
    <x v="1"/>
    <x v="0"/>
    <n v="2"/>
    <n v="260.98"/>
    <n v="75"/>
    <n v="113"/>
    <n v="66.89"/>
    <x v="0"/>
    <n v="1"/>
    <n v="521.96"/>
    <n v="596.96"/>
    <x v="0"/>
  </r>
  <r>
    <s v="ORD-10991"/>
    <x v="454"/>
    <d v="2024-07-20T00:00:00"/>
    <x v="1"/>
    <x v="0"/>
    <x v="0"/>
    <x v="2"/>
    <x v="2"/>
    <n v="6"/>
    <n v="47.1"/>
    <n v="8"/>
    <n v="398"/>
    <n v="18.61"/>
    <x v="0"/>
    <n v="1"/>
    <n v="282.60000000000002"/>
    <n v="290.60000000000002"/>
    <x v="0"/>
  </r>
  <r>
    <s v="ORD-10992"/>
    <x v="455"/>
    <d v="2024-07-23T00:00:00"/>
    <x v="11"/>
    <x v="3"/>
    <x v="3"/>
    <x v="2"/>
    <x v="1"/>
    <n v="3"/>
    <n v="300.37"/>
    <n v="25"/>
    <n v="139"/>
    <n v="302.88"/>
    <x v="0"/>
    <n v="3"/>
    <n v="901.11"/>
    <n v="926.11"/>
    <x v="0"/>
  </r>
  <r>
    <s v="ORD-10993"/>
    <x v="456"/>
    <d v="2024-07-29T00:00:00"/>
    <x v="14"/>
    <x v="4"/>
    <x v="4"/>
    <x v="2"/>
    <x v="3"/>
    <n v="4"/>
    <n v="65"/>
    <n v="18"/>
    <n v="143"/>
    <n v="108"/>
    <x v="2"/>
    <n v="7"/>
    <n v="260"/>
    <n v="278"/>
    <x v="0"/>
  </r>
  <r>
    <s v="ORD-10994"/>
    <x v="457"/>
    <d v="2024-07-26T00:00:00"/>
    <x v="7"/>
    <x v="1"/>
    <x v="1"/>
    <x v="2"/>
    <x v="3"/>
    <n v="2"/>
    <n v="84.16"/>
    <n v="18"/>
    <n v="173"/>
    <n v="58.32"/>
    <x v="0"/>
    <n v="3"/>
    <n v="168.32"/>
    <n v="186.32"/>
    <x v="0"/>
  </r>
  <r>
    <s v="ORD-10995"/>
    <x v="457"/>
    <d v="2024-07-27T00:00:00"/>
    <x v="0"/>
    <x v="0"/>
    <x v="0"/>
    <x v="2"/>
    <x v="1"/>
    <n v="7"/>
    <n v="23.86"/>
    <n v="8"/>
    <n v="4"/>
    <n v="9.36"/>
    <x v="0"/>
    <n v="4"/>
    <n v="167.01999999999998"/>
    <n v="175.01999999999998"/>
    <x v="2"/>
  </r>
  <r>
    <s v="ORD-10996"/>
    <x v="457"/>
    <d v="2024-07-24T00:00:00"/>
    <x v="5"/>
    <x v="3"/>
    <x v="3"/>
    <x v="0"/>
    <x v="0"/>
    <n v="2"/>
    <n v="670.54"/>
    <n v="25"/>
    <n v="188"/>
    <n v="456.88"/>
    <x v="0"/>
    <n v="1"/>
    <n v="1341.08"/>
    <n v="1366.08"/>
    <x v="0"/>
  </r>
  <r>
    <s v="ORD-10997"/>
    <x v="457"/>
    <d v="2024-07-25T00:00:00"/>
    <x v="1"/>
    <x v="0"/>
    <x v="0"/>
    <x v="0"/>
    <x v="0"/>
    <n v="12"/>
    <n v="21.15"/>
    <n v="8"/>
    <n v="350"/>
    <n v="16.3"/>
    <x v="0"/>
    <n v="2"/>
    <n v="253.79999999999998"/>
    <n v="261.79999999999995"/>
    <x v="0"/>
  </r>
  <r>
    <s v="ORD-10998"/>
    <x v="458"/>
    <d v="2024-08-07T00:00:00"/>
    <x v="4"/>
    <x v="2"/>
    <x v="2"/>
    <x v="2"/>
    <x v="1"/>
    <n v="1"/>
    <n v="446"/>
    <n v="75"/>
    <n v="128"/>
    <n v="51.7"/>
    <x v="1"/>
    <n v="14"/>
    <n v="446"/>
    <n v="521"/>
    <x v="0"/>
  </r>
  <r>
    <s v="ORD-10999"/>
    <x v="459"/>
    <d v="2024-07-28T00:00:00"/>
    <x v="6"/>
    <x v="3"/>
    <x v="3"/>
    <x v="2"/>
    <x v="1"/>
    <n v="3"/>
    <n v="618.26"/>
    <n v="25"/>
    <n v="378"/>
    <n v="636.67999999999995"/>
    <x v="0"/>
    <n v="3"/>
    <n v="1854.78"/>
    <n v="1879.78"/>
    <x v="0"/>
  </r>
  <r>
    <s v="ORD-11000"/>
    <x v="459"/>
    <d v="2024-08-11T00:00:00"/>
    <x v="9"/>
    <x v="2"/>
    <x v="2"/>
    <x v="2"/>
    <x v="1"/>
    <n v="1"/>
    <n v="229.44"/>
    <n v="75"/>
    <n v="279"/>
    <n v="8.39"/>
    <x v="1"/>
    <n v="17"/>
    <n v="229.44"/>
    <n v="304.44"/>
    <x v="0"/>
  </r>
  <r>
    <s v="ORD-11001"/>
    <x v="460"/>
    <d v="2024-07-30T00:00:00"/>
    <x v="12"/>
    <x v="3"/>
    <x v="3"/>
    <x v="1"/>
    <x v="1"/>
    <n v="2"/>
    <n v="1107.8900000000001"/>
    <n v="25"/>
    <n v="45"/>
    <n v="763.02"/>
    <x v="0"/>
    <n v="3"/>
    <n v="2215.7800000000002"/>
    <n v="2240.7800000000002"/>
    <x v="1"/>
  </r>
  <r>
    <s v="ORD-11002"/>
    <x v="460"/>
    <d v="2024-08-11T00:00:00"/>
    <x v="5"/>
    <x v="3"/>
    <x v="3"/>
    <x v="2"/>
    <x v="2"/>
    <n v="2"/>
    <n v="823.44"/>
    <n v="25"/>
    <n v="155"/>
    <n v="563.91"/>
    <x v="1"/>
    <n v="15"/>
    <n v="1646.88"/>
    <n v="1671.88"/>
    <x v="0"/>
  </r>
  <r>
    <s v="ORD-11003"/>
    <x v="461"/>
    <d v="2024-07-30T00:00:00"/>
    <x v="1"/>
    <x v="0"/>
    <x v="0"/>
    <x v="0"/>
    <x v="0"/>
    <n v="11"/>
    <n v="39.159999999999997"/>
    <n v="8"/>
    <n v="285"/>
    <n v="30.46"/>
    <x v="0"/>
    <n v="2"/>
    <n v="430.76"/>
    <n v="438.76"/>
    <x v="0"/>
  </r>
  <r>
    <s v="ORD-11004"/>
    <x v="461"/>
    <d v="2024-08-11T00:00:00"/>
    <x v="2"/>
    <x v="1"/>
    <x v="1"/>
    <x v="2"/>
    <x v="3"/>
    <n v="5"/>
    <n v="41.87"/>
    <n v="18"/>
    <n v="376"/>
    <n v="74.739999999999995"/>
    <x v="1"/>
    <n v="14"/>
    <n v="209.35"/>
    <n v="227.35"/>
    <x v="0"/>
  </r>
  <r>
    <s v="ORD-11005"/>
    <x v="461"/>
    <d v="2024-07-29T00:00:00"/>
    <x v="11"/>
    <x v="3"/>
    <x v="3"/>
    <x v="1"/>
    <x v="0"/>
    <n v="3"/>
    <n v="560.53"/>
    <n v="25"/>
    <n v="69"/>
    <n v="576.05999999999995"/>
    <x v="0"/>
    <n v="1"/>
    <n v="1681.59"/>
    <n v="1706.59"/>
    <x v="0"/>
  </r>
  <r>
    <s v="ORD-11006"/>
    <x v="461"/>
    <d v="2024-07-31T00:00:00"/>
    <x v="5"/>
    <x v="3"/>
    <x v="3"/>
    <x v="1"/>
    <x v="1"/>
    <n v="3"/>
    <n v="494.65"/>
    <n v="25"/>
    <n v="268"/>
    <n v="506.88"/>
    <x v="0"/>
    <n v="3"/>
    <n v="1483.9499999999998"/>
    <n v="1508.9499999999998"/>
    <x v="0"/>
  </r>
  <r>
    <s v="ORD-11007"/>
    <x v="462"/>
    <d v="2024-08-14T00:00:00"/>
    <x v="0"/>
    <x v="0"/>
    <x v="0"/>
    <x v="2"/>
    <x v="3"/>
    <n v="12"/>
    <n v="11.98"/>
    <n v="12"/>
    <n v="61"/>
    <n v="-21.56"/>
    <x v="1"/>
    <n v="16"/>
    <n v="143.76"/>
    <n v="155.76"/>
    <x v="0"/>
  </r>
  <r>
    <s v="ORD-11008"/>
    <x v="463"/>
    <d v="2024-08-04T00:00:00"/>
    <x v="6"/>
    <x v="3"/>
    <x v="3"/>
    <x v="0"/>
    <x v="1"/>
    <n v="3"/>
    <n v="812.17"/>
    <n v="25"/>
    <n v="117"/>
    <n v="840.27"/>
    <x v="0"/>
    <n v="5"/>
    <n v="2436.5099999999998"/>
    <n v="2461.5099999999998"/>
    <x v="0"/>
  </r>
  <r>
    <s v="ORD-11009"/>
    <x v="464"/>
    <d v="2024-08-04T00:00:00"/>
    <x v="2"/>
    <x v="1"/>
    <x v="1"/>
    <x v="2"/>
    <x v="1"/>
    <n v="1"/>
    <n v="47.98"/>
    <n v="12"/>
    <n v="386"/>
    <n v="13.19"/>
    <x v="0"/>
    <n v="4"/>
    <n v="47.98"/>
    <n v="59.98"/>
    <x v="0"/>
  </r>
  <r>
    <s v="ORD-11010"/>
    <x v="464"/>
    <d v="2024-08-01T00:00:00"/>
    <x v="10"/>
    <x v="0"/>
    <x v="0"/>
    <x v="0"/>
    <x v="2"/>
    <n v="11"/>
    <n v="20.94"/>
    <n v="8"/>
    <n v="8"/>
    <n v="14.43"/>
    <x v="0"/>
    <n v="1"/>
    <n v="230.34"/>
    <n v="238.34"/>
    <x v="2"/>
  </r>
  <r>
    <s v="ORD-11011"/>
    <x v="464"/>
    <d v="2024-08-05T00:00:00"/>
    <x v="2"/>
    <x v="1"/>
    <x v="1"/>
    <x v="2"/>
    <x v="1"/>
    <n v="3"/>
    <n v="111.77"/>
    <n v="12"/>
    <n v="222"/>
    <n v="128.13"/>
    <x v="0"/>
    <n v="5"/>
    <n v="335.31"/>
    <n v="347.31"/>
    <x v="0"/>
  </r>
  <r>
    <s v="ORD-11012"/>
    <x v="464"/>
    <d v="2024-08-02T00:00:00"/>
    <x v="0"/>
    <x v="0"/>
    <x v="0"/>
    <x v="1"/>
    <x v="1"/>
    <n v="10"/>
    <n v="44.7"/>
    <n v="8"/>
    <n v="162"/>
    <n v="31.76"/>
    <x v="0"/>
    <n v="2"/>
    <n v="447"/>
    <n v="455"/>
    <x v="0"/>
  </r>
  <r>
    <s v="ORD-11013"/>
    <x v="465"/>
    <d v="2024-08-05T00:00:00"/>
    <x v="12"/>
    <x v="3"/>
    <x v="3"/>
    <x v="0"/>
    <x v="1"/>
    <n v="2"/>
    <n v="203.17"/>
    <n v="25"/>
    <n v="335"/>
    <n v="129.72"/>
    <x v="0"/>
    <n v="4"/>
    <n v="406.34"/>
    <n v="431.34"/>
    <x v="0"/>
  </r>
  <r>
    <s v="ORD-11014"/>
    <x v="465"/>
    <d v="2024-08-05T00:00:00"/>
    <x v="0"/>
    <x v="0"/>
    <x v="0"/>
    <x v="0"/>
    <x v="1"/>
    <n v="9"/>
    <n v="22.83"/>
    <n v="8"/>
    <n v="330"/>
    <n v="12.44"/>
    <x v="0"/>
    <n v="4"/>
    <n v="205.46999999999997"/>
    <n v="213.46999999999997"/>
    <x v="0"/>
  </r>
  <r>
    <s v="ORD-11015"/>
    <x v="466"/>
    <d v="2024-08-11T00:00:00"/>
    <x v="7"/>
    <x v="1"/>
    <x v="1"/>
    <x v="2"/>
    <x v="3"/>
    <n v="2"/>
    <n v="33.630000000000003"/>
    <n v="18"/>
    <n v="242"/>
    <n v="-10.09"/>
    <x v="2"/>
    <n v="9"/>
    <n v="67.260000000000005"/>
    <n v="85.26"/>
    <x v="0"/>
  </r>
  <r>
    <s v="ORD-11016"/>
    <x v="467"/>
    <d v="2024-08-20T00:00:00"/>
    <x v="12"/>
    <x v="3"/>
    <x v="3"/>
    <x v="2"/>
    <x v="2"/>
    <n v="1"/>
    <n v="1197.23"/>
    <n v="25"/>
    <n v="224"/>
    <n v="406.53"/>
    <x v="1"/>
    <n v="17"/>
    <n v="1197.23"/>
    <n v="1222.23"/>
    <x v="0"/>
  </r>
  <r>
    <s v="ORD-11017"/>
    <x v="467"/>
    <d v="2024-08-07T00:00:00"/>
    <x v="8"/>
    <x v="2"/>
    <x v="2"/>
    <x v="0"/>
    <x v="0"/>
    <n v="2"/>
    <n v="279.7"/>
    <n v="75"/>
    <n v="67"/>
    <n v="74.38"/>
    <x v="0"/>
    <n v="4"/>
    <n v="559.4"/>
    <n v="634.4"/>
    <x v="0"/>
  </r>
  <r>
    <s v="ORD-11018"/>
    <x v="467"/>
    <d v="2024-08-04T00:00:00"/>
    <x v="5"/>
    <x v="3"/>
    <x v="3"/>
    <x v="0"/>
    <x v="0"/>
    <n v="1"/>
    <n v="753.84"/>
    <n v="25"/>
    <n v="319"/>
    <n v="251.34"/>
    <x v="0"/>
    <n v="1"/>
    <n v="753.84"/>
    <n v="778.84"/>
    <x v="0"/>
  </r>
  <r>
    <s v="ORD-11019"/>
    <x v="468"/>
    <d v="2024-08-07T00:00:00"/>
    <x v="8"/>
    <x v="2"/>
    <x v="2"/>
    <x v="0"/>
    <x v="3"/>
    <n v="1"/>
    <n v="410.71"/>
    <n v="112.5"/>
    <n v="205"/>
    <n v="25.89"/>
    <x v="0"/>
    <n v="1"/>
    <n v="410.71"/>
    <n v="523.21"/>
    <x v="0"/>
  </r>
  <r>
    <s v="ORD-11020"/>
    <x v="468"/>
    <d v="2024-08-21T00:00:00"/>
    <x v="3"/>
    <x v="1"/>
    <x v="1"/>
    <x v="2"/>
    <x v="3"/>
    <n v="2"/>
    <n v="99.24"/>
    <n v="18"/>
    <n v="347"/>
    <n v="70.400000000000006"/>
    <x v="1"/>
    <n v="15"/>
    <n v="198.48"/>
    <n v="216.48"/>
    <x v="0"/>
  </r>
  <r>
    <s v="ORD-11021"/>
    <x v="469"/>
    <d v="2024-08-10T00:00:00"/>
    <x v="1"/>
    <x v="0"/>
    <x v="0"/>
    <x v="1"/>
    <x v="2"/>
    <n v="10"/>
    <n v="26.69"/>
    <n v="8"/>
    <n v="82"/>
    <n v="17.36"/>
    <x v="0"/>
    <n v="3"/>
    <n v="266.90000000000003"/>
    <n v="274.90000000000003"/>
    <x v="0"/>
  </r>
  <r>
    <s v="ORD-11022"/>
    <x v="469"/>
    <d v="2024-08-09T00:00:00"/>
    <x v="11"/>
    <x v="3"/>
    <x v="3"/>
    <x v="2"/>
    <x v="3"/>
    <n v="2"/>
    <n v="597.21"/>
    <n v="37.5"/>
    <n v="215"/>
    <n v="399.29"/>
    <x v="0"/>
    <n v="2"/>
    <n v="1194.42"/>
    <n v="1231.92"/>
    <x v="0"/>
  </r>
  <r>
    <s v="ORD-11023"/>
    <x v="470"/>
    <d v="2024-08-16T00:00:00"/>
    <x v="14"/>
    <x v="4"/>
    <x v="4"/>
    <x v="2"/>
    <x v="2"/>
    <n v="4"/>
    <n v="128.96"/>
    <n v="12"/>
    <n v="193"/>
    <n v="226.13"/>
    <x v="2"/>
    <n v="8"/>
    <n v="515.84"/>
    <n v="527.84"/>
    <x v="0"/>
  </r>
  <r>
    <s v="ORD-11024"/>
    <x v="471"/>
    <d v="2024-08-10T00:00:00"/>
    <x v="8"/>
    <x v="2"/>
    <x v="2"/>
    <x v="0"/>
    <x v="2"/>
    <n v="1"/>
    <n v="402.04"/>
    <n v="75"/>
    <n v="62"/>
    <n v="42.91"/>
    <x v="0"/>
    <n v="1"/>
    <n v="402.04"/>
    <n v="477.04"/>
    <x v="0"/>
  </r>
  <r>
    <s v="ORD-11025"/>
    <x v="472"/>
    <d v="2024-08-13T00:00:00"/>
    <x v="3"/>
    <x v="1"/>
    <x v="1"/>
    <x v="0"/>
    <x v="0"/>
    <n v="2"/>
    <n v="47.88"/>
    <n v="12"/>
    <n v="351"/>
    <n v="32.299999999999997"/>
    <x v="0"/>
    <n v="3"/>
    <n v="95.76"/>
    <n v="107.76"/>
    <x v="0"/>
  </r>
  <r>
    <s v="ORD-11026"/>
    <x v="472"/>
    <d v="2024-08-14T00:00:00"/>
    <x v="3"/>
    <x v="1"/>
    <x v="1"/>
    <x v="1"/>
    <x v="2"/>
    <n v="2"/>
    <n v="67.099999999999994"/>
    <n v="12"/>
    <n v="282"/>
    <n v="47.68"/>
    <x v="0"/>
    <n v="4"/>
    <n v="134.19999999999999"/>
    <n v="146.19999999999999"/>
    <x v="0"/>
  </r>
  <r>
    <s v="ORD-11027"/>
    <x v="472"/>
    <d v="2024-08-12T00:00:00"/>
    <x v="8"/>
    <x v="2"/>
    <x v="2"/>
    <x v="1"/>
    <x v="2"/>
    <n v="1"/>
    <n v="209.86"/>
    <n v="75"/>
    <n v="365"/>
    <n v="4.47"/>
    <x v="0"/>
    <n v="2"/>
    <n v="209.86"/>
    <n v="284.86"/>
    <x v="0"/>
  </r>
  <r>
    <s v="ORD-11028"/>
    <x v="472"/>
    <d v="2024-08-11T00:00:00"/>
    <x v="11"/>
    <x v="3"/>
    <x v="3"/>
    <x v="2"/>
    <x v="2"/>
    <n v="1"/>
    <n v="788.94"/>
    <n v="25"/>
    <n v="221"/>
    <n v="263.63"/>
    <x v="0"/>
    <n v="1"/>
    <n v="788.94"/>
    <n v="813.94"/>
    <x v="0"/>
  </r>
  <r>
    <s v="ORD-11029"/>
    <x v="472"/>
    <d v="2024-08-13T00:00:00"/>
    <x v="2"/>
    <x v="1"/>
    <x v="1"/>
    <x v="2"/>
    <x v="3"/>
    <n v="3"/>
    <n v="43.6"/>
    <n v="18"/>
    <n v="111"/>
    <n v="43.32"/>
    <x v="0"/>
    <n v="3"/>
    <n v="130.80000000000001"/>
    <n v="148.80000000000001"/>
    <x v="0"/>
  </r>
  <r>
    <s v="ORD-11030"/>
    <x v="473"/>
    <d v="2024-08-12T00:00:00"/>
    <x v="2"/>
    <x v="1"/>
    <x v="1"/>
    <x v="2"/>
    <x v="2"/>
    <n v="5"/>
    <n v="21.93"/>
    <n v="12"/>
    <n v="361"/>
    <n v="37.86"/>
    <x v="0"/>
    <n v="1"/>
    <n v="109.65"/>
    <n v="121.65"/>
    <x v="0"/>
  </r>
  <r>
    <s v="ORD-11031"/>
    <x v="473"/>
    <d v="2024-08-13T00:00:00"/>
    <x v="9"/>
    <x v="2"/>
    <x v="2"/>
    <x v="0"/>
    <x v="0"/>
    <n v="2"/>
    <n v="419.47"/>
    <n v="75"/>
    <n v="335"/>
    <n v="130.29"/>
    <x v="0"/>
    <n v="2"/>
    <n v="838.94"/>
    <n v="913.94"/>
    <x v="0"/>
  </r>
  <r>
    <s v="ORD-11032"/>
    <x v="473"/>
    <d v="2024-08-19T00:00:00"/>
    <x v="12"/>
    <x v="3"/>
    <x v="3"/>
    <x v="2"/>
    <x v="3"/>
    <n v="3"/>
    <n v="1009.47"/>
    <n v="37.5"/>
    <n v="236"/>
    <n v="1041.2"/>
    <x v="2"/>
    <n v="8"/>
    <n v="3028.41"/>
    <n v="3065.91"/>
    <x v="0"/>
  </r>
  <r>
    <s v="ORD-11033"/>
    <x v="473"/>
    <d v="2024-08-19T00:00:00"/>
    <x v="5"/>
    <x v="3"/>
    <x v="3"/>
    <x v="2"/>
    <x v="3"/>
    <n v="3"/>
    <n v="789.21"/>
    <n v="37.5"/>
    <n v="246"/>
    <n v="809.92"/>
    <x v="2"/>
    <n v="8"/>
    <n v="2367.63"/>
    <n v="2405.13"/>
    <x v="0"/>
  </r>
  <r>
    <s v="ORD-11034"/>
    <x v="474"/>
    <d v="2024-08-14T00:00:00"/>
    <x v="3"/>
    <x v="1"/>
    <x v="1"/>
    <x v="0"/>
    <x v="3"/>
    <n v="1"/>
    <n v="136.72"/>
    <n v="18"/>
    <n v="258"/>
    <n v="45.69"/>
    <x v="0"/>
    <n v="2"/>
    <n v="136.72"/>
    <n v="154.72"/>
    <x v="0"/>
  </r>
  <r>
    <s v="ORD-11035"/>
    <x v="474"/>
    <d v="2024-08-22T00:00:00"/>
    <x v="1"/>
    <x v="0"/>
    <x v="0"/>
    <x v="2"/>
    <x v="3"/>
    <n v="12"/>
    <n v="20.71"/>
    <n v="12"/>
    <n v="59"/>
    <n v="13.89"/>
    <x v="2"/>
    <n v="10"/>
    <n v="248.52"/>
    <n v="260.52"/>
    <x v="0"/>
  </r>
  <r>
    <s v="ORD-11036"/>
    <x v="475"/>
    <d v="2024-08-20T00:00:00"/>
    <x v="7"/>
    <x v="1"/>
    <x v="1"/>
    <x v="2"/>
    <x v="3"/>
    <n v="1"/>
    <n v="99.37"/>
    <n v="18"/>
    <n v="288"/>
    <n v="30.75"/>
    <x v="2"/>
    <n v="7"/>
    <n v="99.37"/>
    <n v="117.37"/>
    <x v="0"/>
  </r>
  <r>
    <s v="ORD-11037"/>
    <x v="476"/>
    <d v="2024-08-18T00:00:00"/>
    <x v="5"/>
    <x v="3"/>
    <x v="3"/>
    <x v="2"/>
    <x v="3"/>
    <n v="1"/>
    <n v="952.12"/>
    <n v="37.5"/>
    <n v="217"/>
    <n v="314.49"/>
    <x v="0"/>
    <n v="4"/>
    <n v="952.12"/>
    <n v="989.62"/>
    <x v="0"/>
  </r>
  <r>
    <s v="ORD-11038"/>
    <x v="476"/>
    <d v="2024-08-23T00:00:00"/>
    <x v="5"/>
    <x v="3"/>
    <x v="3"/>
    <x v="2"/>
    <x v="0"/>
    <n v="2"/>
    <n v="806.19"/>
    <n v="25"/>
    <n v="305"/>
    <n v="551.84"/>
    <x v="2"/>
    <n v="9"/>
    <n v="1612.38"/>
    <n v="1637.38"/>
    <x v="0"/>
  </r>
  <r>
    <s v="ORD-11039"/>
    <x v="477"/>
    <d v="2024-08-19T00:00:00"/>
    <x v="9"/>
    <x v="2"/>
    <x v="2"/>
    <x v="0"/>
    <x v="1"/>
    <n v="2"/>
    <n v="490.73"/>
    <n v="75"/>
    <n v="166"/>
    <n v="158.79"/>
    <x v="0"/>
    <n v="4"/>
    <n v="981.46"/>
    <n v="1056.46"/>
    <x v="0"/>
  </r>
  <r>
    <s v="ORD-11040"/>
    <x v="477"/>
    <d v="2024-08-19T00:00:00"/>
    <x v="1"/>
    <x v="0"/>
    <x v="0"/>
    <x v="0"/>
    <x v="1"/>
    <n v="13"/>
    <n v="29.3"/>
    <n v="8"/>
    <n v="306"/>
    <n v="26.47"/>
    <x v="0"/>
    <n v="4"/>
    <n v="380.90000000000003"/>
    <n v="388.90000000000003"/>
    <x v="0"/>
  </r>
  <r>
    <s v="ORD-11041"/>
    <x v="477"/>
    <d v="2024-08-17T00:00:00"/>
    <x v="14"/>
    <x v="4"/>
    <x v="4"/>
    <x v="2"/>
    <x v="3"/>
    <n v="5"/>
    <n v="117.36"/>
    <n v="18"/>
    <n v="65"/>
    <n v="255.06"/>
    <x v="0"/>
    <n v="2"/>
    <n v="586.79999999999995"/>
    <n v="604.79999999999995"/>
    <x v="0"/>
  </r>
  <r>
    <s v="ORD-11042"/>
    <x v="478"/>
    <d v="2024-08-18T00:00:00"/>
    <x v="15"/>
    <x v="4"/>
    <x v="4"/>
    <x v="0"/>
    <x v="1"/>
    <n v="1"/>
    <n v="31.06"/>
    <n v="12"/>
    <n v="40"/>
    <n v="-4.66"/>
    <x v="0"/>
    <n v="2"/>
    <n v="31.06"/>
    <n v="43.06"/>
    <x v="1"/>
  </r>
  <r>
    <s v="ORD-11043"/>
    <x v="478"/>
    <d v="2024-08-18T00:00:00"/>
    <x v="9"/>
    <x v="2"/>
    <x v="2"/>
    <x v="0"/>
    <x v="1"/>
    <n v="1"/>
    <n v="382.91"/>
    <n v="75"/>
    <n v="340"/>
    <n v="39.08"/>
    <x v="0"/>
    <n v="2"/>
    <n v="382.91"/>
    <n v="457.91"/>
    <x v="0"/>
  </r>
  <r>
    <s v="ORD-11044"/>
    <x v="478"/>
    <d v="2024-08-19T00:00:00"/>
    <x v="2"/>
    <x v="1"/>
    <x v="1"/>
    <x v="2"/>
    <x v="3"/>
    <n v="5"/>
    <n v="103.82"/>
    <n v="18"/>
    <n v="259"/>
    <n v="198.65"/>
    <x v="0"/>
    <n v="3"/>
    <n v="519.09999999999991"/>
    <n v="537.09999999999991"/>
    <x v="0"/>
  </r>
  <r>
    <s v="ORD-11045"/>
    <x v="479"/>
    <d v="2024-08-28T00:00:00"/>
    <x v="15"/>
    <x v="4"/>
    <x v="4"/>
    <x v="2"/>
    <x v="3"/>
    <n v="4"/>
    <n v="90.12"/>
    <n v="18"/>
    <n v="300"/>
    <n v="153.22"/>
    <x v="1"/>
    <n v="11"/>
    <n v="360.48"/>
    <n v="378.48"/>
    <x v="0"/>
  </r>
  <r>
    <s v="ORD-11046"/>
    <x v="480"/>
    <d v="2024-08-20T00:00:00"/>
    <x v="10"/>
    <x v="0"/>
    <x v="0"/>
    <x v="1"/>
    <x v="1"/>
    <n v="12"/>
    <n v="38.01"/>
    <n v="8"/>
    <n v="23"/>
    <n v="32.49"/>
    <x v="0"/>
    <n v="2"/>
    <n v="456.12"/>
    <n v="464.12"/>
    <x v="1"/>
  </r>
  <r>
    <s v="ORD-11047"/>
    <x v="481"/>
    <d v="2024-08-29T00:00:00"/>
    <x v="3"/>
    <x v="1"/>
    <x v="1"/>
    <x v="2"/>
    <x v="3"/>
    <n v="4"/>
    <n v="85.81"/>
    <n v="18"/>
    <n v="320"/>
    <n v="128.30000000000001"/>
    <x v="2"/>
    <n v="9"/>
    <n v="343.24"/>
    <n v="361.24"/>
    <x v="0"/>
  </r>
  <r>
    <s v="ORD-11048"/>
    <x v="481"/>
    <d v="2024-08-25T00:00:00"/>
    <x v="12"/>
    <x v="3"/>
    <x v="3"/>
    <x v="2"/>
    <x v="3"/>
    <n v="2"/>
    <n v="748.95"/>
    <n v="37.5"/>
    <n v="282"/>
    <n v="505.51"/>
    <x v="0"/>
    <n v="5"/>
    <n v="1497.9"/>
    <n v="1535.4"/>
    <x v="0"/>
  </r>
  <r>
    <s v="ORD-11049"/>
    <x v="481"/>
    <d v="2024-08-22T00:00:00"/>
    <x v="12"/>
    <x v="3"/>
    <x v="3"/>
    <x v="2"/>
    <x v="0"/>
    <n v="2"/>
    <n v="491.58"/>
    <n v="25"/>
    <n v="99"/>
    <n v="331.6"/>
    <x v="0"/>
    <n v="2"/>
    <n v="983.16"/>
    <n v="1008.16"/>
    <x v="0"/>
  </r>
  <r>
    <s v="ORD-11050"/>
    <x v="482"/>
    <d v="2024-08-28T00:00:00"/>
    <x v="14"/>
    <x v="4"/>
    <x v="4"/>
    <x v="0"/>
    <x v="1"/>
    <n v="3"/>
    <n v="131.44999999999999"/>
    <n v="12"/>
    <n v="211"/>
    <n v="171.46"/>
    <x v="0"/>
    <n v="5"/>
    <n v="394.34999999999997"/>
    <n v="406.34999999999997"/>
    <x v="0"/>
  </r>
  <r>
    <s v="ORD-11051"/>
    <x v="482"/>
    <d v="2024-08-24T00:00:00"/>
    <x v="7"/>
    <x v="1"/>
    <x v="1"/>
    <x v="1"/>
    <x v="1"/>
    <n v="2"/>
    <n v="98.79"/>
    <n v="12"/>
    <n v="223"/>
    <n v="73.040000000000006"/>
    <x v="0"/>
    <n v="1"/>
    <n v="197.58"/>
    <n v="209.58"/>
    <x v="0"/>
  </r>
  <r>
    <s v="ORD-11052"/>
    <x v="483"/>
    <d v="2024-08-28T00:00:00"/>
    <x v="0"/>
    <x v="0"/>
    <x v="0"/>
    <x v="1"/>
    <x v="0"/>
    <n v="6"/>
    <n v="17.850000000000001"/>
    <n v="8"/>
    <n v="99"/>
    <n v="4.57"/>
    <x v="0"/>
    <n v="2"/>
    <n v="107.10000000000001"/>
    <n v="115.10000000000001"/>
    <x v="0"/>
  </r>
  <r>
    <s v="ORD-11053"/>
    <x v="483"/>
    <d v="2024-08-31T00:00:00"/>
    <x v="6"/>
    <x v="3"/>
    <x v="3"/>
    <x v="0"/>
    <x v="1"/>
    <n v="2"/>
    <n v="480.88"/>
    <n v="25"/>
    <n v="102"/>
    <n v="324.12"/>
    <x v="0"/>
    <n v="5"/>
    <n v="961.76"/>
    <n v="986.76"/>
    <x v="0"/>
  </r>
  <r>
    <s v="ORD-11054"/>
    <x v="484"/>
    <d v="2024-08-30T00:00:00"/>
    <x v="7"/>
    <x v="1"/>
    <x v="1"/>
    <x v="0"/>
    <x v="3"/>
    <n v="3"/>
    <n v="76.66"/>
    <n v="18"/>
    <n v="167"/>
    <n v="82.99"/>
    <x v="0"/>
    <n v="3"/>
    <n v="229.98"/>
    <n v="247.98"/>
    <x v="0"/>
  </r>
  <r>
    <s v="ORD-11055"/>
    <x v="484"/>
    <d v="2024-09-03T00:00:00"/>
    <x v="1"/>
    <x v="0"/>
    <x v="0"/>
    <x v="2"/>
    <x v="3"/>
    <n v="14"/>
    <n v="39.26"/>
    <n v="12"/>
    <n v="2"/>
    <n v="37.979999999999997"/>
    <x v="2"/>
    <n v="7"/>
    <n v="549.64"/>
    <n v="561.64"/>
    <x v="2"/>
  </r>
  <r>
    <s v="ORD-11056"/>
    <x v="485"/>
    <d v="2024-09-02T00:00:00"/>
    <x v="7"/>
    <x v="1"/>
    <x v="1"/>
    <x v="0"/>
    <x v="3"/>
    <n v="1"/>
    <n v="86.87"/>
    <n v="18"/>
    <n v="199"/>
    <n v="25.75"/>
    <x v="0"/>
    <n v="4"/>
    <n v="86.87"/>
    <n v="104.87"/>
    <x v="0"/>
  </r>
  <r>
    <s v="ORD-11057"/>
    <x v="485"/>
    <d v="2024-09-03T00:00:00"/>
    <x v="7"/>
    <x v="1"/>
    <x v="1"/>
    <x v="2"/>
    <x v="3"/>
    <n v="5"/>
    <n v="73.89"/>
    <n v="18"/>
    <n v="350"/>
    <n v="138.78"/>
    <x v="0"/>
    <n v="5"/>
    <n v="369.45"/>
    <n v="387.45"/>
    <x v="0"/>
  </r>
  <r>
    <s v="ORD-11058"/>
    <x v="486"/>
    <d v="2024-09-01T00:00:00"/>
    <x v="6"/>
    <x v="3"/>
    <x v="3"/>
    <x v="2"/>
    <x v="2"/>
    <n v="2"/>
    <n v="276.73"/>
    <n v="25"/>
    <n v="271"/>
    <n v="181.21"/>
    <x v="0"/>
    <n v="2"/>
    <n v="553.46"/>
    <n v="578.46"/>
    <x v="0"/>
  </r>
  <r>
    <s v="ORD-11059"/>
    <x v="487"/>
    <d v="2024-09-03T00:00:00"/>
    <x v="3"/>
    <x v="1"/>
    <x v="1"/>
    <x v="2"/>
    <x v="2"/>
    <n v="5"/>
    <n v="21.31"/>
    <n v="12"/>
    <n v="389"/>
    <n v="36.619999999999997"/>
    <x v="0"/>
    <n v="3"/>
    <n v="106.55"/>
    <n v="118.55"/>
    <x v="0"/>
  </r>
  <r>
    <s v="ORD-11060"/>
    <x v="487"/>
    <d v="2024-09-02T00:00:00"/>
    <x v="10"/>
    <x v="0"/>
    <x v="0"/>
    <x v="2"/>
    <x v="3"/>
    <n v="12"/>
    <n v="21.87"/>
    <n v="12"/>
    <n v="26"/>
    <n v="14.99"/>
    <x v="0"/>
    <n v="2"/>
    <n v="262.44"/>
    <n v="274.44"/>
    <x v="1"/>
  </r>
  <r>
    <s v="ORD-11061"/>
    <x v="488"/>
    <d v="2024-09-10T00:00:00"/>
    <x v="5"/>
    <x v="3"/>
    <x v="3"/>
    <x v="2"/>
    <x v="3"/>
    <n v="1"/>
    <n v="442.8"/>
    <n v="37.5"/>
    <n v="389"/>
    <n v="136.22999999999999"/>
    <x v="2"/>
    <n v="9"/>
    <n v="442.8"/>
    <n v="480.3"/>
    <x v="0"/>
  </r>
  <r>
    <s v="ORD-11062"/>
    <x v="488"/>
    <d v="2024-09-05T00:00:00"/>
    <x v="10"/>
    <x v="0"/>
    <x v="0"/>
    <x v="2"/>
    <x v="0"/>
    <n v="13"/>
    <n v="49.27"/>
    <n v="8"/>
    <n v="2"/>
    <n v="47.24"/>
    <x v="0"/>
    <n v="4"/>
    <n v="640.51"/>
    <n v="648.51"/>
    <x v="2"/>
  </r>
  <r>
    <s v="ORD-11063"/>
    <x v="489"/>
    <d v="2024-09-20T00:00:00"/>
    <x v="11"/>
    <x v="3"/>
    <x v="3"/>
    <x v="2"/>
    <x v="0"/>
    <n v="1"/>
    <n v="861"/>
    <n v="25"/>
    <n v="295"/>
    <n v="288.85000000000002"/>
    <x v="1"/>
    <n v="16"/>
    <n v="861"/>
    <n v="886"/>
    <x v="0"/>
  </r>
  <r>
    <s v="ORD-11064"/>
    <x v="489"/>
    <d v="2024-09-06T00:00:00"/>
    <x v="15"/>
    <x v="4"/>
    <x v="4"/>
    <x v="2"/>
    <x v="3"/>
    <n v="3"/>
    <n v="70.790000000000006"/>
    <n v="18"/>
    <n v="115"/>
    <n v="86.57"/>
    <x v="0"/>
    <n v="2"/>
    <n v="212.37"/>
    <n v="230.37"/>
    <x v="0"/>
  </r>
  <r>
    <s v="ORD-11065"/>
    <x v="489"/>
    <d v="2024-09-09T00:00:00"/>
    <x v="15"/>
    <x v="4"/>
    <x v="4"/>
    <x v="2"/>
    <x v="1"/>
    <n v="1"/>
    <n v="52.87"/>
    <n v="12"/>
    <n v="351"/>
    <n v="17.79"/>
    <x v="0"/>
    <n v="5"/>
    <n v="52.87"/>
    <n v="64.87"/>
    <x v="0"/>
  </r>
  <r>
    <s v="ORD-11066"/>
    <x v="490"/>
    <d v="2024-09-06T00:00:00"/>
    <x v="10"/>
    <x v="0"/>
    <x v="0"/>
    <x v="1"/>
    <x v="2"/>
    <n v="13"/>
    <n v="32.85"/>
    <n v="8"/>
    <n v="366"/>
    <n v="30.17"/>
    <x v="0"/>
    <n v="1"/>
    <n v="427.05"/>
    <n v="435.05"/>
    <x v="0"/>
  </r>
  <r>
    <s v="ORD-11067"/>
    <x v="491"/>
    <d v="2024-09-09T00:00:00"/>
    <x v="11"/>
    <x v="3"/>
    <x v="3"/>
    <x v="1"/>
    <x v="1"/>
    <n v="3"/>
    <n v="955.08"/>
    <n v="25"/>
    <n v="102"/>
    <n v="990.33"/>
    <x v="0"/>
    <n v="3"/>
    <n v="2865.2400000000002"/>
    <n v="2890.2400000000002"/>
    <x v="0"/>
  </r>
  <r>
    <s v="ORD-11068"/>
    <x v="492"/>
    <d v="2024-09-10T00:00:00"/>
    <x v="7"/>
    <x v="1"/>
    <x v="1"/>
    <x v="2"/>
    <x v="3"/>
    <n v="3"/>
    <n v="48.91"/>
    <n v="18"/>
    <n v="126"/>
    <n v="49.69"/>
    <x v="0"/>
    <n v="3"/>
    <n v="146.72999999999999"/>
    <n v="164.73"/>
    <x v="0"/>
  </r>
  <r>
    <s v="ORD-11069"/>
    <x v="493"/>
    <d v="2024-09-24T00:00:00"/>
    <x v="15"/>
    <x v="4"/>
    <x v="4"/>
    <x v="2"/>
    <x v="3"/>
    <n v="2"/>
    <n v="144.83000000000001"/>
    <n v="18"/>
    <n v="273"/>
    <n v="121.35"/>
    <x v="1"/>
    <n v="16"/>
    <n v="289.66000000000003"/>
    <n v="307.66000000000003"/>
    <x v="0"/>
  </r>
  <r>
    <s v="ORD-11070"/>
    <x v="494"/>
    <d v="2024-09-14T00:00:00"/>
    <x v="6"/>
    <x v="3"/>
    <x v="3"/>
    <x v="1"/>
    <x v="2"/>
    <n v="1"/>
    <n v="865.85"/>
    <n v="25"/>
    <n v="360"/>
    <n v="290.55"/>
    <x v="0"/>
    <n v="5"/>
    <n v="865.85"/>
    <n v="890.85"/>
    <x v="0"/>
  </r>
  <r>
    <s v="ORD-11071"/>
    <x v="495"/>
    <d v="2024-09-13T00:00:00"/>
    <x v="3"/>
    <x v="1"/>
    <x v="1"/>
    <x v="2"/>
    <x v="3"/>
    <n v="4"/>
    <n v="111.89"/>
    <n v="18"/>
    <n v="314"/>
    <n v="170.02"/>
    <x v="0"/>
    <n v="3"/>
    <n v="447.56"/>
    <n v="465.56"/>
    <x v="0"/>
  </r>
  <r>
    <s v="ORD-11072"/>
    <x v="496"/>
    <d v="2024-09-25T00:00:00"/>
    <x v="1"/>
    <x v="0"/>
    <x v="0"/>
    <x v="2"/>
    <x v="1"/>
    <n v="8"/>
    <n v="35.22"/>
    <n v="8"/>
    <n v="189"/>
    <n v="18.54"/>
    <x v="1"/>
    <n v="14"/>
    <n v="281.76"/>
    <n v="289.76"/>
    <x v="0"/>
  </r>
  <r>
    <s v="ORD-11073"/>
    <x v="496"/>
    <d v="2024-09-12T00:00:00"/>
    <x v="14"/>
    <x v="4"/>
    <x v="4"/>
    <x v="0"/>
    <x v="0"/>
    <n v="1"/>
    <n v="70.23"/>
    <n v="12"/>
    <n v="371"/>
    <n v="-10.53"/>
    <x v="0"/>
    <n v="1"/>
    <n v="70.23"/>
    <n v="82.23"/>
    <x v="0"/>
  </r>
  <r>
    <s v="ORD-11074"/>
    <x v="497"/>
    <d v="2024-09-24T00:00:00"/>
    <x v="15"/>
    <x v="4"/>
    <x v="4"/>
    <x v="2"/>
    <x v="3"/>
    <n v="5"/>
    <n v="97.92"/>
    <n v="18"/>
    <n v="164"/>
    <n v="211.32"/>
    <x v="1"/>
    <n v="12"/>
    <n v="489.6"/>
    <n v="507.6"/>
    <x v="0"/>
  </r>
  <r>
    <s v="ORD-11075"/>
    <x v="498"/>
    <d v="2024-09-24T00:00:00"/>
    <x v="12"/>
    <x v="3"/>
    <x v="3"/>
    <x v="2"/>
    <x v="1"/>
    <n v="3"/>
    <n v="281.86"/>
    <n v="25"/>
    <n v="238"/>
    <n v="283.45"/>
    <x v="2"/>
    <n v="10"/>
    <n v="845.58"/>
    <n v="870.58"/>
    <x v="0"/>
  </r>
  <r>
    <s v="ORD-11076"/>
    <x v="498"/>
    <d v="2024-09-19T00:00:00"/>
    <x v="15"/>
    <x v="4"/>
    <x v="4"/>
    <x v="2"/>
    <x v="2"/>
    <n v="2"/>
    <n v="123.36"/>
    <n v="12"/>
    <n v="284"/>
    <n v="105.02"/>
    <x v="0"/>
    <n v="5"/>
    <n v="246.72"/>
    <n v="258.72000000000003"/>
    <x v="0"/>
  </r>
  <r>
    <s v="ORD-11077"/>
    <x v="499"/>
    <d v="2024-09-28T00:00:00"/>
    <x v="14"/>
    <x v="4"/>
    <x v="4"/>
    <x v="2"/>
    <x v="3"/>
    <n v="4"/>
    <n v="69.52"/>
    <n v="18"/>
    <n v="278"/>
    <n v="116.13"/>
    <x v="1"/>
    <n v="13"/>
    <n v="278.08"/>
    <n v="296.08"/>
    <x v="0"/>
  </r>
  <r>
    <s v="ORD-11078"/>
    <x v="499"/>
    <d v="2024-09-20T00:00:00"/>
    <x v="0"/>
    <x v="0"/>
    <x v="0"/>
    <x v="0"/>
    <x v="2"/>
    <n v="7"/>
    <n v="28.82"/>
    <n v="8"/>
    <n v="129"/>
    <n v="12.14"/>
    <x v="0"/>
    <n v="5"/>
    <n v="201.74"/>
    <n v="209.74"/>
    <x v="0"/>
  </r>
  <r>
    <s v="ORD-11079"/>
    <x v="499"/>
    <d v="2024-09-17T00:00:00"/>
    <x v="1"/>
    <x v="0"/>
    <x v="0"/>
    <x v="2"/>
    <x v="2"/>
    <n v="10"/>
    <n v="24.12"/>
    <n v="8"/>
    <n v="349"/>
    <n v="15.3"/>
    <x v="0"/>
    <n v="2"/>
    <n v="241.20000000000002"/>
    <n v="249.20000000000002"/>
    <x v="0"/>
  </r>
  <r>
    <s v="ORD-11080"/>
    <x v="499"/>
    <d v="2024-09-26T00:00:00"/>
    <x v="0"/>
    <x v="0"/>
    <x v="0"/>
    <x v="2"/>
    <x v="3"/>
    <n v="12"/>
    <n v="26.94"/>
    <n v="12"/>
    <n v="128"/>
    <n v="19.86"/>
    <x v="1"/>
    <n v="11"/>
    <n v="323.28000000000003"/>
    <n v="335.28000000000003"/>
    <x v="0"/>
  </r>
  <r>
    <s v="ORD-11081"/>
    <x v="500"/>
    <d v="2024-09-18T00:00:00"/>
    <x v="12"/>
    <x v="3"/>
    <x v="3"/>
    <x v="1"/>
    <x v="0"/>
    <n v="1"/>
    <n v="1088.8800000000001"/>
    <n v="25"/>
    <n v="95"/>
    <n v="368.61"/>
    <x v="0"/>
    <n v="2"/>
    <n v="1088.8800000000001"/>
    <n v="1113.8800000000001"/>
    <x v="0"/>
  </r>
  <r>
    <s v="ORD-11082"/>
    <x v="500"/>
    <d v="2024-09-18T00:00:00"/>
    <x v="7"/>
    <x v="1"/>
    <x v="1"/>
    <x v="2"/>
    <x v="0"/>
    <n v="4"/>
    <n v="62.12"/>
    <n v="12"/>
    <n v="237"/>
    <n v="93.39"/>
    <x v="0"/>
    <n v="2"/>
    <n v="248.48"/>
    <n v="260.48"/>
    <x v="0"/>
  </r>
  <r>
    <s v="ORD-11083"/>
    <x v="501"/>
    <d v="2024-09-19T00:00:00"/>
    <x v="14"/>
    <x v="4"/>
    <x v="4"/>
    <x v="1"/>
    <x v="1"/>
    <n v="5"/>
    <n v="46.58"/>
    <n v="12"/>
    <n v="324"/>
    <n v="98.81"/>
    <x v="0"/>
    <n v="2"/>
    <n v="232.89999999999998"/>
    <n v="244.89999999999998"/>
    <x v="0"/>
  </r>
  <r>
    <s v="ORD-11084"/>
    <x v="502"/>
    <d v="2024-09-21T00:00:00"/>
    <x v="12"/>
    <x v="3"/>
    <x v="3"/>
    <x v="2"/>
    <x v="3"/>
    <n v="3"/>
    <n v="222.3"/>
    <n v="37.5"/>
    <n v="133"/>
    <n v="214.67"/>
    <x v="0"/>
    <n v="3"/>
    <n v="666.90000000000009"/>
    <n v="704.40000000000009"/>
    <x v="0"/>
  </r>
  <r>
    <s v="ORD-11085"/>
    <x v="502"/>
    <d v="2024-09-22T00:00:00"/>
    <x v="8"/>
    <x v="2"/>
    <x v="2"/>
    <x v="0"/>
    <x v="2"/>
    <n v="1"/>
    <n v="365.09"/>
    <n v="75"/>
    <n v="362"/>
    <n v="35.520000000000003"/>
    <x v="0"/>
    <n v="4"/>
    <n v="365.09"/>
    <n v="440.09"/>
    <x v="0"/>
  </r>
  <r>
    <s v="ORD-11086"/>
    <x v="503"/>
    <d v="2024-09-21T00:00:00"/>
    <x v="5"/>
    <x v="3"/>
    <x v="3"/>
    <x v="2"/>
    <x v="0"/>
    <n v="1"/>
    <n v="780.33"/>
    <n v="25"/>
    <n v="131"/>
    <n v="260.62"/>
    <x v="0"/>
    <n v="2"/>
    <n v="780.33"/>
    <n v="805.33"/>
    <x v="0"/>
  </r>
  <r>
    <s v="ORD-11087"/>
    <x v="503"/>
    <d v="2024-09-28T00:00:00"/>
    <x v="1"/>
    <x v="0"/>
    <x v="0"/>
    <x v="2"/>
    <x v="2"/>
    <n v="8"/>
    <n v="47.62"/>
    <n v="8"/>
    <n v="163"/>
    <n v="26.47"/>
    <x v="2"/>
    <n v="9"/>
    <n v="380.96"/>
    <n v="388.96"/>
    <x v="0"/>
  </r>
  <r>
    <s v="ORD-11088"/>
    <x v="504"/>
    <d v="2024-09-22T00:00:00"/>
    <x v="5"/>
    <x v="3"/>
    <x v="3"/>
    <x v="1"/>
    <x v="1"/>
    <n v="3"/>
    <n v="582.59"/>
    <n v="25"/>
    <n v="177"/>
    <n v="599.22"/>
    <x v="0"/>
    <n v="2"/>
    <n v="1747.77"/>
    <n v="1772.77"/>
    <x v="0"/>
  </r>
  <r>
    <s v="ORD-11089"/>
    <x v="504"/>
    <d v="2024-09-24T00:00:00"/>
    <x v="8"/>
    <x v="2"/>
    <x v="2"/>
    <x v="2"/>
    <x v="1"/>
    <n v="2"/>
    <n v="161.38"/>
    <n v="75"/>
    <n v="217"/>
    <n v="27.05"/>
    <x v="0"/>
    <n v="4"/>
    <n v="322.76"/>
    <n v="397.76"/>
    <x v="0"/>
  </r>
  <r>
    <s v="ORD-11090"/>
    <x v="504"/>
    <d v="2024-10-02T00:00:00"/>
    <x v="0"/>
    <x v="0"/>
    <x v="0"/>
    <x v="2"/>
    <x v="3"/>
    <n v="5"/>
    <n v="42.78"/>
    <n v="12"/>
    <n v="50"/>
    <n v="11.11"/>
    <x v="1"/>
    <n v="12"/>
    <n v="213.9"/>
    <n v="225.9"/>
    <x v="1"/>
  </r>
  <r>
    <s v="ORD-11091"/>
    <x v="505"/>
    <d v="2024-09-29T00:00:00"/>
    <x v="6"/>
    <x v="3"/>
    <x v="3"/>
    <x v="2"/>
    <x v="1"/>
    <n v="3"/>
    <n v="243.97"/>
    <n v="25"/>
    <n v="132"/>
    <n v="243.67"/>
    <x v="2"/>
    <n v="8"/>
    <n v="731.91"/>
    <n v="756.91"/>
    <x v="0"/>
  </r>
  <r>
    <s v="ORD-11092"/>
    <x v="505"/>
    <d v="2024-09-23T00:00:00"/>
    <x v="2"/>
    <x v="1"/>
    <x v="1"/>
    <x v="0"/>
    <x v="0"/>
    <n v="2"/>
    <n v="72.19"/>
    <n v="12"/>
    <n v="175"/>
    <n v="51.75"/>
    <x v="0"/>
    <n v="2"/>
    <n v="144.38"/>
    <n v="156.38"/>
    <x v="0"/>
  </r>
  <r>
    <s v="ORD-11093"/>
    <x v="506"/>
    <d v="2024-09-25T00:00:00"/>
    <x v="10"/>
    <x v="0"/>
    <x v="0"/>
    <x v="0"/>
    <x v="2"/>
    <n v="14"/>
    <n v="27.61"/>
    <n v="8"/>
    <n v="48"/>
    <n v="26.92"/>
    <x v="0"/>
    <n v="3"/>
    <n v="386.53999999999996"/>
    <n v="394.53999999999996"/>
    <x v="1"/>
  </r>
  <r>
    <s v="ORD-11094"/>
    <x v="507"/>
    <d v="2024-09-28T00:00:00"/>
    <x v="7"/>
    <x v="1"/>
    <x v="1"/>
    <x v="2"/>
    <x v="3"/>
    <n v="3"/>
    <n v="90.69"/>
    <n v="18"/>
    <n v="81"/>
    <n v="-40.81"/>
    <x v="0"/>
    <n v="5"/>
    <n v="272.07"/>
    <n v="290.07"/>
    <x v="0"/>
  </r>
  <r>
    <s v="ORD-11095"/>
    <x v="508"/>
    <d v="2024-09-25T00:00:00"/>
    <x v="9"/>
    <x v="2"/>
    <x v="2"/>
    <x v="0"/>
    <x v="1"/>
    <n v="1"/>
    <n v="226.95"/>
    <n v="75"/>
    <n v="209"/>
    <n v="7.89"/>
    <x v="0"/>
    <n v="1"/>
    <n v="226.95"/>
    <n v="301.95"/>
    <x v="0"/>
  </r>
  <r>
    <s v="ORD-11096"/>
    <x v="508"/>
    <d v="2024-09-29T00:00:00"/>
    <x v="13"/>
    <x v="4"/>
    <x v="4"/>
    <x v="0"/>
    <x v="2"/>
    <n v="5"/>
    <n v="62.71"/>
    <n v="12"/>
    <n v="268"/>
    <n v="-47.03"/>
    <x v="0"/>
    <n v="5"/>
    <n v="313.55"/>
    <n v="325.55"/>
    <x v="0"/>
  </r>
  <r>
    <s v="ORD-11097"/>
    <x v="509"/>
    <d v="2024-09-29T00:00:00"/>
    <x v="11"/>
    <x v="3"/>
    <x v="3"/>
    <x v="1"/>
    <x v="2"/>
    <n v="2"/>
    <n v="538.14"/>
    <n v="25"/>
    <n v="330"/>
    <n v="364.2"/>
    <x v="0"/>
    <n v="4"/>
    <n v="1076.28"/>
    <n v="1101.28"/>
    <x v="0"/>
  </r>
  <r>
    <s v="ORD-11098"/>
    <x v="509"/>
    <d v="2024-09-28T00:00:00"/>
    <x v="1"/>
    <x v="0"/>
    <x v="0"/>
    <x v="0"/>
    <x v="3"/>
    <n v="14"/>
    <n v="31.32"/>
    <n v="12"/>
    <n v="266"/>
    <n v="29.07"/>
    <x v="0"/>
    <n v="3"/>
    <n v="438.48"/>
    <n v="450.48"/>
    <x v="0"/>
  </r>
  <r>
    <s v="ORD-11099"/>
    <x v="509"/>
    <d v="2024-09-29T00:00:00"/>
    <x v="4"/>
    <x v="2"/>
    <x v="2"/>
    <x v="2"/>
    <x v="3"/>
    <n v="2"/>
    <n v="406.22"/>
    <n v="112.5"/>
    <n v="326"/>
    <n v="106.24"/>
    <x v="0"/>
    <n v="4"/>
    <n v="812.44"/>
    <n v="924.94"/>
    <x v="0"/>
  </r>
  <r>
    <s v="ORD-11100"/>
    <x v="509"/>
    <d v="2024-09-27T00:00:00"/>
    <x v="1"/>
    <x v="0"/>
    <x v="0"/>
    <x v="2"/>
    <x v="3"/>
    <n v="8"/>
    <n v="11.9"/>
    <n v="12"/>
    <n v="232"/>
    <n v="1.61"/>
    <x v="0"/>
    <n v="2"/>
    <n v="95.2"/>
    <n v="107.2"/>
    <x v="0"/>
  </r>
  <r>
    <s v="ORD-11101"/>
    <x v="509"/>
    <d v="2024-09-29T00:00:00"/>
    <x v="0"/>
    <x v="0"/>
    <x v="0"/>
    <x v="2"/>
    <x v="3"/>
    <n v="11"/>
    <n v="43.37"/>
    <n v="12"/>
    <n v="151"/>
    <n v="32.17"/>
    <x v="0"/>
    <n v="4"/>
    <n v="477.07"/>
    <n v="489.07"/>
    <x v="0"/>
  </r>
  <r>
    <s v="ORD-11102"/>
    <x v="510"/>
    <d v="2024-10-01T00:00:00"/>
    <x v="5"/>
    <x v="3"/>
    <x v="3"/>
    <x v="2"/>
    <x v="3"/>
    <n v="3"/>
    <n v="1145.01"/>
    <n v="37.5"/>
    <n v="106"/>
    <n v="1183.51"/>
    <x v="0"/>
    <n v="5"/>
    <n v="3435.0299999999997"/>
    <n v="3472.5299999999997"/>
    <x v="0"/>
  </r>
  <r>
    <s v="ORD-11103"/>
    <x v="510"/>
    <d v="2024-09-28T00:00:00"/>
    <x v="13"/>
    <x v="4"/>
    <x v="4"/>
    <x v="2"/>
    <x v="2"/>
    <n v="5"/>
    <n v="98.27"/>
    <n v="12"/>
    <n v="123"/>
    <n v="215.12"/>
    <x v="0"/>
    <n v="2"/>
    <n v="491.34999999999997"/>
    <n v="503.34999999999997"/>
    <x v="0"/>
  </r>
  <r>
    <s v="ORD-11104"/>
    <x v="511"/>
    <d v="2024-09-28T00:00:00"/>
    <x v="12"/>
    <x v="3"/>
    <x v="3"/>
    <x v="0"/>
    <x v="1"/>
    <n v="3"/>
    <n v="906.87"/>
    <n v="25"/>
    <n v="278"/>
    <n v="939.72"/>
    <x v="0"/>
    <n v="1"/>
    <n v="2720.61"/>
    <n v="2745.61"/>
    <x v="0"/>
  </r>
  <r>
    <s v="ORD-11105"/>
    <x v="512"/>
    <d v="2024-10-15T00:00:00"/>
    <x v="1"/>
    <x v="0"/>
    <x v="0"/>
    <x v="2"/>
    <x v="3"/>
    <n v="8"/>
    <n v="37.549999999999997"/>
    <n v="12"/>
    <n v="1"/>
    <n v="18.03"/>
    <x v="1"/>
    <n v="17"/>
    <n v="300.39999999999998"/>
    <n v="312.39999999999998"/>
    <x v="2"/>
  </r>
  <r>
    <s v="ORD-11106"/>
    <x v="512"/>
    <d v="2024-10-13T00:00:00"/>
    <x v="3"/>
    <x v="1"/>
    <x v="1"/>
    <x v="2"/>
    <x v="1"/>
    <n v="4"/>
    <n v="42.09"/>
    <n v="12"/>
    <n v="198"/>
    <n v="61.34"/>
    <x v="1"/>
    <n v="15"/>
    <n v="168.36"/>
    <n v="180.36"/>
    <x v="0"/>
  </r>
  <r>
    <s v="ORD-11107"/>
    <x v="513"/>
    <d v="2024-10-03T00:00:00"/>
    <x v="5"/>
    <x v="3"/>
    <x v="3"/>
    <x v="0"/>
    <x v="2"/>
    <n v="3"/>
    <n v="204.37"/>
    <n v="25"/>
    <n v="234"/>
    <n v="202.09"/>
    <x v="0"/>
    <n v="3"/>
    <n v="613.11"/>
    <n v="638.11"/>
    <x v="0"/>
  </r>
  <r>
    <s v="ORD-11108"/>
    <x v="514"/>
    <d v="2024-10-13T00:00:00"/>
    <x v="15"/>
    <x v="4"/>
    <x v="4"/>
    <x v="2"/>
    <x v="1"/>
    <n v="2"/>
    <n v="119.99"/>
    <n v="12"/>
    <n v="254"/>
    <n v="-36"/>
    <x v="1"/>
    <n v="12"/>
    <n v="239.98"/>
    <n v="251.98"/>
    <x v="0"/>
  </r>
  <r>
    <s v="ORD-11109"/>
    <x v="514"/>
    <d v="2024-10-06T00:00:00"/>
    <x v="2"/>
    <x v="1"/>
    <x v="1"/>
    <x v="0"/>
    <x v="2"/>
    <n v="2"/>
    <n v="139.82"/>
    <n v="12"/>
    <n v="317"/>
    <n v="105.86"/>
    <x v="0"/>
    <n v="5"/>
    <n v="279.64"/>
    <n v="291.64"/>
    <x v="0"/>
  </r>
  <r>
    <s v="ORD-11110"/>
    <x v="515"/>
    <d v="2024-10-06T00:00:00"/>
    <x v="3"/>
    <x v="1"/>
    <x v="1"/>
    <x v="0"/>
    <x v="2"/>
    <n v="5"/>
    <n v="116.76"/>
    <n v="12"/>
    <n v="101"/>
    <n v="227.52"/>
    <x v="0"/>
    <n v="4"/>
    <n v="583.80000000000007"/>
    <n v="595.80000000000007"/>
    <x v="0"/>
  </r>
  <r>
    <s v="ORD-11111"/>
    <x v="516"/>
    <d v="2024-10-07T00:00:00"/>
    <x v="8"/>
    <x v="2"/>
    <x v="2"/>
    <x v="2"/>
    <x v="3"/>
    <n v="1"/>
    <n v="375.45"/>
    <n v="112.5"/>
    <n v="336"/>
    <n v="18.84"/>
    <x v="0"/>
    <n v="4"/>
    <n v="375.45"/>
    <n v="487.95"/>
    <x v="0"/>
  </r>
  <r>
    <s v="ORD-11112"/>
    <x v="516"/>
    <d v="2024-10-19T00:00:00"/>
    <x v="7"/>
    <x v="1"/>
    <x v="1"/>
    <x v="2"/>
    <x v="2"/>
    <n v="2"/>
    <n v="99.81"/>
    <n v="12"/>
    <n v="272"/>
    <n v="73.84"/>
    <x v="1"/>
    <n v="16"/>
    <n v="199.62"/>
    <n v="211.62"/>
    <x v="0"/>
  </r>
  <r>
    <s v="ORD-11113"/>
    <x v="517"/>
    <d v="2024-10-09T00:00:00"/>
    <x v="0"/>
    <x v="0"/>
    <x v="0"/>
    <x v="2"/>
    <x v="3"/>
    <n v="12"/>
    <n v="48.82"/>
    <n v="12"/>
    <n v="162"/>
    <n v="40.869999999999997"/>
    <x v="0"/>
    <n v="5"/>
    <n v="585.84"/>
    <n v="597.84"/>
    <x v="0"/>
  </r>
  <r>
    <s v="ORD-11114"/>
    <x v="518"/>
    <d v="2024-10-06T00:00:00"/>
    <x v="3"/>
    <x v="1"/>
    <x v="1"/>
    <x v="0"/>
    <x v="2"/>
    <n v="4"/>
    <n v="35.549999999999997"/>
    <n v="12"/>
    <n v="97"/>
    <n v="50.88"/>
    <x v="0"/>
    <n v="1"/>
    <n v="142.19999999999999"/>
    <n v="154.19999999999999"/>
    <x v="0"/>
  </r>
  <r>
    <s v="ORD-11115"/>
    <x v="519"/>
    <d v="2024-10-23T00:00:00"/>
    <x v="0"/>
    <x v="0"/>
    <x v="0"/>
    <x v="2"/>
    <x v="3"/>
    <n v="14"/>
    <n v="25.03"/>
    <n v="12"/>
    <n v="104"/>
    <n v="22.03"/>
    <x v="1"/>
    <n v="17"/>
    <n v="350.42"/>
    <n v="362.42"/>
    <x v="0"/>
  </r>
  <r>
    <s v="ORD-11116"/>
    <x v="520"/>
    <d v="2024-10-11T00:00:00"/>
    <x v="2"/>
    <x v="1"/>
    <x v="1"/>
    <x v="1"/>
    <x v="2"/>
    <n v="3"/>
    <n v="96.62"/>
    <n v="12"/>
    <n v="248"/>
    <n v="-43.48"/>
    <x v="0"/>
    <n v="4"/>
    <n v="289.86"/>
    <n v="301.86"/>
    <x v="0"/>
  </r>
  <r>
    <s v="ORD-11117"/>
    <x v="520"/>
    <d v="2024-10-09T00:00:00"/>
    <x v="8"/>
    <x v="2"/>
    <x v="2"/>
    <x v="0"/>
    <x v="2"/>
    <n v="1"/>
    <n v="485.18"/>
    <n v="75"/>
    <n v="354"/>
    <n v="59.54"/>
    <x v="0"/>
    <n v="2"/>
    <n v="485.18"/>
    <n v="560.18000000000006"/>
    <x v="0"/>
  </r>
  <r>
    <s v="ORD-11118"/>
    <x v="520"/>
    <d v="2024-10-10T00:00:00"/>
    <x v="8"/>
    <x v="2"/>
    <x v="2"/>
    <x v="1"/>
    <x v="2"/>
    <n v="2"/>
    <n v="318"/>
    <n v="75"/>
    <n v="228"/>
    <n v="89.7"/>
    <x v="0"/>
    <n v="3"/>
    <n v="636"/>
    <n v="711"/>
    <x v="0"/>
  </r>
  <r>
    <s v="ORD-11119"/>
    <x v="521"/>
    <d v="2024-10-09T00:00:00"/>
    <x v="13"/>
    <x v="4"/>
    <x v="4"/>
    <x v="1"/>
    <x v="0"/>
    <n v="5"/>
    <n v="132.03"/>
    <n v="12"/>
    <n v="106"/>
    <n v="291.07"/>
    <x v="0"/>
    <n v="1"/>
    <n v="660.15"/>
    <n v="672.15"/>
    <x v="0"/>
  </r>
  <r>
    <s v="ORD-11120"/>
    <x v="521"/>
    <d v="2024-10-24T00:00:00"/>
    <x v="8"/>
    <x v="2"/>
    <x v="2"/>
    <x v="2"/>
    <x v="2"/>
    <n v="1"/>
    <n v="324.38"/>
    <n v="75"/>
    <n v="303"/>
    <n v="27.38"/>
    <x v="1"/>
    <n v="16"/>
    <n v="324.38"/>
    <n v="399.38"/>
    <x v="0"/>
  </r>
  <r>
    <s v="ORD-11121"/>
    <x v="522"/>
    <d v="2024-10-14T00:00:00"/>
    <x v="13"/>
    <x v="4"/>
    <x v="4"/>
    <x v="0"/>
    <x v="1"/>
    <n v="3"/>
    <n v="103.85"/>
    <n v="12"/>
    <n v="239"/>
    <n v="134.19999999999999"/>
    <x v="0"/>
    <n v="5"/>
    <n v="311.54999999999995"/>
    <n v="323.54999999999995"/>
    <x v="0"/>
  </r>
  <r>
    <s v="ORD-11122"/>
    <x v="522"/>
    <d v="2024-10-20T00:00:00"/>
    <x v="0"/>
    <x v="0"/>
    <x v="0"/>
    <x v="2"/>
    <x v="0"/>
    <n v="10"/>
    <n v="49.52"/>
    <n v="8"/>
    <n v="3"/>
    <n v="35.619999999999997"/>
    <x v="1"/>
    <n v="11"/>
    <n v="495.20000000000005"/>
    <n v="503.20000000000005"/>
    <x v="2"/>
  </r>
  <r>
    <s v="ORD-11123"/>
    <x v="523"/>
    <d v="2024-10-18T00:00:00"/>
    <x v="7"/>
    <x v="1"/>
    <x v="1"/>
    <x v="2"/>
    <x v="3"/>
    <n v="5"/>
    <n v="72.12"/>
    <n v="18"/>
    <n v="328"/>
    <n v="135.24"/>
    <x v="2"/>
    <n v="8"/>
    <n v="360.6"/>
    <n v="378.6"/>
    <x v="0"/>
  </r>
  <r>
    <s v="ORD-11124"/>
    <x v="524"/>
    <d v="2024-10-12T00:00:00"/>
    <x v="1"/>
    <x v="0"/>
    <x v="0"/>
    <x v="2"/>
    <x v="3"/>
    <n v="5"/>
    <n v="12.13"/>
    <n v="12"/>
    <n v="40"/>
    <n v="-1.1499999999999999"/>
    <x v="0"/>
    <n v="1"/>
    <n v="60.650000000000006"/>
    <n v="72.650000000000006"/>
    <x v="1"/>
  </r>
  <r>
    <s v="ORD-11125"/>
    <x v="524"/>
    <d v="2024-10-13T00:00:00"/>
    <x v="8"/>
    <x v="2"/>
    <x v="2"/>
    <x v="1"/>
    <x v="0"/>
    <n v="2"/>
    <n v="242.11"/>
    <n v="75"/>
    <n v="180"/>
    <n v="59.34"/>
    <x v="0"/>
    <n v="2"/>
    <n v="484.22"/>
    <n v="559.22"/>
    <x v="0"/>
  </r>
  <r>
    <s v="ORD-11126"/>
    <x v="525"/>
    <d v="2024-10-26T00:00:00"/>
    <x v="8"/>
    <x v="2"/>
    <x v="2"/>
    <x v="2"/>
    <x v="3"/>
    <n v="1"/>
    <n v="472.45"/>
    <n v="112.5"/>
    <n v="263"/>
    <n v="38.24"/>
    <x v="1"/>
    <n v="13"/>
    <n v="472.45"/>
    <n v="584.95000000000005"/>
    <x v="0"/>
  </r>
  <r>
    <s v="ORD-11127"/>
    <x v="526"/>
    <d v="2024-10-16T00:00:00"/>
    <x v="5"/>
    <x v="3"/>
    <x v="3"/>
    <x v="0"/>
    <x v="1"/>
    <n v="1"/>
    <n v="885.85"/>
    <n v="25"/>
    <n v="50"/>
    <n v="297.55"/>
    <x v="0"/>
    <n v="2"/>
    <n v="885.85"/>
    <n v="910.85"/>
    <x v="1"/>
  </r>
  <r>
    <s v="ORD-11128"/>
    <x v="527"/>
    <d v="2024-10-24T00:00:00"/>
    <x v="10"/>
    <x v="0"/>
    <x v="0"/>
    <x v="2"/>
    <x v="0"/>
    <n v="5"/>
    <n v="43.53"/>
    <n v="8"/>
    <n v="5"/>
    <n v="13.41"/>
    <x v="2"/>
    <n v="9"/>
    <n v="217.65"/>
    <n v="225.65"/>
    <x v="2"/>
  </r>
  <r>
    <s v="ORD-11129"/>
    <x v="527"/>
    <d v="2024-10-22T00:00:00"/>
    <x v="13"/>
    <x v="4"/>
    <x v="4"/>
    <x v="2"/>
    <x v="2"/>
    <n v="2"/>
    <n v="97.23"/>
    <n v="12"/>
    <n v="346"/>
    <n v="81.510000000000005"/>
    <x v="2"/>
    <n v="7"/>
    <n v="194.46"/>
    <n v="206.46"/>
    <x v="0"/>
  </r>
  <r>
    <s v="ORD-11130"/>
    <x v="528"/>
    <d v="2024-10-18T00:00:00"/>
    <x v="4"/>
    <x v="2"/>
    <x v="2"/>
    <x v="0"/>
    <x v="1"/>
    <n v="2"/>
    <n v="148.71"/>
    <n v="75"/>
    <n v="139"/>
    <n v="21.98"/>
    <x v="0"/>
    <n v="1"/>
    <n v="297.42"/>
    <n v="372.42"/>
    <x v="0"/>
  </r>
  <r>
    <s v="ORD-11131"/>
    <x v="528"/>
    <d v="2024-10-22T00:00:00"/>
    <x v="0"/>
    <x v="0"/>
    <x v="0"/>
    <x v="1"/>
    <x v="1"/>
    <n v="6"/>
    <n v="32.590000000000003"/>
    <n v="8"/>
    <n v="371"/>
    <n v="11.64"/>
    <x v="0"/>
    <n v="5"/>
    <n v="195.54000000000002"/>
    <n v="203.54000000000002"/>
    <x v="0"/>
  </r>
  <r>
    <s v="ORD-11132"/>
    <x v="529"/>
    <d v="2024-10-19T00:00:00"/>
    <x v="3"/>
    <x v="1"/>
    <x v="1"/>
    <x v="0"/>
    <x v="3"/>
    <n v="3"/>
    <n v="26.04"/>
    <n v="18"/>
    <n v="278"/>
    <n v="22.25"/>
    <x v="0"/>
    <n v="1"/>
    <n v="78.12"/>
    <n v="96.12"/>
    <x v="0"/>
  </r>
  <r>
    <s v="ORD-11133"/>
    <x v="529"/>
    <d v="2024-10-22T00:00:00"/>
    <x v="3"/>
    <x v="1"/>
    <x v="1"/>
    <x v="2"/>
    <x v="3"/>
    <n v="1"/>
    <n v="87.67"/>
    <n v="18"/>
    <n v="58"/>
    <n v="26.07"/>
    <x v="0"/>
    <n v="4"/>
    <n v="87.67"/>
    <n v="105.67"/>
    <x v="0"/>
  </r>
  <r>
    <s v="ORD-11134"/>
    <x v="530"/>
    <d v="2024-10-21T00:00:00"/>
    <x v="5"/>
    <x v="3"/>
    <x v="3"/>
    <x v="2"/>
    <x v="1"/>
    <n v="2"/>
    <n v="879.84"/>
    <n v="25"/>
    <n v="49"/>
    <n v="603.38"/>
    <x v="0"/>
    <n v="2"/>
    <n v="1759.68"/>
    <n v="1784.68"/>
    <x v="1"/>
  </r>
  <r>
    <s v="ORD-11135"/>
    <x v="531"/>
    <d v="2024-10-25T00:00:00"/>
    <x v="10"/>
    <x v="0"/>
    <x v="0"/>
    <x v="1"/>
    <x v="1"/>
    <n v="8"/>
    <n v="26.57"/>
    <n v="8"/>
    <n v="328"/>
    <n v="13"/>
    <x v="0"/>
    <n v="5"/>
    <n v="212.56"/>
    <n v="220.56"/>
    <x v="0"/>
  </r>
  <r>
    <s v="ORD-11136"/>
    <x v="532"/>
    <d v="2024-10-26T00:00:00"/>
    <x v="4"/>
    <x v="2"/>
    <x v="2"/>
    <x v="0"/>
    <x v="0"/>
    <n v="1"/>
    <n v="305.99"/>
    <n v="75"/>
    <n v="345"/>
    <n v="23.7"/>
    <x v="0"/>
    <n v="5"/>
    <n v="305.99"/>
    <n v="380.99"/>
    <x v="0"/>
  </r>
  <r>
    <s v="ORD-11137"/>
    <x v="533"/>
    <d v="2024-10-27T00:00:00"/>
    <x v="4"/>
    <x v="2"/>
    <x v="2"/>
    <x v="1"/>
    <x v="2"/>
    <n v="1"/>
    <n v="422.25"/>
    <n v="75"/>
    <n v="92"/>
    <n v="46.95"/>
    <x v="0"/>
    <n v="5"/>
    <n v="422.25"/>
    <n v="497.25"/>
    <x v="0"/>
  </r>
  <r>
    <s v="ORD-11138"/>
    <x v="533"/>
    <d v="2024-11-04T00:00:00"/>
    <x v="13"/>
    <x v="4"/>
    <x v="4"/>
    <x v="2"/>
    <x v="3"/>
    <n v="2"/>
    <n v="137.46"/>
    <n v="18"/>
    <n v="236"/>
    <n v="114.72"/>
    <x v="1"/>
    <n v="13"/>
    <n v="274.92"/>
    <n v="292.92"/>
    <x v="0"/>
  </r>
  <r>
    <s v="ORD-11139"/>
    <x v="533"/>
    <d v="2024-10-24T00:00:00"/>
    <x v="4"/>
    <x v="2"/>
    <x v="2"/>
    <x v="0"/>
    <x v="3"/>
    <n v="1"/>
    <n v="217.34"/>
    <n v="112.5"/>
    <n v="171"/>
    <n v="-12.78"/>
    <x v="0"/>
    <n v="2"/>
    <n v="217.34"/>
    <n v="329.84000000000003"/>
    <x v="0"/>
  </r>
  <r>
    <s v="ORD-11140"/>
    <x v="533"/>
    <d v="2024-10-25T00:00:00"/>
    <x v="11"/>
    <x v="3"/>
    <x v="3"/>
    <x v="2"/>
    <x v="3"/>
    <n v="2"/>
    <n v="664.07"/>
    <n v="37.5"/>
    <n v="266"/>
    <n v="446.1"/>
    <x v="0"/>
    <n v="3"/>
    <n v="1328.14"/>
    <n v="1365.64"/>
    <x v="0"/>
  </r>
  <r>
    <s v="ORD-11141"/>
    <x v="533"/>
    <d v="2024-10-25T00:00:00"/>
    <x v="5"/>
    <x v="3"/>
    <x v="3"/>
    <x v="0"/>
    <x v="2"/>
    <n v="2"/>
    <n v="968.09"/>
    <n v="25"/>
    <n v="51"/>
    <n v="665.16"/>
    <x v="0"/>
    <n v="3"/>
    <n v="1936.18"/>
    <n v="1961.18"/>
    <x v="0"/>
  </r>
  <r>
    <s v="ORD-11142"/>
    <x v="534"/>
    <d v="2024-10-31T00:00:00"/>
    <x v="15"/>
    <x v="4"/>
    <x v="4"/>
    <x v="2"/>
    <x v="3"/>
    <n v="4"/>
    <n v="72.39"/>
    <n v="18"/>
    <n v="332"/>
    <n v="121.3"/>
    <x v="2"/>
    <n v="8"/>
    <n v="289.56"/>
    <n v="307.56"/>
    <x v="0"/>
  </r>
  <r>
    <s v="ORD-11143"/>
    <x v="534"/>
    <d v="2024-10-28T00:00:00"/>
    <x v="10"/>
    <x v="0"/>
    <x v="0"/>
    <x v="0"/>
    <x v="0"/>
    <n v="9"/>
    <n v="16.739999999999998"/>
    <n v="8"/>
    <n v="178"/>
    <n v="8.0500000000000007"/>
    <x v="0"/>
    <n v="5"/>
    <n v="150.66"/>
    <n v="158.66"/>
    <x v="0"/>
  </r>
  <r>
    <s v="ORD-11144"/>
    <x v="534"/>
    <d v="2024-10-30T00:00:00"/>
    <x v="14"/>
    <x v="4"/>
    <x v="4"/>
    <x v="2"/>
    <x v="2"/>
    <n v="3"/>
    <n v="25.67"/>
    <n v="12"/>
    <n v="228"/>
    <n v="28.65"/>
    <x v="2"/>
    <n v="7"/>
    <n v="77.010000000000005"/>
    <n v="89.01"/>
    <x v="0"/>
  </r>
  <r>
    <s v="ORD-11145"/>
    <x v="534"/>
    <d v="2024-10-24T00:00:00"/>
    <x v="14"/>
    <x v="4"/>
    <x v="4"/>
    <x v="0"/>
    <x v="1"/>
    <n v="2"/>
    <n v="71.58"/>
    <n v="12"/>
    <n v="206"/>
    <n v="58.43"/>
    <x v="0"/>
    <n v="1"/>
    <n v="143.16"/>
    <n v="155.16"/>
    <x v="0"/>
  </r>
  <r>
    <s v="ORD-11146"/>
    <x v="534"/>
    <d v="2024-10-28T00:00:00"/>
    <x v="3"/>
    <x v="1"/>
    <x v="1"/>
    <x v="0"/>
    <x v="0"/>
    <n v="1"/>
    <n v="135.31"/>
    <n v="12"/>
    <n v="40"/>
    <n v="48.12"/>
    <x v="0"/>
    <n v="5"/>
    <n v="135.31"/>
    <n v="147.31"/>
    <x v="1"/>
  </r>
  <r>
    <s v="ORD-11147"/>
    <x v="534"/>
    <d v="2024-10-25T00:00:00"/>
    <x v="0"/>
    <x v="0"/>
    <x v="0"/>
    <x v="2"/>
    <x v="3"/>
    <n v="14"/>
    <n v="23.15"/>
    <n v="12"/>
    <n v="351"/>
    <n v="19.93"/>
    <x v="0"/>
    <n v="2"/>
    <n v="324.09999999999997"/>
    <n v="336.09999999999997"/>
    <x v="0"/>
  </r>
  <r>
    <s v="ORD-11148"/>
    <x v="535"/>
    <d v="2024-10-25T00:00:00"/>
    <x v="6"/>
    <x v="3"/>
    <x v="3"/>
    <x v="2"/>
    <x v="3"/>
    <n v="2"/>
    <n v="1101.3900000000001"/>
    <n v="37.5"/>
    <n v="182"/>
    <n v="752.22"/>
    <x v="0"/>
    <n v="1"/>
    <n v="2202.7800000000002"/>
    <n v="2240.2800000000002"/>
    <x v="0"/>
  </r>
  <r>
    <s v="ORD-11149"/>
    <x v="535"/>
    <d v="2024-11-02T00:00:00"/>
    <x v="3"/>
    <x v="1"/>
    <x v="1"/>
    <x v="2"/>
    <x v="1"/>
    <n v="4"/>
    <n v="69.67"/>
    <n v="12"/>
    <n v="116"/>
    <n v="105.48"/>
    <x v="2"/>
    <n v="9"/>
    <n v="278.68"/>
    <n v="290.68"/>
    <x v="0"/>
  </r>
  <r>
    <s v="ORD-11150"/>
    <x v="535"/>
    <d v="2024-10-29T00:00:00"/>
    <x v="12"/>
    <x v="3"/>
    <x v="3"/>
    <x v="1"/>
    <x v="1"/>
    <n v="1"/>
    <n v="468.73"/>
    <n v="25"/>
    <n v="136"/>
    <n v="151.56"/>
    <x v="0"/>
    <n v="5"/>
    <n v="468.73"/>
    <n v="493.73"/>
    <x v="0"/>
  </r>
  <r>
    <s v="ORD-11151"/>
    <x v="536"/>
    <d v="2024-11-06T00:00:00"/>
    <x v="10"/>
    <x v="0"/>
    <x v="0"/>
    <x v="2"/>
    <x v="3"/>
    <n v="8"/>
    <n v="12.4"/>
    <n v="12"/>
    <n v="302"/>
    <n v="1.93"/>
    <x v="1"/>
    <n v="12"/>
    <n v="99.2"/>
    <n v="111.2"/>
    <x v="0"/>
  </r>
  <r>
    <s v="ORD-11152"/>
    <x v="536"/>
    <d v="2024-10-30T00:00:00"/>
    <x v="12"/>
    <x v="3"/>
    <x v="3"/>
    <x v="1"/>
    <x v="0"/>
    <n v="2"/>
    <n v="898.89"/>
    <n v="25"/>
    <n v="279"/>
    <n v="616.72"/>
    <x v="0"/>
    <n v="5"/>
    <n v="1797.78"/>
    <n v="1822.78"/>
    <x v="0"/>
  </r>
  <r>
    <s v="ORD-11153"/>
    <x v="536"/>
    <d v="2024-10-26T00:00:00"/>
    <x v="1"/>
    <x v="0"/>
    <x v="0"/>
    <x v="0"/>
    <x v="1"/>
    <n v="7"/>
    <n v="28.35"/>
    <n v="8"/>
    <n v="276"/>
    <n v="11.87"/>
    <x v="0"/>
    <n v="1"/>
    <n v="198.45000000000002"/>
    <n v="206.45000000000002"/>
    <x v="0"/>
  </r>
  <r>
    <s v="ORD-11154"/>
    <x v="536"/>
    <d v="2024-10-29T00:00:00"/>
    <x v="11"/>
    <x v="3"/>
    <x v="3"/>
    <x v="1"/>
    <x v="2"/>
    <n v="1"/>
    <n v="1086.82"/>
    <n v="25"/>
    <n v="320"/>
    <n v="367.89"/>
    <x v="0"/>
    <n v="4"/>
    <n v="1086.82"/>
    <n v="1111.82"/>
    <x v="0"/>
  </r>
  <r>
    <s v="ORD-11155"/>
    <x v="536"/>
    <d v="2024-10-28T00:00:00"/>
    <x v="0"/>
    <x v="0"/>
    <x v="0"/>
    <x v="0"/>
    <x v="1"/>
    <n v="10"/>
    <n v="44.71"/>
    <n v="8"/>
    <n v="384"/>
    <n v="31.76"/>
    <x v="0"/>
    <n v="3"/>
    <n v="447.1"/>
    <n v="455.1"/>
    <x v="0"/>
  </r>
  <r>
    <s v="ORD-11156"/>
    <x v="537"/>
    <d v="2024-11-11T00:00:00"/>
    <x v="7"/>
    <x v="1"/>
    <x v="1"/>
    <x v="2"/>
    <x v="3"/>
    <n v="4"/>
    <n v="53.41"/>
    <n v="18"/>
    <n v="356"/>
    <n v="76.45"/>
    <x v="1"/>
    <n v="16"/>
    <n v="213.64"/>
    <n v="231.64"/>
    <x v="0"/>
  </r>
  <r>
    <s v="ORD-11157"/>
    <x v="537"/>
    <d v="2024-10-31T00:00:00"/>
    <x v="5"/>
    <x v="3"/>
    <x v="3"/>
    <x v="0"/>
    <x v="3"/>
    <n v="1"/>
    <n v="395.27"/>
    <n v="37.5"/>
    <n v="383"/>
    <n v="119.59"/>
    <x v="0"/>
    <n v="5"/>
    <n v="395.27"/>
    <n v="432.77"/>
    <x v="0"/>
  </r>
  <r>
    <s v="ORD-11158"/>
    <x v="538"/>
    <d v="2024-10-31T00:00:00"/>
    <x v="2"/>
    <x v="1"/>
    <x v="1"/>
    <x v="0"/>
    <x v="1"/>
    <n v="1"/>
    <n v="133.21"/>
    <n v="12"/>
    <n v="195"/>
    <n v="47.28"/>
    <x v="0"/>
    <n v="4"/>
    <n v="133.21"/>
    <n v="145.21"/>
    <x v="0"/>
  </r>
  <r>
    <s v="ORD-11159"/>
    <x v="538"/>
    <d v="2024-10-30T00:00:00"/>
    <x v="7"/>
    <x v="1"/>
    <x v="1"/>
    <x v="2"/>
    <x v="2"/>
    <n v="3"/>
    <n v="43.78"/>
    <n v="12"/>
    <n v="386"/>
    <n v="46.53"/>
    <x v="0"/>
    <n v="3"/>
    <n v="131.34"/>
    <n v="143.34"/>
    <x v="0"/>
  </r>
  <r>
    <s v="ORD-11160"/>
    <x v="538"/>
    <d v="2024-10-31T00:00:00"/>
    <x v="11"/>
    <x v="3"/>
    <x v="3"/>
    <x v="0"/>
    <x v="0"/>
    <n v="3"/>
    <n v="563.63"/>
    <n v="25"/>
    <n v="112"/>
    <n v="579.30999999999995"/>
    <x v="0"/>
    <n v="4"/>
    <n v="1690.8899999999999"/>
    <n v="1715.8899999999999"/>
    <x v="0"/>
  </r>
  <r>
    <s v="ORD-11161"/>
    <x v="539"/>
    <d v="2024-11-01T00:00:00"/>
    <x v="2"/>
    <x v="1"/>
    <x v="1"/>
    <x v="1"/>
    <x v="0"/>
    <n v="3"/>
    <n v="113.01"/>
    <n v="12"/>
    <n v="398"/>
    <n v="129.61000000000001"/>
    <x v="0"/>
    <n v="4"/>
    <n v="339.03000000000003"/>
    <n v="351.03000000000003"/>
    <x v="0"/>
  </r>
  <r>
    <s v="ORD-11162"/>
    <x v="540"/>
    <d v="2024-11-03T00:00:00"/>
    <x v="11"/>
    <x v="3"/>
    <x v="3"/>
    <x v="2"/>
    <x v="3"/>
    <n v="3"/>
    <n v="542.87"/>
    <n v="37.5"/>
    <n v="119"/>
    <n v="551.26"/>
    <x v="0"/>
    <n v="5"/>
    <n v="1628.6100000000001"/>
    <n v="1666.1100000000001"/>
    <x v="0"/>
  </r>
  <r>
    <s v="ORD-11163"/>
    <x v="541"/>
    <d v="2024-11-01T00:00:00"/>
    <x v="10"/>
    <x v="0"/>
    <x v="0"/>
    <x v="1"/>
    <x v="0"/>
    <n v="9"/>
    <n v="42.72"/>
    <n v="8"/>
    <n v="257"/>
    <n v="26.76"/>
    <x v="0"/>
    <n v="2"/>
    <n v="384.48"/>
    <n v="392.48"/>
    <x v="0"/>
  </r>
  <r>
    <s v="ORD-11164"/>
    <x v="542"/>
    <d v="2024-11-14T00:00:00"/>
    <x v="1"/>
    <x v="0"/>
    <x v="0"/>
    <x v="2"/>
    <x v="0"/>
    <n v="14"/>
    <n v="43.56"/>
    <n v="8"/>
    <n v="65"/>
    <n v="44.79"/>
    <x v="1"/>
    <n v="14"/>
    <n v="609.84"/>
    <n v="617.84"/>
    <x v="0"/>
  </r>
  <r>
    <s v="ORD-11165"/>
    <x v="542"/>
    <d v="2024-11-03T00:00:00"/>
    <x v="6"/>
    <x v="3"/>
    <x v="3"/>
    <x v="2"/>
    <x v="1"/>
    <n v="3"/>
    <n v="870.66"/>
    <n v="25"/>
    <n v="103"/>
    <n v="901.7"/>
    <x v="0"/>
    <n v="3"/>
    <n v="2611.98"/>
    <n v="2636.98"/>
    <x v="0"/>
  </r>
  <r>
    <s v="ORD-11166"/>
    <x v="542"/>
    <d v="2024-11-04T00:00:00"/>
    <x v="14"/>
    <x v="4"/>
    <x v="4"/>
    <x v="1"/>
    <x v="2"/>
    <n v="2"/>
    <n v="118.5"/>
    <n v="12"/>
    <n v="187"/>
    <n v="100.65"/>
    <x v="0"/>
    <n v="4"/>
    <n v="237"/>
    <n v="249"/>
    <x v="0"/>
  </r>
  <r>
    <s v="ORD-11167"/>
    <x v="543"/>
    <d v="2024-11-07T00:00:00"/>
    <x v="0"/>
    <x v="0"/>
    <x v="0"/>
    <x v="2"/>
    <x v="3"/>
    <n v="5"/>
    <n v="10.59"/>
    <n v="12"/>
    <n v="3"/>
    <n v="-1.76"/>
    <x v="0"/>
    <n v="5"/>
    <n v="52.95"/>
    <n v="64.95"/>
    <x v="2"/>
  </r>
  <r>
    <s v="ORD-11168"/>
    <x v="543"/>
    <d v="2024-11-03T00:00:00"/>
    <x v="0"/>
    <x v="0"/>
    <x v="0"/>
    <x v="1"/>
    <x v="2"/>
    <n v="12"/>
    <n v="23.28"/>
    <n v="8"/>
    <n v="372"/>
    <n v="-41.9"/>
    <x v="0"/>
    <n v="1"/>
    <n v="279.36"/>
    <n v="287.36"/>
    <x v="0"/>
  </r>
  <r>
    <s v="ORD-11169"/>
    <x v="543"/>
    <d v="2024-11-12T00:00:00"/>
    <x v="11"/>
    <x v="3"/>
    <x v="3"/>
    <x v="2"/>
    <x v="3"/>
    <n v="3"/>
    <n v="369.72"/>
    <n v="37.5"/>
    <n v="28"/>
    <n v="369.46"/>
    <x v="2"/>
    <n v="10"/>
    <n v="1109.1600000000001"/>
    <n v="1146.6600000000001"/>
    <x v="1"/>
  </r>
  <r>
    <s v="ORD-11170"/>
    <x v="543"/>
    <d v="2024-11-03T00:00:00"/>
    <x v="2"/>
    <x v="1"/>
    <x v="1"/>
    <x v="1"/>
    <x v="1"/>
    <n v="3"/>
    <n v="65.510000000000005"/>
    <n v="12"/>
    <n v="330"/>
    <n v="72.61"/>
    <x v="0"/>
    <n v="1"/>
    <n v="196.53000000000003"/>
    <n v="208.53000000000003"/>
    <x v="0"/>
  </r>
  <r>
    <s v="ORD-11171"/>
    <x v="543"/>
    <d v="2024-11-07T00:00:00"/>
    <x v="4"/>
    <x v="2"/>
    <x v="2"/>
    <x v="2"/>
    <x v="3"/>
    <n v="2"/>
    <n v="376.73"/>
    <n v="112.5"/>
    <n v="285"/>
    <n v="94.44"/>
    <x v="0"/>
    <n v="5"/>
    <n v="753.46"/>
    <n v="865.96"/>
    <x v="0"/>
  </r>
  <r>
    <s v="ORD-11172"/>
    <x v="544"/>
    <d v="2024-11-07T00:00:00"/>
    <x v="7"/>
    <x v="1"/>
    <x v="1"/>
    <x v="1"/>
    <x v="1"/>
    <n v="5"/>
    <n v="121.4"/>
    <n v="12"/>
    <n v="321"/>
    <n v="236.79"/>
    <x v="0"/>
    <n v="4"/>
    <n v="607"/>
    <n v="619"/>
    <x v="0"/>
  </r>
  <r>
    <s v="ORD-11173"/>
    <x v="544"/>
    <d v="2024-11-07T00:00:00"/>
    <x v="15"/>
    <x v="4"/>
    <x v="4"/>
    <x v="0"/>
    <x v="1"/>
    <n v="4"/>
    <n v="138.94"/>
    <n v="12"/>
    <n v="248"/>
    <n v="244.09"/>
    <x v="0"/>
    <n v="4"/>
    <n v="555.76"/>
    <n v="567.76"/>
    <x v="0"/>
  </r>
  <r>
    <s v="ORD-11174"/>
    <x v="545"/>
    <d v="2024-11-06T00:00:00"/>
    <x v="6"/>
    <x v="3"/>
    <x v="3"/>
    <x v="2"/>
    <x v="1"/>
    <n v="2"/>
    <n v="518.11"/>
    <n v="25"/>
    <n v="68"/>
    <n v="350.18"/>
    <x v="0"/>
    <n v="2"/>
    <n v="1036.22"/>
    <n v="1061.22"/>
    <x v="0"/>
  </r>
  <r>
    <s v="ORD-11175"/>
    <x v="546"/>
    <d v="2024-11-21T00:00:00"/>
    <x v="3"/>
    <x v="1"/>
    <x v="1"/>
    <x v="2"/>
    <x v="3"/>
    <n v="5"/>
    <n v="69.31"/>
    <n v="18"/>
    <n v="61"/>
    <n v="129.62"/>
    <x v="1"/>
    <n v="16"/>
    <n v="346.55"/>
    <n v="364.55"/>
    <x v="0"/>
  </r>
  <r>
    <s v="ORD-11176"/>
    <x v="547"/>
    <d v="2024-11-20T00:00:00"/>
    <x v="12"/>
    <x v="3"/>
    <x v="3"/>
    <x v="2"/>
    <x v="3"/>
    <n v="3"/>
    <n v="951.37"/>
    <n v="37.5"/>
    <n v="206"/>
    <n v="980.19"/>
    <x v="1"/>
    <n v="14"/>
    <n v="2854.11"/>
    <n v="2891.61"/>
    <x v="0"/>
  </r>
  <r>
    <s v="ORD-11177"/>
    <x v="547"/>
    <d v="2024-11-11T00:00:00"/>
    <x v="10"/>
    <x v="0"/>
    <x v="0"/>
    <x v="0"/>
    <x v="2"/>
    <n v="7"/>
    <n v="11.97"/>
    <n v="8"/>
    <n v="265"/>
    <n v="2.7"/>
    <x v="0"/>
    <n v="5"/>
    <n v="83.79"/>
    <n v="91.79"/>
    <x v="0"/>
  </r>
  <r>
    <s v="ORD-11178"/>
    <x v="547"/>
    <d v="2024-11-07T00:00:00"/>
    <x v="5"/>
    <x v="3"/>
    <x v="3"/>
    <x v="1"/>
    <x v="1"/>
    <n v="1"/>
    <n v="245.46"/>
    <n v="25"/>
    <n v="106"/>
    <n v="73.41"/>
    <x v="0"/>
    <n v="1"/>
    <n v="245.46"/>
    <n v="270.46000000000004"/>
    <x v="0"/>
  </r>
  <r>
    <s v="ORD-11179"/>
    <x v="548"/>
    <d v="2024-11-08T00:00:00"/>
    <x v="11"/>
    <x v="3"/>
    <x v="3"/>
    <x v="1"/>
    <x v="0"/>
    <n v="1"/>
    <n v="300.02999999999997"/>
    <n v="25"/>
    <n v="68"/>
    <n v="92.51"/>
    <x v="0"/>
    <n v="1"/>
    <n v="300.02999999999997"/>
    <n v="325.02999999999997"/>
    <x v="0"/>
  </r>
  <r>
    <s v="ORD-11180"/>
    <x v="549"/>
    <d v="2024-11-13T00:00:00"/>
    <x v="10"/>
    <x v="0"/>
    <x v="0"/>
    <x v="0"/>
    <x v="2"/>
    <n v="6"/>
    <n v="16.329999999999998"/>
    <n v="8"/>
    <n v="176"/>
    <n v="3.84"/>
    <x v="0"/>
    <n v="5"/>
    <n v="97.97999999999999"/>
    <n v="105.97999999999999"/>
    <x v="0"/>
  </r>
  <r>
    <s v="ORD-11181"/>
    <x v="550"/>
    <d v="2024-11-17T00:00:00"/>
    <x v="4"/>
    <x v="2"/>
    <x v="2"/>
    <x v="2"/>
    <x v="3"/>
    <n v="1"/>
    <n v="142.86000000000001"/>
    <n v="112.5"/>
    <n v="278"/>
    <n v="-27.68"/>
    <x v="0"/>
    <n v="5"/>
    <n v="142.86000000000001"/>
    <n v="255.36"/>
    <x v="0"/>
  </r>
  <r>
    <s v="ORD-11182"/>
    <x v="550"/>
    <d v="2024-11-14T00:00:00"/>
    <x v="6"/>
    <x v="3"/>
    <x v="3"/>
    <x v="2"/>
    <x v="3"/>
    <n v="1"/>
    <n v="1160.01"/>
    <n v="37.5"/>
    <n v="282"/>
    <n v="387.25"/>
    <x v="0"/>
    <n v="2"/>
    <n v="1160.01"/>
    <n v="1197.51"/>
    <x v="0"/>
  </r>
  <r>
    <s v="ORD-11183"/>
    <x v="550"/>
    <d v="2024-11-13T00:00:00"/>
    <x v="4"/>
    <x v="2"/>
    <x v="2"/>
    <x v="1"/>
    <x v="1"/>
    <n v="1"/>
    <n v="196.93"/>
    <n v="75"/>
    <n v="187"/>
    <n v="1.89"/>
    <x v="0"/>
    <n v="1"/>
    <n v="196.93"/>
    <n v="271.93"/>
    <x v="0"/>
  </r>
  <r>
    <s v="ORD-11184"/>
    <x v="550"/>
    <d v="2024-11-14T00:00:00"/>
    <x v="6"/>
    <x v="3"/>
    <x v="3"/>
    <x v="0"/>
    <x v="2"/>
    <n v="3"/>
    <n v="1179.25"/>
    <n v="25"/>
    <n v="81"/>
    <n v="1225.71"/>
    <x v="0"/>
    <n v="2"/>
    <n v="3537.75"/>
    <n v="3562.75"/>
    <x v="0"/>
  </r>
  <r>
    <s v="ORD-11185"/>
    <x v="551"/>
    <d v="2024-11-18T00:00:00"/>
    <x v="10"/>
    <x v="0"/>
    <x v="0"/>
    <x v="2"/>
    <x v="3"/>
    <n v="14"/>
    <n v="43.47"/>
    <n v="12"/>
    <n v="357"/>
    <n v="42.68"/>
    <x v="0"/>
    <n v="5"/>
    <n v="608.57999999999993"/>
    <n v="620.57999999999993"/>
    <x v="0"/>
  </r>
  <r>
    <s v="ORD-11186"/>
    <x v="552"/>
    <d v="2024-11-15T00:00:00"/>
    <x v="7"/>
    <x v="1"/>
    <x v="1"/>
    <x v="2"/>
    <x v="3"/>
    <n v="3"/>
    <n v="78.23"/>
    <n v="18"/>
    <n v="180"/>
    <n v="84.87"/>
    <x v="0"/>
    <n v="1"/>
    <n v="234.69"/>
    <n v="252.69"/>
    <x v="0"/>
  </r>
  <r>
    <s v="ORD-11187"/>
    <x v="552"/>
    <d v="2024-11-19T00:00:00"/>
    <x v="11"/>
    <x v="3"/>
    <x v="3"/>
    <x v="2"/>
    <x v="3"/>
    <n v="3"/>
    <n v="1051.0899999999999"/>
    <n v="37.5"/>
    <n v="309"/>
    <n v="1084.9000000000001"/>
    <x v="0"/>
    <n v="5"/>
    <n v="3153.2699999999995"/>
    <n v="3190.7699999999995"/>
    <x v="0"/>
  </r>
  <r>
    <s v="ORD-11188"/>
    <x v="553"/>
    <d v="2024-11-17T00:00:00"/>
    <x v="10"/>
    <x v="0"/>
    <x v="0"/>
    <x v="2"/>
    <x v="3"/>
    <n v="7"/>
    <n v="25.84"/>
    <n v="12"/>
    <n v="7"/>
    <n v="8.4700000000000006"/>
    <x v="0"/>
    <n v="2"/>
    <n v="180.88"/>
    <n v="192.88"/>
    <x v="2"/>
  </r>
  <r>
    <s v="ORD-11189"/>
    <x v="553"/>
    <d v="2024-11-18T00:00:00"/>
    <x v="13"/>
    <x v="4"/>
    <x v="4"/>
    <x v="2"/>
    <x v="1"/>
    <n v="4"/>
    <n v="72.47"/>
    <n v="12"/>
    <n v="301"/>
    <n v="124.44"/>
    <x v="0"/>
    <n v="3"/>
    <n v="289.88"/>
    <n v="301.88"/>
    <x v="0"/>
  </r>
  <r>
    <s v="ORD-11190"/>
    <x v="553"/>
    <d v="2024-11-19T00:00:00"/>
    <x v="13"/>
    <x v="4"/>
    <x v="4"/>
    <x v="2"/>
    <x v="1"/>
    <n v="3"/>
    <n v="104.08"/>
    <n v="12"/>
    <n v="190"/>
    <n v="-46.84"/>
    <x v="0"/>
    <n v="4"/>
    <n v="312.24"/>
    <n v="324.24"/>
    <x v="0"/>
  </r>
  <r>
    <s v="ORD-11191"/>
    <x v="553"/>
    <d v="2024-11-18T00:00:00"/>
    <x v="3"/>
    <x v="1"/>
    <x v="1"/>
    <x v="2"/>
    <x v="1"/>
    <n v="3"/>
    <n v="28.87"/>
    <n v="12"/>
    <n v="284"/>
    <n v="28.65"/>
    <x v="0"/>
    <n v="3"/>
    <n v="86.61"/>
    <n v="98.61"/>
    <x v="0"/>
  </r>
  <r>
    <s v="ORD-11192"/>
    <x v="554"/>
    <d v="2024-11-18T00:00:00"/>
    <x v="0"/>
    <x v="0"/>
    <x v="0"/>
    <x v="0"/>
    <x v="1"/>
    <n v="14"/>
    <n v="40.57"/>
    <n v="8"/>
    <n v="43"/>
    <n v="41.44"/>
    <x v="0"/>
    <n v="2"/>
    <n v="567.98"/>
    <n v="575.98"/>
    <x v="1"/>
  </r>
  <r>
    <s v="ORD-11193"/>
    <x v="554"/>
    <d v="2024-11-19T00:00:00"/>
    <x v="0"/>
    <x v="0"/>
    <x v="0"/>
    <x v="2"/>
    <x v="3"/>
    <n v="13"/>
    <n v="34.49"/>
    <n v="12"/>
    <n v="253"/>
    <n v="29.87"/>
    <x v="0"/>
    <n v="3"/>
    <n v="448.37"/>
    <n v="460.37"/>
    <x v="0"/>
  </r>
  <r>
    <s v="ORD-11194"/>
    <x v="555"/>
    <d v="2024-11-19T00:00:00"/>
    <x v="11"/>
    <x v="3"/>
    <x v="3"/>
    <x v="0"/>
    <x v="3"/>
    <n v="1"/>
    <n v="249.79"/>
    <n v="37.5"/>
    <n v="276"/>
    <n v="68.680000000000007"/>
    <x v="0"/>
    <n v="2"/>
    <n v="249.79"/>
    <n v="287.28999999999996"/>
    <x v="0"/>
  </r>
  <r>
    <s v="ORD-11195"/>
    <x v="555"/>
    <d v="2024-11-30T00:00:00"/>
    <x v="9"/>
    <x v="2"/>
    <x v="2"/>
    <x v="2"/>
    <x v="2"/>
    <n v="2"/>
    <n v="275.05"/>
    <n v="75"/>
    <n v="231"/>
    <n v="72.52"/>
    <x v="1"/>
    <n v="13"/>
    <n v="550.1"/>
    <n v="625.1"/>
    <x v="0"/>
  </r>
  <r>
    <s v="ORD-11196"/>
    <x v="555"/>
    <d v="2024-11-22T00:00:00"/>
    <x v="13"/>
    <x v="4"/>
    <x v="4"/>
    <x v="2"/>
    <x v="3"/>
    <n v="3"/>
    <n v="75.19"/>
    <n v="18"/>
    <n v="94"/>
    <n v="92.51"/>
    <x v="0"/>
    <n v="5"/>
    <n v="225.57"/>
    <n v="243.57"/>
    <x v="0"/>
  </r>
  <r>
    <s v="ORD-11197"/>
    <x v="555"/>
    <d v="2024-11-19T00:00:00"/>
    <x v="15"/>
    <x v="4"/>
    <x v="4"/>
    <x v="0"/>
    <x v="3"/>
    <n v="3"/>
    <n v="95.3"/>
    <n v="18"/>
    <n v="75"/>
    <n v="119.66"/>
    <x v="0"/>
    <n v="2"/>
    <n v="285.89999999999998"/>
    <n v="303.89999999999998"/>
    <x v="0"/>
  </r>
  <r>
    <s v="ORD-11198"/>
    <x v="556"/>
    <d v="2024-11-20T00:00:00"/>
    <x v="0"/>
    <x v="0"/>
    <x v="0"/>
    <x v="2"/>
    <x v="3"/>
    <n v="14"/>
    <n v="14.56"/>
    <n v="12"/>
    <n v="152"/>
    <n v="10.31"/>
    <x v="0"/>
    <n v="2"/>
    <n v="203.84"/>
    <n v="215.84"/>
    <x v="0"/>
  </r>
  <r>
    <s v="ORD-11199"/>
    <x v="556"/>
    <d v="2024-11-19T00:00:00"/>
    <x v="0"/>
    <x v="0"/>
    <x v="0"/>
    <x v="2"/>
    <x v="3"/>
    <n v="5"/>
    <n v="16.25"/>
    <n v="12"/>
    <n v="89"/>
    <n v="0.5"/>
    <x v="0"/>
    <n v="1"/>
    <n v="81.25"/>
    <n v="93.25"/>
    <x v="0"/>
  </r>
  <r>
    <s v="ORD-11200"/>
    <x v="556"/>
    <d v="2024-11-20T00:00:00"/>
    <x v="14"/>
    <x v="4"/>
    <x v="4"/>
    <x v="2"/>
    <x v="3"/>
    <n v="2"/>
    <n v="62.12"/>
    <n v="18"/>
    <n v="361"/>
    <n v="46.91"/>
    <x v="0"/>
    <n v="2"/>
    <n v="124.24"/>
    <n v="142.24"/>
    <x v="0"/>
  </r>
  <r>
    <s v="ORD-11201"/>
    <x v="557"/>
    <d v="2024-11-24T00:00:00"/>
    <x v="3"/>
    <x v="1"/>
    <x v="1"/>
    <x v="2"/>
    <x v="2"/>
    <n v="5"/>
    <n v="64.7"/>
    <n v="12"/>
    <n v="265"/>
    <n v="123.39"/>
    <x v="0"/>
    <n v="5"/>
    <n v="323.5"/>
    <n v="335.5"/>
    <x v="0"/>
  </r>
  <r>
    <s v="ORD-11202"/>
    <x v="557"/>
    <d v="2024-11-24T00:00:00"/>
    <x v="4"/>
    <x v="2"/>
    <x v="2"/>
    <x v="2"/>
    <x v="3"/>
    <n v="2"/>
    <n v="115.7"/>
    <n v="112.5"/>
    <n v="78"/>
    <n v="-9.9700000000000006"/>
    <x v="0"/>
    <n v="5"/>
    <n v="231.4"/>
    <n v="343.9"/>
    <x v="0"/>
  </r>
  <r>
    <s v="ORD-11203"/>
    <x v="557"/>
    <d v="2024-11-24T00:00:00"/>
    <x v="4"/>
    <x v="2"/>
    <x v="2"/>
    <x v="0"/>
    <x v="0"/>
    <n v="2"/>
    <n v="211.17"/>
    <n v="75"/>
    <n v="333"/>
    <n v="46.97"/>
    <x v="0"/>
    <n v="5"/>
    <n v="422.34"/>
    <n v="497.34"/>
    <x v="0"/>
  </r>
  <r>
    <s v="ORD-11204"/>
    <x v="558"/>
    <d v="2024-11-21T00:00:00"/>
    <x v="6"/>
    <x v="3"/>
    <x v="3"/>
    <x v="0"/>
    <x v="1"/>
    <n v="1"/>
    <n v="814.04"/>
    <n v="25"/>
    <n v="346"/>
    <n v="272.41000000000003"/>
    <x v="0"/>
    <n v="1"/>
    <n v="814.04"/>
    <n v="839.04"/>
    <x v="0"/>
  </r>
  <r>
    <s v="ORD-11205"/>
    <x v="558"/>
    <d v="2024-11-25T00:00:00"/>
    <x v="12"/>
    <x v="3"/>
    <x v="3"/>
    <x v="0"/>
    <x v="2"/>
    <n v="2"/>
    <n v="511.19"/>
    <n v="25"/>
    <n v="184"/>
    <n v="345.33"/>
    <x v="0"/>
    <n v="5"/>
    <n v="1022.38"/>
    <n v="1047.3800000000001"/>
    <x v="0"/>
  </r>
  <r>
    <s v="ORD-11206"/>
    <x v="558"/>
    <d v="2024-11-25T00:00:00"/>
    <x v="9"/>
    <x v="2"/>
    <x v="2"/>
    <x v="0"/>
    <x v="1"/>
    <n v="2"/>
    <n v="152.18"/>
    <n v="75"/>
    <n v="100"/>
    <n v="23.37"/>
    <x v="0"/>
    <n v="5"/>
    <n v="304.36"/>
    <n v="379.36"/>
    <x v="0"/>
  </r>
  <r>
    <s v="ORD-11207"/>
    <x v="558"/>
    <d v="2024-11-21T00:00:00"/>
    <x v="14"/>
    <x v="4"/>
    <x v="4"/>
    <x v="1"/>
    <x v="2"/>
    <n v="2"/>
    <n v="100.2"/>
    <n v="12"/>
    <n v="262"/>
    <n v="84.18"/>
    <x v="0"/>
    <n v="1"/>
    <n v="200.4"/>
    <n v="212.4"/>
    <x v="0"/>
  </r>
  <r>
    <s v="ORD-11208"/>
    <x v="559"/>
    <d v="2024-11-22T00:00:00"/>
    <x v="3"/>
    <x v="1"/>
    <x v="1"/>
    <x v="2"/>
    <x v="3"/>
    <n v="1"/>
    <n v="33.200000000000003"/>
    <n v="18"/>
    <n v="98"/>
    <n v="4.28"/>
    <x v="0"/>
    <n v="1"/>
    <n v="33.200000000000003"/>
    <n v="51.2"/>
    <x v="0"/>
  </r>
  <r>
    <s v="ORD-11209"/>
    <x v="559"/>
    <d v="2024-11-22T00:00:00"/>
    <x v="11"/>
    <x v="3"/>
    <x v="3"/>
    <x v="2"/>
    <x v="3"/>
    <n v="1"/>
    <n v="535.48"/>
    <n v="37.5"/>
    <n v="364"/>
    <n v="168.67"/>
    <x v="0"/>
    <n v="1"/>
    <n v="535.48"/>
    <n v="572.98"/>
    <x v="0"/>
  </r>
  <r>
    <s v="ORD-11210"/>
    <x v="560"/>
    <d v="2024-12-06T00:00:00"/>
    <x v="14"/>
    <x v="4"/>
    <x v="4"/>
    <x v="2"/>
    <x v="3"/>
    <n v="4"/>
    <n v="24.28"/>
    <n v="18"/>
    <n v="313"/>
    <n v="34.700000000000003"/>
    <x v="1"/>
    <n v="14"/>
    <n v="97.12"/>
    <n v="115.12"/>
    <x v="0"/>
  </r>
  <r>
    <s v="ORD-11211"/>
    <x v="561"/>
    <d v="2024-11-30T00:00:00"/>
    <x v="11"/>
    <x v="3"/>
    <x v="3"/>
    <x v="2"/>
    <x v="2"/>
    <n v="1"/>
    <n v="1127.26"/>
    <n v="25"/>
    <n v="25"/>
    <n v="382.04"/>
    <x v="2"/>
    <n v="7"/>
    <n v="1127.26"/>
    <n v="1152.26"/>
    <x v="1"/>
  </r>
  <r>
    <s v="ORD-11212"/>
    <x v="561"/>
    <d v="2024-11-24T00:00:00"/>
    <x v="12"/>
    <x v="3"/>
    <x v="3"/>
    <x v="1"/>
    <x v="1"/>
    <n v="1"/>
    <n v="412.62"/>
    <n v="25"/>
    <n v="243"/>
    <n v="131.91999999999999"/>
    <x v="0"/>
    <n v="1"/>
    <n v="412.62"/>
    <n v="437.62"/>
    <x v="0"/>
  </r>
  <r>
    <s v="ORD-11213"/>
    <x v="561"/>
    <d v="2024-12-03T00:00:00"/>
    <x v="7"/>
    <x v="1"/>
    <x v="1"/>
    <x v="2"/>
    <x v="3"/>
    <n v="1"/>
    <n v="58.93"/>
    <n v="18"/>
    <n v="93"/>
    <n v="14.57"/>
    <x v="2"/>
    <n v="10"/>
    <n v="58.93"/>
    <n v="76.930000000000007"/>
    <x v="0"/>
  </r>
  <r>
    <s v="ORD-11214"/>
    <x v="562"/>
    <d v="2024-12-07T00:00:00"/>
    <x v="7"/>
    <x v="1"/>
    <x v="1"/>
    <x v="2"/>
    <x v="3"/>
    <n v="2"/>
    <n v="99.38"/>
    <n v="18"/>
    <n v="114"/>
    <n v="70.510000000000005"/>
    <x v="1"/>
    <n v="12"/>
    <n v="198.76"/>
    <n v="216.76"/>
    <x v="0"/>
  </r>
  <r>
    <s v="ORD-11215"/>
    <x v="563"/>
    <d v="2024-11-30T00:00:00"/>
    <x v="4"/>
    <x v="2"/>
    <x v="2"/>
    <x v="0"/>
    <x v="1"/>
    <n v="2"/>
    <n v="477.99"/>
    <n v="75"/>
    <n v="162"/>
    <n v="153.69"/>
    <x v="0"/>
    <n v="3"/>
    <n v="955.98"/>
    <n v="1030.98"/>
    <x v="0"/>
  </r>
  <r>
    <s v="ORD-11216"/>
    <x v="563"/>
    <d v="2024-11-30T00:00:00"/>
    <x v="11"/>
    <x v="3"/>
    <x v="3"/>
    <x v="1"/>
    <x v="0"/>
    <n v="2"/>
    <n v="965.11"/>
    <n v="25"/>
    <n v="177"/>
    <n v="663.08"/>
    <x v="0"/>
    <n v="3"/>
    <n v="1930.22"/>
    <n v="1955.22"/>
    <x v="0"/>
  </r>
  <r>
    <s v="ORD-11217"/>
    <x v="564"/>
    <d v="2024-11-29T00:00:00"/>
    <x v="14"/>
    <x v="4"/>
    <x v="4"/>
    <x v="0"/>
    <x v="0"/>
    <n v="2"/>
    <n v="135.6"/>
    <n v="12"/>
    <n v="237"/>
    <n v="116.04"/>
    <x v="0"/>
    <n v="1"/>
    <n v="271.2"/>
    <n v="283.2"/>
    <x v="0"/>
  </r>
  <r>
    <s v="ORD-11218"/>
    <x v="564"/>
    <d v="2024-12-01T00:00:00"/>
    <x v="7"/>
    <x v="1"/>
    <x v="1"/>
    <x v="0"/>
    <x v="0"/>
    <n v="3"/>
    <n v="96.64"/>
    <n v="12"/>
    <n v="373"/>
    <n v="109.96"/>
    <x v="0"/>
    <n v="3"/>
    <n v="289.92"/>
    <n v="301.92"/>
    <x v="0"/>
  </r>
  <r>
    <s v="ORD-11219"/>
    <x v="565"/>
    <d v="2024-12-04T00:00:00"/>
    <x v="2"/>
    <x v="1"/>
    <x v="1"/>
    <x v="0"/>
    <x v="2"/>
    <n v="2"/>
    <n v="22.23"/>
    <n v="12"/>
    <n v="321"/>
    <n v="11.78"/>
    <x v="0"/>
    <n v="5"/>
    <n v="44.46"/>
    <n v="56.46"/>
    <x v="0"/>
  </r>
  <r>
    <s v="ORD-11220"/>
    <x v="565"/>
    <d v="2024-12-08T00:00:00"/>
    <x v="3"/>
    <x v="1"/>
    <x v="1"/>
    <x v="2"/>
    <x v="3"/>
    <n v="2"/>
    <n v="21.08"/>
    <n v="18"/>
    <n v="21"/>
    <n v="7.86"/>
    <x v="2"/>
    <n v="9"/>
    <n v="42.16"/>
    <n v="60.16"/>
    <x v="1"/>
  </r>
  <r>
    <s v="ORD-11221"/>
    <x v="565"/>
    <d v="2024-12-02T00:00:00"/>
    <x v="12"/>
    <x v="3"/>
    <x v="3"/>
    <x v="0"/>
    <x v="2"/>
    <n v="3"/>
    <n v="812.98"/>
    <n v="25"/>
    <n v="372"/>
    <n v="841.13"/>
    <x v="0"/>
    <n v="3"/>
    <n v="2438.94"/>
    <n v="2463.94"/>
    <x v="0"/>
  </r>
  <r>
    <s v="ORD-11222"/>
    <x v="566"/>
    <d v="2024-12-03T00:00:00"/>
    <x v="6"/>
    <x v="3"/>
    <x v="3"/>
    <x v="2"/>
    <x v="3"/>
    <n v="1"/>
    <n v="400.02"/>
    <n v="37.5"/>
    <n v="344"/>
    <n v="121.26"/>
    <x v="0"/>
    <n v="3"/>
    <n v="400.02"/>
    <n v="437.52"/>
    <x v="0"/>
  </r>
  <r>
    <s v="ORD-11223"/>
    <x v="566"/>
    <d v="2024-12-03T00:00:00"/>
    <x v="13"/>
    <x v="4"/>
    <x v="4"/>
    <x v="2"/>
    <x v="3"/>
    <n v="1"/>
    <n v="122.69"/>
    <n v="18"/>
    <n v="261"/>
    <n v="46.21"/>
    <x v="0"/>
    <n v="3"/>
    <n v="122.69"/>
    <n v="140.69"/>
    <x v="0"/>
  </r>
  <r>
    <s v="ORD-11224"/>
    <x v="566"/>
    <d v="2024-12-10T00:00:00"/>
    <x v="8"/>
    <x v="2"/>
    <x v="2"/>
    <x v="2"/>
    <x v="3"/>
    <n v="2"/>
    <n v="424.46"/>
    <n v="112.5"/>
    <n v="237"/>
    <n v="113.54"/>
    <x v="2"/>
    <n v="10"/>
    <n v="848.92"/>
    <n v="961.42"/>
    <x v="0"/>
  </r>
  <r>
    <s v="ORD-11225"/>
    <x v="566"/>
    <d v="2024-12-03T00:00:00"/>
    <x v="5"/>
    <x v="3"/>
    <x v="3"/>
    <x v="1"/>
    <x v="1"/>
    <n v="1"/>
    <n v="1030.58"/>
    <n v="25"/>
    <n v="338"/>
    <n v="348.2"/>
    <x v="0"/>
    <n v="3"/>
    <n v="1030.58"/>
    <n v="1055.58"/>
    <x v="0"/>
  </r>
  <r>
    <s v="ORD-11226"/>
    <x v="566"/>
    <d v="2024-12-04T00:00:00"/>
    <x v="11"/>
    <x v="3"/>
    <x v="3"/>
    <x v="0"/>
    <x v="0"/>
    <n v="1"/>
    <n v="484.8"/>
    <n v="25"/>
    <n v="209"/>
    <n v="157.18"/>
    <x v="0"/>
    <n v="4"/>
    <n v="484.8"/>
    <n v="509.8"/>
    <x v="0"/>
  </r>
  <r>
    <s v="ORD-11227"/>
    <x v="566"/>
    <d v="2024-12-01T00:00:00"/>
    <x v="10"/>
    <x v="0"/>
    <x v="0"/>
    <x v="1"/>
    <x v="0"/>
    <n v="13"/>
    <n v="39.92"/>
    <n v="8"/>
    <n v="235"/>
    <n v="37.520000000000003"/>
    <x v="0"/>
    <n v="1"/>
    <n v="518.96"/>
    <n v="526.96"/>
    <x v="0"/>
  </r>
  <r>
    <s v="ORD-11228"/>
    <x v="566"/>
    <d v="2024-12-05T00:00:00"/>
    <x v="5"/>
    <x v="3"/>
    <x v="3"/>
    <x v="0"/>
    <x v="2"/>
    <n v="1"/>
    <n v="1160.74"/>
    <n v="25"/>
    <n v="218"/>
    <n v="393.76"/>
    <x v="0"/>
    <n v="5"/>
    <n v="1160.74"/>
    <n v="1185.74"/>
    <x v="0"/>
  </r>
  <r>
    <s v="ORD-11229"/>
    <x v="567"/>
    <d v="2024-12-03T00:00:00"/>
    <x v="7"/>
    <x v="1"/>
    <x v="1"/>
    <x v="0"/>
    <x v="1"/>
    <n v="5"/>
    <n v="53.88"/>
    <n v="12"/>
    <n v="138"/>
    <n v="101.76"/>
    <x v="0"/>
    <n v="1"/>
    <n v="269.40000000000003"/>
    <n v="281.40000000000003"/>
    <x v="0"/>
  </r>
  <r>
    <s v="ORD-11230"/>
    <x v="568"/>
    <d v="2024-12-08T00:00:00"/>
    <x v="4"/>
    <x v="2"/>
    <x v="2"/>
    <x v="1"/>
    <x v="0"/>
    <n v="1"/>
    <n v="117.42"/>
    <n v="75"/>
    <n v="58"/>
    <n v="-14.02"/>
    <x v="0"/>
    <n v="5"/>
    <n v="117.42"/>
    <n v="192.42000000000002"/>
    <x v="0"/>
  </r>
  <r>
    <s v="ORD-11231"/>
    <x v="568"/>
    <d v="2024-12-05T00:00:00"/>
    <x v="6"/>
    <x v="3"/>
    <x v="3"/>
    <x v="2"/>
    <x v="1"/>
    <n v="1"/>
    <n v="600.75"/>
    <n v="25"/>
    <n v="318"/>
    <n v="197.76"/>
    <x v="0"/>
    <n v="2"/>
    <n v="600.75"/>
    <n v="625.75"/>
    <x v="0"/>
  </r>
  <r>
    <s v="ORD-11232"/>
    <x v="569"/>
    <d v="2024-12-05T00:00:00"/>
    <x v="0"/>
    <x v="0"/>
    <x v="0"/>
    <x v="0"/>
    <x v="0"/>
    <n v="13"/>
    <n v="27.38"/>
    <n v="8"/>
    <n v="313"/>
    <n v="24.47"/>
    <x v="0"/>
    <n v="1"/>
    <n v="355.94"/>
    <n v="363.94"/>
    <x v="0"/>
  </r>
  <r>
    <s v="ORD-11233"/>
    <x v="569"/>
    <d v="2024-12-06T00:00:00"/>
    <x v="3"/>
    <x v="1"/>
    <x v="1"/>
    <x v="1"/>
    <x v="1"/>
    <n v="2"/>
    <n v="131.63999999999999"/>
    <n v="12"/>
    <n v="264"/>
    <n v="99.31"/>
    <x v="0"/>
    <n v="2"/>
    <n v="263.27999999999997"/>
    <n v="275.27999999999997"/>
    <x v="0"/>
  </r>
  <r>
    <s v="ORD-11234"/>
    <x v="569"/>
    <d v="2024-12-14T00:00:00"/>
    <x v="11"/>
    <x v="3"/>
    <x v="3"/>
    <x v="2"/>
    <x v="3"/>
    <n v="2"/>
    <n v="531.69000000000005"/>
    <n v="37.5"/>
    <n v="248"/>
    <n v="353.43"/>
    <x v="2"/>
    <n v="10"/>
    <n v="1063.3800000000001"/>
    <n v="1100.8800000000001"/>
    <x v="0"/>
  </r>
  <r>
    <s v="ORD-11235"/>
    <x v="570"/>
    <d v="2024-12-09T00:00:00"/>
    <x v="15"/>
    <x v="4"/>
    <x v="4"/>
    <x v="2"/>
    <x v="3"/>
    <n v="4"/>
    <n v="94.97"/>
    <n v="18"/>
    <n v="197"/>
    <n v="161.94"/>
    <x v="0"/>
    <n v="4"/>
    <n v="379.88"/>
    <n v="397.88"/>
    <x v="0"/>
  </r>
  <r>
    <s v="ORD-11236"/>
    <x v="570"/>
    <d v="2024-12-16T00:00:00"/>
    <x v="10"/>
    <x v="0"/>
    <x v="0"/>
    <x v="2"/>
    <x v="3"/>
    <n v="5"/>
    <n v="15.99"/>
    <n v="12"/>
    <n v="150"/>
    <n v="0.39"/>
    <x v="1"/>
    <n v="11"/>
    <n v="79.95"/>
    <n v="91.95"/>
    <x v="0"/>
  </r>
  <r>
    <s v="ORD-11237"/>
    <x v="571"/>
    <d v="2024-12-11T00:00:00"/>
    <x v="1"/>
    <x v="0"/>
    <x v="0"/>
    <x v="1"/>
    <x v="1"/>
    <n v="14"/>
    <n v="27.28"/>
    <n v="8"/>
    <n v="3"/>
    <n v="26.56"/>
    <x v="0"/>
    <n v="4"/>
    <n v="381.92"/>
    <n v="389.92"/>
    <x v="2"/>
  </r>
  <r>
    <s v="ORD-11238"/>
    <x v="572"/>
    <d v="2024-12-11T00:00:00"/>
    <x v="0"/>
    <x v="0"/>
    <x v="0"/>
    <x v="1"/>
    <x v="1"/>
    <n v="6"/>
    <n v="21.69"/>
    <n v="8"/>
    <n v="316"/>
    <n v="6.41"/>
    <x v="0"/>
    <n v="3"/>
    <n v="130.14000000000001"/>
    <n v="138.14000000000001"/>
    <x v="0"/>
  </r>
  <r>
    <s v="ORD-11239"/>
    <x v="573"/>
    <d v="2024-12-13T00:00:00"/>
    <x v="8"/>
    <x v="2"/>
    <x v="2"/>
    <x v="2"/>
    <x v="3"/>
    <n v="2"/>
    <n v="255.19"/>
    <n v="112.5"/>
    <n v="311"/>
    <n v="45.83"/>
    <x v="0"/>
    <n v="4"/>
    <n v="510.38"/>
    <n v="622.88"/>
    <x v="0"/>
  </r>
  <r>
    <s v="ORD-11240"/>
    <x v="573"/>
    <d v="2024-12-13T00:00:00"/>
    <x v="5"/>
    <x v="3"/>
    <x v="3"/>
    <x v="1"/>
    <x v="0"/>
    <n v="1"/>
    <n v="426.27"/>
    <n v="25"/>
    <n v="331"/>
    <n v="136.69"/>
    <x v="0"/>
    <n v="4"/>
    <n v="426.27"/>
    <n v="451.27"/>
    <x v="0"/>
  </r>
  <r>
    <s v="ORD-11241"/>
    <x v="573"/>
    <d v="2024-12-14T00:00:00"/>
    <x v="1"/>
    <x v="0"/>
    <x v="0"/>
    <x v="2"/>
    <x v="3"/>
    <n v="13"/>
    <n v="21.97"/>
    <n v="12"/>
    <n v="223"/>
    <n v="16.84"/>
    <x v="0"/>
    <n v="5"/>
    <n v="285.61"/>
    <n v="297.61"/>
    <x v="0"/>
  </r>
  <r>
    <s v="ORD-11242"/>
    <x v="574"/>
    <d v="2024-12-13T00:00:00"/>
    <x v="4"/>
    <x v="2"/>
    <x v="2"/>
    <x v="1"/>
    <x v="2"/>
    <n v="1"/>
    <n v="482.62"/>
    <n v="75"/>
    <n v="299"/>
    <n v="59.02"/>
    <x v="0"/>
    <n v="3"/>
    <n v="482.62"/>
    <n v="557.62"/>
    <x v="0"/>
  </r>
  <r>
    <s v="ORD-11243"/>
    <x v="574"/>
    <d v="2024-12-14T00:00:00"/>
    <x v="13"/>
    <x v="4"/>
    <x v="4"/>
    <x v="2"/>
    <x v="3"/>
    <n v="5"/>
    <n v="148.55000000000001"/>
    <n v="18"/>
    <n v="104"/>
    <n v="325.23"/>
    <x v="0"/>
    <n v="4"/>
    <n v="742.75"/>
    <n v="760.75"/>
    <x v="0"/>
  </r>
  <r>
    <s v="ORD-11244"/>
    <x v="574"/>
    <d v="2024-12-15T00:00:00"/>
    <x v="9"/>
    <x v="2"/>
    <x v="2"/>
    <x v="1"/>
    <x v="0"/>
    <n v="1"/>
    <n v="209.03"/>
    <n v="75"/>
    <n v="306"/>
    <n v="4.3099999999999996"/>
    <x v="0"/>
    <n v="5"/>
    <n v="209.03"/>
    <n v="284.02999999999997"/>
    <x v="0"/>
  </r>
  <r>
    <s v="ORD-11245"/>
    <x v="574"/>
    <d v="2024-12-23T00:00:00"/>
    <x v="0"/>
    <x v="0"/>
    <x v="0"/>
    <x v="2"/>
    <x v="3"/>
    <n v="8"/>
    <n v="23.32"/>
    <n v="12"/>
    <n v="192"/>
    <n v="8.93"/>
    <x v="1"/>
    <n v="13"/>
    <n v="186.56"/>
    <n v="198.56"/>
    <x v="0"/>
  </r>
  <r>
    <s v="ORD-11246"/>
    <x v="575"/>
    <d v="2024-12-20T00:00:00"/>
    <x v="1"/>
    <x v="0"/>
    <x v="0"/>
    <x v="2"/>
    <x v="1"/>
    <n v="9"/>
    <n v="26.61"/>
    <n v="8"/>
    <n v="39"/>
    <n v="15.16"/>
    <x v="2"/>
    <n v="9"/>
    <n v="239.49"/>
    <n v="247.49"/>
    <x v="1"/>
  </r>
  <r>
    <s v="ORD-11247"/>
    <x v="575"/>
    <d v="2024-12-14T00:00:00"/>
    <x v="5"/>
    <x v="3"/>
    <x v="3"/>
    <x v="2"/>
    <x v="2"/>
    <n v="1"/>
    <n v="834.99"/>
    <n v="25"/>
    <n v="30"/>
    <n v="279.75"/>
    <x v="0"/>
    <n v="3"/>
    <n v="834.99"/>
    <n v="859.99"/>
    <x v="1"/>
  </r>
  <r>
    <s v="ORD-11248"/>
    <x v="576"/>
    <d v="2024-12-13T00:00:00"/>
    <x v="10"/>
    <x v="0"/>
    <x v="0"/>
    <x v="2"/>
    <x v="3"/>
    <n v="8"/>
    <n v="41.37"/>
    <n v="12"/>
    <n v="388"/>
    <n v="20.48"/>
    <x v="0"/>
    <n v="1"/>
    <n v="330.96"/>
    <n v="342.96"/>
    <x v="0"/>
  </r>
  <r>
    <s v="ORD-11249"/>
    <x v="577"/>
    <d v="2024-12-24T00:00:00"/>
    <x v="2"/>
    <x v="1"/>
    <x v="1"/>
    <x v="2"/>
    <x v="3"/>
    <n v="5"/>
    <n v="64.84"/>
    <n v="18"/>
    <n v="294"/>
    <n v="120.67"/>
    <x v="1"/>
    <n v="11"/>
    <n v="324.20000000000005"/>
    <n v="342.20000000000005"/>
    <x v="0"/>
  </r>
  <r>
    <s v="ORD-11250"/>
    <x v="578"/>
    <d v="2024-12-17T00:00:00"/>
    <x v="6"/>
    <x v="3"/>
    <x v="3"/>
    <x v="2"/>
    <x v="0"/>
    <n v="1"/>
    <n v="271.89"/>
    <n v="25"/>
    <n v="139"/>
    <n v="82.66"/>
    <x v="0"/>
    <n v="3"/>
    <n v="271.89"/>
    <n v="296.89"/>
    <x v="0"/>
  </r>
  <r>
    <s v="ORD-11251"/>
    <x v="578"/>
    <d v="2024-12-18T00:00:00"/>
    <x v="10"/>
    <x v="0"/>
    <x v="0"/>
    <x v="2"/>
    <x v="2"/>
    <n v="14"/>
    <n v="25.51"/>
    <n v="8"/>
    <n v="26"/>
    <n v="24.57"/>
    <x v="0"/>
    <n v="4"/>
    <n v="357.14000000000004"/>
    <n v="365.14000000000004"/>
    <x v="1"/>
  </r>
  <r>
    <s v="ORD-11252"/>
    <x v="578"/>
    <d v="2024-12-23T00:00:00"/>
    <x v="2"/>
    <x v="1"/>
    <x v="1"/>
    <x v="2"/>
    <x v="1"/>
    <n v="1"/>
    <n v="78.650000000000006"/>
    <n v="12"/>
    <n v="295"/>
    <n v="25.46"/>
    <x v="2"/>
    <n v="9"/>
    <n v="78.650000000000006"/>
    <n v="90.65"/>
    <x v="0"/>
  </r>
  <r>
    <s v="ORD-11253"/>
    <x v="578"/>
    <d v="2024-12-15T00:00:00"/>
    <x v="5"/>
    <x v="3"/>
    <x v="3"/>
    <x v="2"/>
    <x v="3"/>
    <n v="2"/>
    <n v="1186.3599999999999"/>
    <n v="37.5"/>
    <n v="40"/>
    <n v="811.71"/>
    <x v="0"/>
    <n v="1"/>
    <n v="2372.7199999999998"/>
    <n v="2410.2199999999998"/>
    <x v="1"/>
  </r>
  <r>
    <s v="ORD-11254"/>
    <x v="578"/>
    <d v="2024-12-17T00:00:00"/>
    <x v="1"/>
    <x v="0"/>
    <x v="0"/>
    <x v="1"/>
    <x v="1"/>
    <n v="13"/>
    <n v="13.86"/>
    <n v="8"/>
    <n v="312"/>
    <n v="10.42"/>
    <x v="0"/>
    <n v="3"/>
    <n v="180.18"/>
    <n v="188.18"/>
    <x v="0"/>
  </r>
  <r>
    <s v="ORD-11255"/>
    <x v="579"/>
    <d v="2024-12-20T00:00:00"/>
    <x v="7"/>
    <x v="1"/>
    <x v="1"/>
    <x v="2"/>
    <x v="3"/>
    <n v="2"/>
    <n v="113.44"/>
    <n v="18"/>
    <n v="240"/>
    <n v="81.760000000000005"/>
    <x v="0"/>
    <n v="5"/>
    <n v="226.88"/>
    <n v="244.88"/>
    <x v="0"/>
  </r>
  <r>
    <s v="ORD-11256"/>
    <x v="579"/>
    <d v="2024-12-17T00:00:00"/>
    <x v="3"/>
    <x v="1"/>
    <x v="1"/>
    <x v="0"/>
    <x v="1"/>
    <n v="5"/>
    <n v="64.900000000000006"/>
    <n v="12"/>
    <n v="339"/>
    <n v="123.8"/>
    <x v="0"/>
    <n v="2"/>
    <n v="324.5"/>
    <n v="336.5"/>
    <x v="0"/>
  </r>
  <r>
    <s v="ORD-11257"/>
    <x v="579"/>
    <d v="2024-12-31T00:00:00"/>
    <x v="9"/>
    <x v="2"/>
    <x v="2"/>
    <x v="2"/>
    <x v="3"/>
    <n v="2"/>
    <n v="476.75"/>
    <n v="112.5"/>
    <n v="198"/>
    <n v="134.44999999999999"/>
    <x v="1"/>
    <n v="16"/>
    <n v="953.5"/>
    <n v="1066"/>
    <x v="0"/>
  </r>
  <r>
    <s v="ORD-11258"/>
    <x v="580"/>
    <d v="2024-12-20T00:00:00"/>
    <x v="5"/>
    <x v="3"/>
    <x v="3"/>
    <x v="1"/>
    <x v="0"/>
    <n v="1"/>
    <n v="1076.03"/>
    <n v="25"/>
    <n v="169"/>
    <n v="364.11"/>
    <x v="0"/>
    <n v="4"/>
    <n v="1076.03"/>
    <n v="1101.03"/>
    <x v="0"/>
  </r>
  <r>
    <s v="ORD-11259"/>
    <x v="580"/>
    <d v="2024-12-17T00:00:00"/>
    <x v="5"/>
    <x v="3"/>
    <x v="3"/>
    <x v="0"/>
    <x v="2"/>
    <n v="3"/>
    <n v="683.86"/>
    <n v="25"/>
    <n v="147"/>
    <n v="705.55"/>
    <x v="0"/>
    <n v="1"/>
    <n v="2051.58"/>
    <n v="2076.58"/>
    <x v="0"/>
  </r>
  <r>
    <s v="ORD-11260"/>
    <x v="581"/>
    <d v="2024-12-30T00:00:00"/>
    <x v="5"/>
    <x v="3"/>
    <x v="3"/>
    <x v="2"/>
    <x v="3"/>
    <n v="1"/>
    <n v="350.66"/>
    <n v="37.5"/>
    <n v="385"/>
    <n v="103.98"/>
    <x v="1"/>
    <n v="13"/>
    <n v="350.66"/>
    <n v="388.16"/>
    <x v="0"/>
  </r>
  <r>
    <s v="ORD-11261"/>
    <x v="582"/>
    <d v="2024-12-22T00:00:00"/>
    <x v="15"/>
    <x v="4"/>
    <x v="4"/>
    <x v="2"/>
    <x v="3"/>
    <n v="3"/>
    <n v="103.15"/>
    <n v="18"/>
    <n v="399"/>
    <n v="130.25"/>
    <x v="0"/>
    <n v="4"/>
    <n v="309.45000000000005"/>
    <n v="327.45000000000005"/>
    <x v="0"/>
  </r>
  <r>
    <s v="ORD-11262"/>
    <x v="583"/>
    <d v="2024-12-21T00:00:00"/>
    <x v="0"/>
    <x v="0"/>
    <x v="0"/>
    <x v="0"/>
    <x v="0"/>
    <n v="13"/>
    <n v="38.89"/>
    <n v="8"/>
    <n v="7"/>
    <n v="36.44"/>
    <x v="0"/>
    <n v="2"/>
    <n v="505.57"/>
    <n v="513.56999999999994"/>
    <x v="2"/>
  </r>
  <r>
    <s v="ORD-11263"/>
    <x v="584"/>
    <d v="2024-12-22T00:00:00"/>
    <x v="8"/>
    <x v="2"/>
    <x v="2"/>
    <x v="1"/>
    <x v="1"/>
    <n v="2"/>
    <n v="401.81"/>
    <n v="75"/>
    <n v="62"/>
    <n v="123.22"/>
    <x v="0"/>
    <n v="2"/>
    <n v="803.62"/>
    <n v="878.62"/>
    <x v="0"/>
  </r>
  <r>
    <s v="ORD-11264"/>
    <x v="584"/>
    <d v="2024-12-22T00:00:00"/>
    <x v="3"/>
    <x v="1"/>
    <x v="1"/>
    <x v="2"/>
    <x v="3"/>
    <n v="2"/>
    <n v="61.15"/>
    <n v="18"/>
    <n v="240"/>
    <n v="39.92"/>
    <x v="0"/>
    <n v="2"/>
    <n v="122.3"/>
    <n v="140.30000000000001"/>
    <x v="0"/>
  </r>
  <r>
    <s v="ORD-11265"/>
    <x v="585"/>
    <d v="2024-12-22T00:00:00"/>
    <x v="1"/>
    <x v="0"/>
    <x v="0"/>
    <x v="2"/>
    <x v="3"/>
    <n v="13"/>
    <n v="43.49"/>
    <n v="12"/>
    <n v="8"/>
    <n v="39.229999999999997"/>
    <x v="0"/>
    <n v="1"/>
    <n v="565.37"/>
    <n v="577.37"/>
    <x v="2"/>
  </r>
  <r>
    <s v="ORD-11266"/>
    <x v="585"/>
    <d v="2024-12-24T00:00:00"/>
    <x v="1"/>
    <x v="0"/>
    <x v="0"/>
    <x v="2"/>
    <x v="3"/>
    <n v="12"/>
    <n v="22.24"/>
    <n v="12"/>
    <n v="124"/>
    <n v="15.35"/>
    <x v="0"/>
    <n v="3"/>
    <n v="266.88"/>
    <n v="278.88"/>
    <x v="0"/>
  </r>
  <r>
    <s v="ORD-11267"/>
    <x v="586"/>
    <d v="2024-12-27T00:00:00"/>
    <x v="7"/>
    <x v="1"/>
    <x v="1"/>
    <x v="0"/>
    <x v="1"/>
    <n v="3"/>
    <n v="30.85"/>
    <n v="12"/>
    <n v="25"/>
    <n v="31.02"/>
    <x v="0"/>
    <n v="5"/>
    <n v="92.550000000000011"/>
    <n v="104.55000000000001"/>
    <x v="1"/>
  </r>
  <r>
    <s v="ORD-11268"/>
    <x v="587"/>
    <d v="2025-01-02T00:00:00"/>
    <x v="1"/>
    <x v="0"/>
    <x v="0"/>
    <x v="2"/>
    <x v="0"/>
    <n v="12"/>
    <n v="30.65"/>
    <n v="8"/>
    <n v="0"/>
    <n v="25.43"/>
    <x v="2"/>
    <n v="10"/>
    <n v="367.79999999999995"/>
    <n v="375.79999999999995"/>
    <x v="2"/>
  </r>
  <r>
    <s v="ORD-11269"/>
    <x v="588"/>
    <d v="2024-12-29T00:00:00"/>
    <x v="0"/>
    <x v="0"/>
    <x v="0"/>
    <x v="0"/>
    <x v="1"/>
    <n v="14"/>
    <n v="24.93"/>
    <n v="8"/>
    <n v="276"/>
    <n v="23.92"/>
    <x v="0"/>
    <n v="5"/>
    <n v="349.02"/>
    <n v="357.02"/>
    <x v="0"/>
  </r>
  <r>
    <s v="ORD-11270"/>
    <x v="589"/>
    <d v="2024-12-26T00:00:00"/>
    <x v="10"/>
    <x v="0"/>
    <x v="0"/>
    <x v="2"/>
    <x v="3"/>
    <n v="5"/>
    <n v="35.11"/>
    <n v="12"/>
    <n v="6"/>
    <n v="8.0399999999999991"/>
    <x v="0"/>
    <n v="1"/>
    <n v="175.55"/>
    <n v="187.55"/>
    <x v="2"/>
  </r>
  <r>
    <s v="ORD-11271"/>
    <x v="589"/>
    <d v="2024-12-30T00:00:00"/>
    <x v="12"/>
    <x v="3"/>
    <x v="3"/>
    <x v="1"/>
    <x v="0"/>
    <n v="2"/>
    <n v="619.39"/>
    <n v="25"/>
    <n v="177"/>
    <n v="421.07"/>
    <x v="0"/>
    <n v="5"/>
    <n v="1238.78"/>
    <n v="1263.78"/>
    <x v="0"/>
  </r>
  <r>
    <s v="ORD-11272"/>
    <x v="590"/>
    <d v="2024-12-29T00:00:00"/>
    <x v="6"/>
    <x v="3"/>
    <x v="3"/>
    <x v="2"/>
    <x v="3"/>
    <n v="1"/>
    <n v="450.37"/>
    <n v="37.5"/>
    <n v="36"/>
    <n v="138.88"/>
    <x v="0"/>
    <n v="3"/>
    <n v="450.37"/>
    <n v="487.87"/>
    <x v="1"/>
  </r>
  <r>
    <s v="ORD-11273"/>
    <x v="590"/>
    <d v="2025-01-07T00:00:00"/>
    <x v="3"/>
    <x v="1"/>
    <x v="1"/>
    <x v="2"/>
    <x v="1"/>
    <n v="5"/>
    <n v="147"/>
    <n v="12"/>
    <n v="282"/>
    <n v="288"/>
    <x v="1"/>
    <n v="12"/>
    <n v="735"/>
    <n v="747"/>
    <x v="0"/>
  </r>
  <r>
    <s v="ORD-11274"/>
    <x v="590"/>
    <d v="2024-12-28T00:00:00"/>
    <x v="10"/>
    <x v="0"/>
    <x v="0"/>
    <x v="1"/>
    <x v="0"/>
    <n v="5"/>
    <n v="19.77"/>
    <n v="8"/>
    <n v="120"/>
    <n v="3.91"/>
    <x v="0"/>
    <n v="2"/>
    <n v="98.85"/>
    <n v="106.85"/>
    <x v="0"/>
  </r>
  <r>
    <s v="ORD-11275"/>
    <x v="590"/>
    <d v="2024-12-30T00:00:00"/>
    <x v="1"/>
    <x v="0"/>
    <x v="0"/>
    <x v="0"/>
    <x v="2"/>
    <n v="10"/>
    <n v="14.35"/>
    <n v="8"/>
    <n v="362"/>
    <n v="7.48"/>
    <x v="0"/>
    <n v="4"/>
    <n v="143.5"/>
    <n v="151.5"/>
    <x v="0"/>
  </r>
  <r>
    <s v="ORD-11276"/>
    <x v="590"/>
    <d v="2025-01-10T00:00:00"/>
    <x v="12"/>
    <x v="3"/>
    <x v="3"/>
    <x v="2"/>
    <x v="3"/>
    <n v="1"/>
    <n v="1182.42"/>
    <n v="37.5"/>
    <n v="393"/>
    <n v="395.1"/>
    <x v="1"/>
    <n v="15"/>
    <n v="1182.42"/>
    <n v="1219.92"/>
    <x v="0"/>
  </r>
  <r>
    <s v="ORD-11277"/>
    <x v="591"/>
    <d v="2025-01-06T00:00:00"/>
    <x v="15"/>
    <x v="4"/>
    <x v="4"/>
    <x v="2"/>
    <x v="3"/>
    <n v="2"/>
    <n v="98.06"/>
    <n v="18"/>
    <n v="128"/>
    <n v="79.25"/>
    <x v="2"/>
    <n v="10"/>
    <n v="196.12"/>
    <n v="214.12"/>
    <x v="0"/>
  </r>
  <r>
    <s v="ORD-11278"/>
    <x v="591"/>
    <d v="2024-12-30T00:00:00"/>
    <x v="10"/>
    <x v="0"/>
    <x v="0"/>
    <x v="2"/>
    <x v="2"/>
    <n v="14"/>
    <n v="17.690000000000001"/>
    <n v="8"/>
    <n v="215"/>
    <n v="15.82"/>
    <x v="0"/>
    <n v="3"/>
    <n v="247.66000000000003"/>
    <n v="255.66000000000003"/>
    <x v="0"/>
  </r>
  <r>
    <s v="ORD-11279"/>
    <x v="591"/>
    <d v="2024-12-31T00:00:00"/>
    <x v="4"/>
    <x v="2"/>
    <x v="2"/>
    <x v="0"/>
    <x v="2"/>
    <n v="2"/>
    <n v="133.56"/>
    <n v="75"/>
    <n v="270"/>
    <n v="15.92"/>
    <x v="0"/>
    <n v="4"/>
    <n v="267.12"/>
    <n v="342.12"/>
    <x v="0"/>
  </r>
  <r>
    <s v="ORD-11280"/>
    <x v="591"/>
    <d v="2025-01-10T00:00:00"/>
    <x v="5"/>
    <x v="3"/>
    <x v="3"/>
    <x v="2"/>
    <x v="3"/>
    <n v="3"/>
    <n v="1000.32"/>
    <n v="37.5"/>
    <n v="356"/>
    <n v="1031.5899999999999"/>
    <x v="1"/>
    <n v="14"/>
    <n v="3000.96"/>
    <n v="3038.46"/>
    <x v="0"/>
  </r>
  <r>
    <s v="ORD-11281"/>
    <x v="591"/>
    <d v="2024-12-30T00:00:00"/>
    <x v="14"/>
    <x v="4"/>
    <x v="4"/>
    <x v="1"/>
    <x v="1"/>
    <n v="5"/>
    <n v="114.89"/>
    <n v="12"/>
    <n v="266"/>
    <n v="252.5"/>
    <x v="0"/>
    <n v="3"/>
    <n v="574.45000000000005"/>
    <n v="586.45000000000005"/>
    <x v="0"/>
  </r>
  <r>
    <s v="ORD-11282"/>
    <x v="592"/>
    <d v="2024-12-31T00:00:00"/>
    <x v="0"/>
    <x v="0"/>
    <x v="0"/>
    <x v="0"/>
    <x v="2"/>
    <n v="9"/>
    <n v="13.01"/>
    <n v="8"/>
    <n v="162"/>
    <n v="5.37"/>
    <x v="0"/>
    <n v="2"/>
    <n v="117.09"/>
    <n v="125.09"/>
    <x v="0"/>
  </r>
  <r>
    <s v="ORD-11283"/>
    <x v="592"/>
    <d v="2025-01-06T00:00:00"/>
    <x v="5"/>
    <x v="3"/>
    <x v="3"/>
    <x v="2"/>
    <x v="1"/>
    <n v="1"/>
    <n v="752.98"/>
    <n v="25"/>
    <n v="333"/>
    <n v="251.04"/>
    <x v="2"/>
    <n v="8"/>
    <n v="752.98"/>
    <n v="777.98"/>
    <x v="0"/>
  </r>
  <r>
    <s v="ORD-11284"/>
    <x v="592"/>
    <d v="2025-01-01T00:00:00"/>
    <x v="14"/>
    <x v="4"/>
    <x v="4"/>
    <x v="1"/>
    <x v="1"/>
    <n v="4"/>
    <n v="87.29"/>
    <n v="12"/>
    <n v="239"/>
    <n v="151.13"/>
    <x v="0"/>
    <n v="3"/>
    <n v="349.16"/>
    <n v="361.16"/>
    <x v="0"/>
  </r>
  <r>
    <s v="ORD-11285"/>
    <x v="593"/>
    <d v="2025-01-01T00:00:00"/>
    <x v="6"/>
    <x v="3"/>
    <x v="3"/>
    <x v="1"/>
    <x v="0"/>
    <n v="1"/>
    <n v="533.4"/>
    <n v="25"/>
    <n v="362"/>
    <n v="174.19"/>
    <x v="0"/>
    <n v="2"/>
    <n v="533.4"/>
    <n v="558.4"/>
    <x v="0"/>
  </r>
  <r>
    <s v="ORD-11286"/>
    <x v="593"/>
    <d v="2024-12-31T00:00:00"/>
    <x v="0"/>
    <x v="0"/>
    <x v="0"/>
    <x v="0"/>
    <x v="2"/>
    <n v="13"/>
    <n v="32.979999999999997"/>
    <n v="8"/>
    <n v="199"/>
    <n v="30.3"/>
    <x v="0"/>
    <n v="1"/>
    <n v="428.73999999999995"/>
    <n v="436.73999999999995"/>
    <x v="0"/>
  </r>
  <r>
    <s v="ORD-11287"/>
    <x v="594"/>
    <d v="2025-01-12T00:00:00"/>
    <x v="2"/>
    <x v="1"/>
    <x v="1"/>
    <x v="2"/>
    <x v="3"/>
    <n v="3"/>
    <n v="130.44"/>
    <n v="18"/>
    <n v="166"/>
    <n v="147.53"/>
    <x v="1"/>
    <n v="12"/>
    <n v="391.32"/>
    <n v="409.32"/>
    <x v="0"/>
  </r>
  <r>
    <s v="ORD-11288"/>
    <x v="594"/>
    <d v="2025-01-01T00:00:00"/>
    <x v="10"/>
    <x v="0"/>
    <x v="0"/>
    <x v="2"/>
    <x v="2"/>
    <n v="7"/>
    <n v="34.53"/>
    <n v="8"/>
    <n v="3"/>
    <n v="-36.26"/>
    <x v="0"/>
    <n v="1"/>
    <n v="241.71"/>
    <n v="249.71"/>
    <x v="2"/>
  </r>
  <r>
    <s v="ORD-11289"/>
    <x v="595"/>
    <d v="2025-01-02T00:00:00"/>
    <x v="10"/>
    <x v="0"/>
    <x v="0"/>
    <x v="2"/>
    <x v="0"/>
    <n v="10"/>
    <n v="36.32"/>
    <n v="8"/>
    <n v="239"/>
    <n v="25.05"/>
    <x v="0"/>
    <n v="1"/>
    <n v="363.2"/>
    <n v="371.2"/>
    <x v="0"/>
  </r>
  <r>
    <s v="ORD-11290"/>
    <x v="595"/>
    <d v="2025-01-04T00:00:00"/>
    <x v="11"/>
    <x v="3"/>
    <x v="3"/>
    <x v="1"/>
    <x v="1"/>
    <n v="1"/>
    <n v="510.02"/>
    <n v="25"/>
    <n v="96"/>
    <n v="166.01"/>
    <x v="0"/>
    <n v="3"/>
    <n v="510.02"/>
    <n v="535.02"/>
    <x v="0"/>
  </r>
  <r>
    <s v="ORD-11291"/>
    <x v="595"/>
    <d v="2025-01-02T00:00:00"/>
    <x v="0"/>
    <x v="0"/>
    <x v="0"/>
    <x v="2"/>
    <x v="3"/>
    <n v="14"/>
    <n v="26.83"/>
    <n v="12"/>
    <n v="327"/>
    <n v="24.05"/>
    <x v="0"/>
    <n v="1"/>
    <n v="375.62"/>
    <n v="387.62"/>
    <x v="0"/>
  </r>
  <r>
    <s v="ORD-11292"/>
    <x v="596"/>
    <d v="2025-01-03T00:00:00"/>
    <x v="15"/>
    <x v="4"/>
    <x v="4"/>
    <x v="2"/>
    <x v="3"/>
    <n v="3"/>
    <n v="37.729999999999997"/>
    <n v="18"/>
    <n v="130"/>
    <n v="41.93"/>
    <x v="0"/>
    <n v="1"/>
    <n v="113.19"/>
    <n v="131.19"/>
    <x v="0"/>
  </r>
  <r>
    <s v="ORD-11293"/>
    <x v="597"/>
    <d v="2025-01-06T00:00:00"/>
    <x v="14"/>
    <x v="4"/>
    <x v="4"/>
    <x v="0"/>
    <x v="2"/>
    <n v="1"/>
    <n v="113.61"/>
    <n v="12"/>
    <n v="279"/>
    <n v="45.12"/>
    <x v="0"/>
    <n v="3"/>
    <n v="113.61"/>
    <n v="125.61"/>
    <x v="0"/>
  </r>
  <r>
    <s v="ORD-11294"/>
    <x v="598"/>
    <d v="2025-01-08T00:00:00"/>
    <x v="4"/>
    <x v="2"/>
    <x v="2"/>
    <x v="1"/>
    <x v="2"/>
    <n v="2"/>
    <n v="137.30000000000001"/>
    <n v="75"/>
    <n v="290"/>
    <n v="17.420000000000002"/>
    <x v="0"/>
    <n v="4"/>
    <n v="274.60000000000002"/>
    <n v="349.6"/>
    <x v="0"/>
  </r>
  <r>
    <s v="ORD-11295"/>
    <x v="598"/>
    <d v="2025-01-07T00:00:00"/>
    <x v="13"/>
    <x v="4"/>
    <x v="4"/>
    <x v="2"/>
    <x v="3"/>
    <n v="3"/>
    <n v="138.13"/>
    <n v="18"/>
    <n v="33"/>
    <n v="177.48"/>
    <x v="0"/>
    <n v="3"/>
    <n v="414.39"/>
    <n v="432.39"/>
    <x v="1"/>
  </r>
  <r>
    <s v="ORD-11296"/>
    <x v="599"/>
    <d v="2025-01-08T00:00:00"/>
    <x v="14"/>
    <x v="4"/>
    <x v="4"/>
    <x v="2"/>
    <x v="3"/>
    <n v="1"/>
    <n v="82.69"/>
    <n v="18"/>
    <n v="261"/>
    <n v="28.21"/>
    <x v="0"/>
    <n v="3"/>
    <n v="82.69"/>
    <n v="100.69"/>
    <x v="0"/>
  </r>
  <r>
    <s v="ORD-11297"/>
    <x v="599"/>
    <d v="2025-01-10T00:00:00"/>
    <x v="4"/>
    <x v="2"/>
    <x v="2"/>
    <x v="2"/>
    <x v="3"/>
    <n v="2"/>
    <n v="486.25"/>
    <n v="112.5"/>
    <n v="162"/>
    <n v="138.25"/>
    <x v="0"/>
    <n v="5"/>
    <n v="972.5"/>
    <n v="1085"/>
    <x v="0"/>
  </r>
  <r>
    <s v="ORD-11298"/>
    <x v="599"/>
    <d v="2025-01-07T00:00:00"/>
    <x v="3"/>
    <x v="1"/>
    <x v="1"/>
    <x v="2"/>
    <x v="3"/>
    <n v="4"/>
    <n v="130.12"/>
    <n v="18"/>
    <n v="50"/>
    <n v="199.18"/>
    <x v="0"/>
    <n v="2"/>
    <n v="520.48"/>
    <n v="538.48"/>
    <x v="1"/>
  </r>
  <r>
    <s v="ORD-11299"/>
    <x v="600"/>
    <d v="2025-01-08T00:00:00"/>
    <x v="3"/>
    <x v="1"/>
    <x v="1"/>
    <x v="1"/>
    <x v="1"/>
    <n v="2"/>
    <n v="76.23"/>
    <n v="12"/>
    <n v="362"/>
    <n v="54.99"/>
    <x v="0"/>
    <n v="1"/>
    <n v="152.46"/>
    <n v="164.46"/>
    <x v="0"/>
  </r>
  <r>
    <s v="ORD-11300"/>
    <x v="600"/>
    <d v="2025-01-09T00:00:00"/>
    <x v="10"/>
    <x v="0"/>
    <x v="0"/>
    <x v="2"/>
    <x v="3"/>
    <n v="11"/>
    <n v="13.95"/>
    <n v="12"/>
    <n v="327"/>
    <n v="6.28"/>
    <x v="0"/>
    <n v="2"/>
    <n v="153.44999999999999"/>
    <n v="165.45"/>
    <x v="0"/>
  </r>
  <r>
    <s v="ORD-11301"/>
    <x v="600"/>
    <d v="2025-01-09T00:00:00"/>
    <x v="1"/>
    <x v="0"/>
    <x v="0"/>
    <x v="0"/>
    <x v="0"/>
    <n v="9"/>
    <n v="43.58"/>
    <n v="8"/>
    <n v="8"/>
    <n v="27.38"/>
    <x v="0"/>
    <n v="2"/>
    <n v="392.21999999999997"/>
    <n v="400.21999999999997"/>
    <x v="2"/>
  </r>
  <r>
    <s v="ORD-11302"/>
    <x v="600"/>
    <d v="2025-01-10T00:00:00"/>
    <x v="5"/>
    <x v="3"/>
    <x v="3"/>
    <x v="0"/>
    <x v="1"/>
    <n v="3"/>
    <n v="1123.0899999999999"/>
    <n v="25"/>
    <n v="45"/>
    <n v="1166.74"/>
    <x v="0"/>
    <n v="3"/>
    <n v="3369.2699999999995"/>
    <n v="3394.2699999999995"/>
    <x v="1"/>
  </r>
  <r>
    <s v="ORD-11303"/>
    <x v="601"/>
    <d v="2025-01-16T00:00:00"/>
    <x v="2"/>
    <x v="1"/>
    <x v="1"/>
    <x v="2"/>
    <x v="3"/>
    <n v="2"/>
    <n v="55.84"/>
    <n v="18"/>
    <n v="311"/>
    <n v="35.68"/>
    <x v="2"/>
    <n v="8"/>
    <n v="111.68"/>
    <n v="129.68"/>
    <x v="0"/>
  </r>
  <r>
    <s v="ORD-11304"/>
    <x v="601"/>
    <d v="2025-01-16T00:00:00"/>
    <x v="0"/>
    <x v="0"/>
    <x v="0"/>
    <x v="2"/>
    <x v="3"/>
    <n v="12"/>
    <n v="20.75"/>
    <n v="12"/>
    <n v="1"/>
    <n v="13.92"/>
    <x v="2"/>
    <n v="8"/>
    <n v="249"/>
    <n v="261"/>
    <x v="2"/>
  </r>
  <r>
    <s v="ORD-11305"/>
    <x v="601"/>
    <d v="2025-01-13T00:00:00"/>
    <x v="8"/>
    <x v="2"/>
    <x v="2"/>
    <x v="1"/>
    <x v="1"/>
    <n v="2"/>
    <n v="167.86"/>
    <n v="75"/>
    <n v="353"/>
    <n v="29.65"/>
    <x v="0"/>
    <n v="5"/>
    <n v="335.72"/>
    <n v="410.72"/>
    <x v="0"/>
  </r>
  <r>
    <s v="ORD-11306"/>
    <x v="602"/>
    <d v="2025-01-13T00:00:00"/>
    <x v="5"/>
    <x v="3"/>
    <x v="3"/>
    <x v="0"/>
    <x v="3"/>
    <n v="3"/>
    <n v="796.45"/>
    <n v="37.5"/>
    <n v="353"/>
    <n v="817.52"/>
    <x v="0"/>
    <n v="4"/>
    <n v="2389.3500000000004"/>
    <n v="2426.8500000000004"/>
    <x v="0"/>
  </r>
  <r>
    <s v="ORD-11307"/>
    <x v="603"/>
    <d v="2025-01-15T00:00:00"/>
    <x v="11"/>
    <x v="3"/>
    <x v="3"/>
    <x v="0"/>
    <x v="3"/>
    <n v="1"/>
    <n v="955.19"/>
    <n v="37.5"/>
    <n v="43"/>
    <n v="315.57"/>
    <x v="0"/>
    <n v="5"/>
    <n v="955.19"/>
    <n v="992.69"/>
    <x v="1"/>
  </r>
  <r>
    <s v="ORD-11308"/>
    <x v="604"/>
    <d v="2025-01-20T00:00:00"/>
    <x v="3"/>
    <x v="1"/>
    <x v="1"/>
    <x v="2"/>
    <x v="3"/>
    <n v="1"/>
    <n v="119.61"/>
    <n v="18"/>
    <n v="189"/>
    <n v="38.840000000000003"/>
    <x v="2"/>
    <n v="9"/>
    <n v="119.61"/>
    <n v="137.61000000000001"/>
    <x v="0"/>
  </r>
  <r>
    <s v="ORD-11309"/>
    <x v="605"/>
    <d v="2025-01-17T00:00:00"/>
    <x v="0"/>
    <x v="0"/>
    <x v="0"/>
    <x v="0"/>
    <x v="2"/>
    <n v="14"/>
    <n v="11.82"/>
    <n v="8"/>
    <n v="157"/>
    <n v="9.24"/>
    <x v="0"/>
    <n v="5"/>
    <n v="165.48000000000002"/>
    <n v="173.48000000000002"/>
    <x v="0"/>
  </r>
  <r>
    <s v="ORD-11310"/>
    <x v="606"/>
    <d v="2025-01-14T00:00:00"/>
    <x v="7"/>
    <x v="1"/>
    <x v="1"/>
    <x v="2"/>
    <x v="3"/>
    <n v="2"/>
    <n v="46.78"/>
    <n v="18"/>
    <n v="354"/>
    <n v="28.42"/>
    <x v="0"/>
    <n v="1"/>
    <n v="93.56"/>
    <n v="111.56"/>
    <x v="0"/>
  </r>
  <r>
    <s v="ORD-11311"/>
    <x v="606"/>
    <d v="2025-01-15T00:00:00"/>
    <x v="4"/>
    <x v="2"/>
    <x v="2"/>
    <x v="0"/>
    <x v="3"/>
    <n v="1"/>
    <n v="469.95"/>
    <n v="112.5"/>
    <n v="237"/>
    <n v="37.74"/>
    <x v="0"/>
    <n v="2"/>
    <n v="469.95"/>
    <n v="582.45000000000005"/>
    <x v="0"/>
  </r>
  <r>
    <s v="ORD-11312"/>
    <x v="606"/>
    <d v="2025-01-26T00:00:00"/>
    <x v="3"/>
    <x v="1"/>
    <x v="1"/>
    <x v="2"/>
    <x v="1"/>
    <n v="3"/>
    <n v="65.94"/>
    <n v="12"/>
    <n v="128"/>
    <n v="73.12"/>
    <x v="1"/>
    <n v="13"/>
    <n v="197.82"/>
    <n v="209.82"/>
    <x v="0"/>
  </r>
  <r>
    <s v="ORD-11313"/>
    <x v="606"/>
    <d v="2025-01-14T00:00:00"/>
    <x v="15"/>
    <x v="4"/>
    <x v="4"/>
    <x v="2"/>
    <x v="1"/>
    <n v="1"/>
    <n v="142.76"/>
    <n v="12"/>
    <n v="323"/>
    <n v="58.24"/>
    <x v="0"/>
    <n v="1"/>
    <n v="142.76"/>
    <n v="154.76"/>
    <x v="0"/>
  </r>
  <r>
    <s v="ORD-11314"/>
    <x v="607"/>
    <d v="2025-01-19T00:00:00"/>
    <x v="1"/>
    <x v="0"/>
    <x v="0"/>
    <x v="2"/>
    <x v="3"/>
    <n v="6"/>
    <n v="19.66"/>
    <n v="12"/>
    <n v="71"/>
    <n v="3.44"/>
    <x v="0"/>
    <n v="4"/>
    <n v="117.96000000000001"/>
    <n v="129.96"/>
    <x v="0"/>
  </r>
  <r>
    <s v="ORD-11315"/>
    <x v="607"/>
    <d v="2025-01-17T00:00:00"/>
    <x v="8"/>
    <x v="2"/>
    <x v="2"/>
    <x v="1"/>
    <x v="1"/>
    <n v="2"/>
    <n v="317.7"/>
    <n v="75"/>
    <n v="205"/>
    <n v="89.58"/>
    <x v="0"/>
    <n v="2"/>
    <n v="635.4"/>
    <n v="710.4"/>
    <x v="0"/>
  </r>
  <r>
    <s v="ORD-11316"/>
    <x v="608"/>
    <d v="2025-01-22T00:00:00"/>
    <x v="7"/>
    <x v="1"/>
    <x v="1"/>
    <x v="2"/>
    <x v="1"/>
    <n v="3"/>
    <n v="76.45"/>
    <n v="12"/>
    <n v="76"/>
    <n v="85.74"/>
    <x v="0"/>
    <n v="5"/>
    <n v="229.35000000000002"/>
    <n v="241.35000000000002"/>
    <x v="0"/>
  </r>
  <r>
    <s v="ORD-11317"/>
    <x v="608"/>
    <d v="2025-01-22T00:00:00"/>
    <x v="0"/>
    <x v="0"/>
    <x v="0"/>
    <x v="0"/>
    <x v="0"/>
    <n v="10"/>
    <n v="28.82"/>
    <n v="8"/>
    <n v="173"/>
    <n v="19.059999999999999"/>
    <x v="0"/>
    <n v="5"/>
    <n v="288.2"/>
    <n v="296.2"/>
    <x v="0"/>
  </r>
  <r>
    <s v="ORD-11318"/>
    <x v="608"/>
    <d v="2025-01-21T00:00:00"/>
    <x v="2"/>
    <x v="1"/>
    <x v="1"/>
    <x v="2"/>
    <x v="2"/>
    <n v="3"/>
    <n v="141.57"/>
    <n v="12"/>
    <n v="313"/>
    <n v="163.88"/>
    <x v="0"/>
    <n v="4"/>
    <n v="424.71"/>
    <n v="436.71"/>
    <x v="0"/>
  </r>
  <r>
    <s v="ORD-11319"/>
    <x v="608"/>
    <d v="2025-01-21T00:00:00"/>
    <x v="12"/>
    <x v="3"/>
    <x v="3"/>
    <x v="0"/>
    <x v="3"/>
    <n v="1"/>
    <n v="545.20000000000005"/>
    <n v="37.5"/>
    <n v="132"/>
    <n v="172.07"/>
    <x v="0"/>
    <n v="4"/>
    <n v="545.20000000000005"/>
    <n v="582.70000000000005"/>
    <x v="0"/>
  </r>
  <r>
    <s v="ORD-11320"/>
    <x v="609"/>
    <d v="2025-02-04T00:00:00"/>
    <x v="7"/>
    <x v="1"/>
    <x v="1"/>
    <x v="2"/>
    <x v="2"/>
    <n v="4"/>
    <n v="139.13999999999999"/>
    <n v="12"/>
    <n v="382"/>
    <n v="216.62"/>
    <x v="1"/>
    <n v="17"/>
    <n v="556.55999999999995"/>
    <n v="568.55999999999995"/>
    <x v="0"/>
  </r>
  <r>
    <s v="ORD-11321"/>
    <x v="609"/>
    <d v="2025-01-20T00:00:00"/>
    <x v="5"/>
    <x v="3"/>
    <x v="3"/>
    <x v="0"/>
    <x v="3"/>
    <n v="3"/>
    <n v="686.35"/>
    <n v="37.5"/>
    <n v="25"/>
    <n v="701.92"/>
    <x v="0"/>
    <n v="2"/>
    <n v="2059.0500000000002"/>
    <n v="2096.5500000000002"/>
    <x v="1"/>
  </r>
  <r>
    <s v="ORD-11322"/>
    <x v="610"/>
    <d v="2025-01-23T00:00:00"/>
    <x v="1"/>
    <x v="0"/>
    <x v="0"/>
    <x v="0"/>
    <x v="1"/>
    <n v="14"/>
    <n v="41.36"/>
    <n v="8"/>
    <n v="244"/>
    <n v="-86.85"/>
    <x v="0"/>
    <n v="4"/>
    <n v="579.04"/>
    <n v="587.04"/>
    <x v="0"/>
  </r>
  <r>
    <s v="ORD-11323"/>
    <x v="610"/>
    <d v="2025-01-22T00:00:00"/>
    <x v="3"/>
    <x v="1"/>
    <x v="1"/>
    <x v="2"/>
    <x v="3"/>
    <n v="2"/>
    <n v="98.41"/>
    <n v="18"/>
    <n v="28"/>
    <n v="69.73"/>
    <x v="0"/>
    <n v="3"/>
    <n v="196.82"/>
    <n v="214.82"/>
    <x v="1"/>
  </r>
  <r>
    <s v="ORD-11324"/>
    <x v="610"/>
    <d v="2025-01-30T00:00:00"/>
    <x v="15"/>
    <x v="4"/>
    <x v="4"/>
    <x v="2"/>
    <x v="3"/>
    <n v="1"/>
    <n v="115.44"/>
    <n v="18"/>
    <n v="321"/>
    <n v="42.95"/>
    <x v="1"/>
    <n v="11"/>
    <n v="115.44"/>
    <n v="133.44"/>
    <x v="0"/>
  </r>
  <r>
    <s v="ORD-11325"/>
    <x v="611"/>
    <d v="2025-02-01T00:00:00"/>
    <x v="0"/>
    <x v="0"/>
    <x v="0"/>
    <x v="2"/>
    <x v="3"/>
    <n v="11"/>
    <n v="20.91"/>
    <n v="12"/>
    <n v="371"/>
    <n v="12.4"/>
    <x v="1"/>
    <n v="12"/>
    <n v="230.01"/>
    <n v="242.01"/>
    <x v="0"/>
  </r>
  <r>
    <s v="ORD-11326"/>
    <x v="611"/>
    <d v="2025-01-23T00:00:00"/>
    <x v="15"/>
    <x v="4"/>
    <x v="4"/>
    <x v="1"/>
    <x v="2"/>
    <n v="4"/>
    <n v="143.21"/>
    <n v="12"/>
    <n v="129"/>
    <n v="-85.92"/>
    <x v="0"/>
    <n v="3"/>
    <n v="572.84"/>
    <n v="584.84"/>
    <x v="0"/>
  </r>
  <r>
    <s v="ORD-11327"/>
    <x v="611"/>
    <d v="2025-01-24T00:00:00"/>
    <x v="5"/>
    <x v="3"/>
    <x v="3"/>
    <x v="2"/>
    <x v="3"/>
    <n v="3"/>
    <n v="1158.7"/>
    <n v="37.5"/>
    <n v="285"/>
    <n v="1197.8800000000001"/>
    <x v="0"/>
    <n v="4"/>
    <n v="3476.1000000000004"/>
    <n v="3513.6000000000004"/>
    <x v="0"/>
  </r>
  <r>
    <s v="ORD-11328"/>
    <x v="612"/>
    <d v="2025-01-23T00:00:00"/>
    <x v="7"/>
    <x v="1"/>
    <x v="1"/>
    <x v="0"/>
    <x v="1"/>
    <n v="2"/>
    <n v="98.17"/>
    <n v="12"/>
    <n v="93"/>
    <n v="72.540000000000006"/>
    <x v="0"/>
    <n v="2"/>
    <n v="196.34"/>
    <n v="208.34"/>
    <x v="0"/>
  </r>
  <r>
    <s v="ORD-11329"/>
    <x v="612"/>
    <d v="2025-01-26T00:00:00"/>
    <x v="1"/>
    <x v="0"/>
    <x v="0"/>
    <x v="0"/>
    <x v="0"/>
    <n v="13"/>
    <n v="40.86"/>
    <n v="8"/>
    <n v="97"/>
    <n v="38.5"/>
    <x v="0"/>
    <n v="5"/>
    <n v="531.17999999999995"/>
    <n v="539.17999999999995"/>
    <x v="0"/>
  </r>
  <r>
    <s v="ORD-11330"/>
    <x v="612"/>
    <d v="2025-01-24T00:00:00"/>
    <x v="13"/>
    <x v="4"/>
    <x v="4"/>
    <x v="1"/>
    <x v="2"/>
    <n v="2"/>
    <n v="117.17"/>
    <n v="12"/>
    <n v="251"/>
    <n v="99.46"/>
    <x v="0"/>
    <n v="3"/>
    <n v="234.34"/>
    <n v="246.34"/>
    <x v="0"/>
  </r>
  <r>
    <s v="ORD-11331"/>
    <x v="613"/>
    <d v="2025-02-03T00:00:00"/>
    <x v="2"/>
    <x v="1"/>
    <x v="1"/>
    <x v="2"/>
    <x v="3"/>
    <n v="2"/>
    <n v="138.51"/>
    <n v="18"/>
    <n v="332"/>
    <n v="101.8"/>
    <x v="1"/>
    <n v="12"/>
    <n v="277.02"/>
    <n v="295.02"/>
    <x v="0"/>
  </r>
  <r>
    <s v="ORD-11332"/>
    <x v="614"/>
    <d v="2025-01-28T00:00:00"/>
    <x v="15"/>
    <x v="4"/>
    <x v="4"/>
    <x v="2"/>
    <x v="3"/>
    <n v="3"/>
    <n v="140.54"/>
    <n v="18"/>
    <n v="232"/>
    <n v="-63.24"/>
    <x v="0"/>
    <n v="5"/>
    <n v="421.62"/>
    <n v="439.62"/>
    <x v="0"/>
  </r>
  <r>
    <s v="ORD-11333"/>
    <x v="614"/>
    <d v="2025-02-09T00:00:00"/>
    <x v="1"/>
    <x v="0"/>
    <x v="0"/>
    <x v="2"/>
    <x v="3"/>
    <n v="6"/>
    <n v="14.13"/>
    <n v="12"/>
    <n v="165"/>
    <n v="0.78"/>
    <x v="1"/>
    <n v="17"/>
    <n v="84.78"/>
    <n v="96.78"/>
    <x v="0"/>
  </r>
  <r>
    <s v="ORD-11334"/>
    <x v="615"/>
    <d v="2025-02-07T00:00:00"/>
    <x v="7"/>
    <x v="1"/>
    <x v="1"/>
    <x v="2"/>
    <x v="0"/>
    <n v="3"/>
    <n v="94.29"/>
    <n v="12"/>
    <n v="325"/>
    <n v="107.14"/>
    <x v="1"/>
    <n v="14"/>
    <n v="282.87"/>
    <n v="294.87"/>
    <x v="0"/>
  </r>
  <r>
    <s v="ORD-11335"/>
    <x v="615"/>
    <d v="2025-01-29T00:00:00"/>
    <x v="12"/>
    <x v="3"/>
    <x v="3"/>
    <x v="0"/>
    <x v="3"/>
    <n v="1"/>
    <n v="1056.3699999999999"/>
    <n v="37.5"/>
    <n v="25"/>
    <n v="350.98"/>
    <x v="0"/>
    <n v="5"/>
    <n v="1056.3699999999999"/>
    <n v="1093.8699999999999"/>
    <x v="1"/>
  </r>
  <r>
    <s v="ORD-11336"/>
    <x v="615"/>
    <d v="2025-01-27T00:00:00"/>
    <x v="12"/>
    <x v="3"/>
    <x v="3"/>
    <x v="0"/>
    <x v="0"/>
    <n v="2"/>
    <n v="879.41"/>
    <n v="25"/>
    <n v="288"/>
    <n v="603.09"/>
    <x v="0"/>
    <n v="3"/>
    <n v="1758.82"/>
    <n v="1783.82"/>
    <x v="0"/>
  </r>
  <r>
    <s v="ORD-11337"/>
    <x v="616"/>
    <d v="2025-02-11T00:00:00"/>
    <x v="8"/>
    <x v="2"/>
    <x v="2"/>
    <x v="2"/>
    <x v="3"/>
    <n v="1"/>
    <n v="460.48"/>
    <n v="112.5"/>
    <n v="328"/>
    <n v="35.85"/>
    <x v="1"/>
    <n v="15"/>
    <n v="460.48"/>
    <n v="572.98"/>
    <x v="0"/>
  </r>
  <r>
    <s v="ORD-11338"/>
    <x v="617"/>
    <d v="2025-02-11T00:00:00"/>
    <x v="10"/>
    <x v="0"/>
    <x v="0"/>
    <x v="2"/>
    <x v="3"/>
    <n v="14"/>
    <n v="21.89"/>
    <n v="12"/>
    <n v="21"/>
    <n v="18.52"/>
    <x v="1"/>
    <n v="14"/>
    <n v="306.46000000000004"/>
    <n v="318.46000000000004"/>
    <x v="1"/>
  </r>
  <r>
    <s v="ORD-11339"/>
    <x v="617"/>
    <d v="2025-01-29T00:00:00"/>
    <x v="6"/>
    <x v="3"/>
    <x v="3"/>
    <x v="0"/>
    <x v="2"/>
    <n v="2"/>
    <n v="1052.73"/>
    <n v="25"/>
    <n v="293"/>
    <n v="-315.82"/>
    <x v="0"/>
    <n v="1"/>
    <n v="2105.46"/>
    <n v="2130.46"/>
    <x v="0"/>
  </r>
  <r>
    <s v="ORD-11340"/>
    <x v="617"/>
    <d v="2025-01-30T00:00:00"/>
    <x v="7"/>
    <x v="1"/>
    <x v="1"/>
    <x v="0"/>
    <x v="1"/>
    <n v="5"/>
    <n v="146.09"/>
    <n v="12"/>
    <n v="324"/>
    <n v="286.18"/>
    <x v="0"/>
    <n v="2"/>
    <n v="730.45"/>
    <n v="742.45"/>
    <x v="0"/>
  </r>
  <r>
    <s v="ORD-11341"/>
    <x v="617"/>
    <d v="2025-02-02T00:00:00"/>
    <x v="6"/>
    <x v="3"/>
    <x v="3"/>
    <x v="2"/>
    <x v="1"/>
    <n v="3"/>
    <n v="645.97"/>
    <n v="25"/>
    <n v="339"/>
    <n v="665.76"/>
    <x v="0"/>
    <n v="5"/>
    <n v="1937.91"/>
    <n v="1962.91"/>
    <x v="0"/>
  </r>
  <r>
    <s v="ORD-11342"/>
    <x v="617"/>
    <d v="2025-01-29T00:00:00"/>
    <x v="9"/>
    <x v="2"/>
    <x v="2"/>
    <x v="0"/>
    <x v="0"/>
    <n v="1"/>
    <n v="389.6"/>
    <n v="75"/>
    <n v="69"/>
    <n v="40.42"/>
    <x v="0"/>
    <n v="1"/>
    <n v="389.6"/>
    <n v="464.6"/>
    <x v="0"/>
  </r>
  <r>
    <s v="ORD-11343"/>
    <x v="617"/>
    <d v="2025-01-29T00:00:00"/>
    <x v="11"/>
    <x v="3"/>
    <x v="3"/>
    <x v="1"/>
    <x v="2"/>
    <n v="3"/>
    <n v="565.41"/>
    <n v="25"/>
    <n v="117"/>
    <n v="581.17999999999995"/>
    <x v="0"/>
    <n v="1"/>
    <n v="1696.23"/>
    <n v="1721.23"/>
    <x v="0"/>
  </r>
  <r>
    <s v="ORD-11344"/>
    <x v="618"/>
    <d v="2025-02-04T00:00:00"/>
    <x v="14"/>
    <x v="4"/>
    <x v="4"/>
    <x v="2"/>
    <x v="3"/>
    <n v="4"/>
    <n v="102.85"/>
    <n v="18"/>
    <n v="276"/>
    <n v="-61.71"/>
    <x v="0"/>
    <n v="5"/>
    <n v="411.4"/>
    <n v="429.4"/>
    <x v="0"/>
  </r>
  <r>
    <s v="ORD-11345"/>
    <x v="618"/>
    <d v="2025-02-04T00:00:00"/>
    <x v="3"/>
    <x v="1"/>
    <x v="1"/>
    <x v="0"/>
    <x v="3"/>
    <n v="5"/>
    <n v="81.99"/>
    <n v="18"/>
    <n v="223"/>
    <n v="154.97999999999999"/>
    <x v="0"/>
    <n v="5"/>
    <n v="409.95"/>
    <n v="427.95"/>
    <x v="0"/>
  </r>
  <r>
    <s v="ORD-11346"/>
    <x v="618"/>
    <d v="2025-01-31T00:00:00"/>
    <x v="1"/>
    <x v="0"/>
    <x v="0"/>
    <x v="1"/>
    <x v="1"/>
    <n v="6"/>
    <n v="41.88"/>
    <n v="8"/>
    <n v="157"/>
    <n v="16.100000000000001"/>
    <x v="0"/>
    <n v="1"/>
    <n v="251.28000000000003"/>
    <n v="259.28000000000003"/>
    <x v="0"/>
  </r>
  <r>
    <s v="ORD-11347"/>
    <x v="618"/>
    <d v="2025-02-07T00:00:00"/>
    <x v="15"/>
    <x v="4"/>
    <x v="4"/>
    <x v="2"/>
    <x v="3"/>
    <n v="3"/>
    <n v="144.79"/>
    <n v="18"/>
    <n v="209"/>
    <n v="186.47"/>
    <x v="2"/>
    <n v="8"/>
    <n v="434.37"/>
    <n v="452.37"/>
    <x v="0"/>
  </r>
  <r>
    <s v="ORD-11348"/>
    <x v="618"/>
    <d v="2025-02-01T00:00:00"/>
    <x v="1"/>
    <x v="0"/>
    <x v="0"/>
    <x v="2"/>
    <x v="2"/>
    <n v="12"/>
    <n v="19.09"/>
    <n v="8"/>
    <n v="162"/>
    <n v="14.32"/>
    <x v="0"/>
    <n v="2"/>
    <n v="229.07999999999998"/>
    <n v="237.07999999999998"/>
    <x v="0"/>
  </r>
  <r>
    <s v="ORD-11349"/>
    <x v="619"/>
    <d v="2025-02-14T00:00:00"/>
    <x v="10"/>
    <x v="0"/>
    <x v="0"/>
    <x v="2"/>
    <x v="3"/>
    <n v="6"/>
    <n v="16.88"/>
    <n v="12"/>
    <n v="7"/>
    <n v="2.1"/>
    <x v="1"/>
    <n v="14"/>
    <n v="101.28"/>
    <n v="113.28"/>
    <x v="2"/>
  </r>
  <r>
    <s v="ORD-11350"/>
    <x v="620"/>
    <d v="2025-02-18T00:00:00"/>
    <x v="15"/>
    <x v="4"/>
    <x v="4"/>
    <x v="2"/>
    <x v="3"/>
    <n v="1"/>
    <n v="61.85"/>
    <n v="18"/>
    <n v="159"/>
    <n v="18.829999999999998"/>
    <x v="1"/>
    <n v="17"/>
    <n v="61.85"/>
    <n v="79.849999999999994"/>
    <x v="0"/>
  </r>
  <r>
    <s v="ORD-11351"/>
    <x v="620"/>
    <d v="2025-02-03T00:00:00"/>
    <x v="2"/>
    <x v="1"/>
    <x v="1"/>
    <x v="2"/>
    <x v="3"/>
    <n v="1"/>
    <n v="23.48"/>
    <n v="18"/>
    <n v="101"/>
    <n v="0.39"/>
    <x v="0"/>
    <n v="2"/>
    <n v="23.48"/>
    <n v="41.480000000000004"/>
    <x v="0"/>
  </r>
  <r>
    <s v="ORD-11352"/>
    <x v="620"/>
    <d v="2025-02-10T00:00:00"/>
    <x v="1"/>
    <x v="0"/>
    <x v="0"/>
    <x v="2"/>
    <x v="3"/>
    <n v="5"/>
    <n v="33.19"/>
    <n v="12"/>
    <n v="321"/>
    <n v="7.27"/>
    <x v="2"/>
    <n v="9"/>
    <n v="165.95"/>
    <n v="177.95"/>
    <x v="0"/>
  </r>
  <r>
    <s v="ORD-11353"/>
    <x v="621"/>
    <d v="2025-02-06T00:00:00"/>
    <x v="13"/>
    <x v="4"/>
    <x v="4"/>
    <x v="2"/>
    <x v="0"/>
    <n v="1"/>
    <n v="109.52"/>
    <n v="12"/>
    <n v="196"/>
    <n v="-16.43"/>
    <x v="0"/>
    <n v="4"/>
    <n v="109.52"/>
    <n v="121.52"/>
    <x v="0"/>
  </r>
  <r>
    <s v="ORD-11354"/>
    <x v="621"/>
    <d v="2025-02-07T00:00:00"/>
    <x v="1"/>
    <x v="0"/>
    <x v="0"/>
    <x v="1"/>
    <x v="2"/>
    <n v="13"/>
    <n v="19.809999999999999"/>
    <n v="8"/>
    <n v="1"/>
    <n v="16.600000000000001"/>
    <x v="0"/>
    <n v="5"/>
    <n v="257.52999999999997"/>
    <n v="265.52999999999997"/>
    <x v="2"/>
  </r>
  <r>
    <s v="ORD-11355"/>
    <x v="621"/>
    <d v="2025-02-17T00:00:00"/>
    <x v="10"/>
    <x v="0"/>
    <x v="0"/>
    <x v="2"/>
    <x v="2"/>
    <n v="6"/>
    <n v="33.71"/>
    <n v="8"/>
    <n v="3"/>
    <n v="12.18"/>
    <x v="1"/>
    <n v="15"/>
    <n v="202.26"/>
    <n v="210.26"/>
    <x v="2"/>
  </r>
  <r>
    <s v="ORD-11356"/>
    <x v="621"/>
    <d v="2025-02-04T00:00:00"/>
    <x v="2"/>
    <x v="1"/>
    <x v="1"/>
    <x v="1"/>
    <x v="0"/>
    <n v="4"/>
    <n v="53.45"/>
    <n v="12"/>
    <n v="70"/>
    <n v="79.53"/>
    <x v="0"/>
    <n v="2"/>
    <n v="213.8"/>
    <n v="225.8"/>
    <x v="0"/>
  </r>
  <r>
    <s v="ORD-11357"/>
    <x v="621"/>
    <d v="2025-02-06T00:00:00"/>
    <x v="6"/>
    <x v="3"/>
    <x v="3"/>
    <x v="0"/>
    <x v="2"/>
    <n v="2"/>
    <n v="1061.3599999999999"/>
    <n v="25"/>
    <n v="83"/>
    <n v="730.46"/>
    <x v="0"/>
    <n v="4"/>
    <n v="2122.7199999999998"/>
    <n v="2147.7199999999998"/>
    <x v="0"/>
  </r>
  <r>
    <s v="ORD-11358"/>
    <x v="622"/>
    <d v="2025-02-07T00:00:00"/>
    <x v="9"/>
    <x v="2"/>
    <x v="2"/>
    <x v="0"/>
    <x v="2"/>
    <n v="2"/>
    <n v="257.47000000000003"/>
    <n v="75"/>
    <n v="100"/>
    <n v="65.489999999999995"/>
    <x v="0"/>
    <n v="2"/>
    <n v="514.94000000000005"/>
    <n v="589.94000000000005"/>
    <x v="0"/>
  </r>
  <r>
    <s v="ORD-11359"/>
    <x v="622"/>
    <d v="2025-02-06T00:00:00"/>
    <x v="8"/>
    <x v="2"/>
    <x v="2"/>
    <x v="1"/>
    <x v="0"/>
    <n v="2"/>
    <n v="117.88"/>
    <n v="75"/>
    <n v="390"/>
    <n v="9.65"/>
    <x v="0"/>
    <n v="1"/>
    <n v="235.76"/>
    <n v="310.76"/>
    <x v="0"/>
  </r>
  <r>
    <s v="ORD-11360"/>
    <x v="622"/>
    <d v="2025-02-06T00:00:00"/>
    <x v="10"/>
    <x v="0"/>
    <x v="0"/>
    <x v="0"/>
    <x v="2"/>
    <n v="7"/>
    <n v="47.62"/>
    <n v="8"/>
    <n v="1"/>
    <n v="22.67"/>
    <x v="0"/>
    <n v="1"/>
    <n v="333.34"/>
    <n v="341.34"/>
    <x v="2"/>
  </r>
  <r>
    <s v="ORD-11361"/>
    <x v="622"/>
    <d v="2025-02-07T00:00:00"/>
    <x v="12"/>
    <x v="3"/>
    <x v="3"/>
    <x v="1"/>
    <x v="2"/>
    <n v="1"/>
    <n v="388.91"/>
    <n v="25"/>
    <n v="175"/>
    <n v="123.62"/>
    <x v="0"/>
    <n v="2"/>
    <n v="388.91"/>
    <n v="413.91"/>
    <x v="0"/>
  </r>
  <r>
    <s v="ORD-11362"/>
    <x v="623"/>
    <d v="2025-02-10T00:00:00"/>
    <x v="12"/>
    <x v="3"/>
    <x v="3"/>
    <x v="2"/>
    <x v="0"/>
    <n v="3"/>
    <n v="756.12"/>
    <n v="25"/>
    <n v="282"/>
    <n v="781.42"/>
    <x v="0"/>
    <n v="4"/>
    <n v="2268.36"/>
    <n v="2293.36"/>
    <x v="0"/>
  </r>
  <r>
    <s v="ORD-11363"/>
    <x v="624"/>
    <d v="2025-02-11T00:00:00"/>
    <x v="4"/>
    <x v="2"/>
    <x v="2"/>
    <x v="1"/>
    <x v="1"/>
    <n v="2"/>
    <n v="214.24"/>
    <n v="75"/>
    <n v="142"/>
    <n v="48.19"/>
    <x v="0"/>
    <n v="4"/>
    <n v="428.48"/>
    <n v="503.48"/>
    <x v="0"/>
  </r>
  <r>
    <s v="ORD-11364"/>
    <x v="624"/>
    <d v="2025-02-17T00:00:00"/>
    <x v="9"/>
    <x v="2"/>
    <x v="2"/>
    <x v="2"/>
    <x v="0"/>
    <n v="2"/>
    <n v="153.29"/>
    <n v="75"/>
    <n v="97"/>
    <n v="23.82"/>
    <x v="2"/>
    <n v="10"/>
    <n v="306.58"/>
    <n v="381.58"/>
    <x v="0"/>
  </r>
  <r>
    <s v="ORD-11365"/>
    <x v="625"/>
    <d v="2025-02-09T00:00:00"/>
    <x v="13"/>
    <x v="4"/>
    <x v="4"/>
    <x v="2"/>
    <x v="3"/>
    <n v="3"/>
    <n v="138.16"/>
    <n v="18"/>
    <n v="305"/>
    <n v="177.51"/>
    <x v="0"/>
    <n v="1"/>
    <n v="414.48"/>
    <n v="432.48"/>
    <x v="0"/>
  </r>
  <r>
    <s v="ORD-11366"/>
    <x v="625"/>
    <d v="2025-02-09T00:00:00"/>
    <x v="7"/>
    <x v="1"/>
    <x v="1"/>
    <x v="0"/>
    <x v="1"/>
    <n v="5"/>
    <n v="27.47"/>
    <n v="12"/>
    <n v="268"/>
    <n v="48.93"/>
    <x v="0"/>
    <n v="1"/>
    <n v="137.35"/>
    <n v="149.35"/>
    <x v="0"/>
  </r>
  <r>
    <s v="ORD-11367"/>
    <x v="625"/>
    <d v="2025-02-11T00:00:00"/>
    <x v="6"/>
    <x v="3"/>
    <x v="3"/>
    <x v="0"/>
    <x v="1"/>
    <n v="2"/>
    <n v="779.47"/>
    <n v="25"/>
    <n v="188"/>
    <n v="533.13"/>
    <x v="0"/>
    <n v="3"/>
    <n v="1558.94"/>
    <n v="1583.94"/>
    <x v="0"/>
  </r>
  <r>
    <s v="ORD-11368"/>
    <x v="625"/>
    <d v="2025-02-12T00:00:00"/>
    <x v="3"/>
    <x v="1"/>
    <x v="1"/>
    <x v="1"/>
    <x v="2"/>
    <n v="4"/>
    <n v="37.36"/>
    <n v="12"/>
    <n v="308"/>
    <n v="53.78"/>
    <x v="0"/>
    <n v="4"/>
    <n v="149.44"/>
    <n v="161.44"/>
    <x v="0"/>
  </r>
  <r>
    <s v="ORD-11369"/>
    <x v="625"/>
    <d v="2025-02-10T00:00:00"/>
    <x v="13"/>
    <x v="4"/>
    <x v="4"/>
    <x v="2"/>
    <x v="0"/>
    <n v="3"/>
    <n v="82.78"/>
    <n v="12"/>
    <n v="119"/>
    <n v="105.76"/>
    <x v="0"/>
    <n v="2"/>
    <n v="248.34"/>
    <n v="260.34000000000003"/>
    <x v="0"/>
  </r>
  <r>
    <s v="ORD-11370"/>
    <x v="625"/>
    <d v="2025-02-12T00:00:00"/>
    <x v="3"/>
    <x v="1"/>
    <x v="1"/>
    <x v="1"/>
    <x v="0"/>
    <n v="5"/>
    <n v="92.77"/>
    <n v="12"/>
    <n v="215"/>
    <n v="179.54"/>
    <x v="0"/>
    <n v="4"/>
    <n v="463.84999999999997"/>
    <n v="475.84999999999997"/>
    <x v="0"/>
  </r>
  <r>
    <s v="ORD-11371"/>
    <x v="626"/>
    <d v="2025-02-12T00:00:00"/>
    <x v="3"/>
    <x v="1"/>
    <x v="1"/>
    <x v="1"/>
    <x v="1"/>
    <n v="3"/>
    <n v="48.85"/>
    <n v="12"/>
    <n v="354"/>
    <n v="52.62"/>
    <x v="0"/>
    <n v="3"/>
    <n v="146.55000000000001"/>
    <n v="158.55000000000001"/>
    <x v="0"/>
  </r>
  <r>
    <s v="ORD-11372"/>
    <x v="626"/>
    <d v="2025-02-24T00:00:00"/>
    <x v="4"/>
    <x v="2"/>
    <x v="2"/>
    <x v="2"/>
    <x v="3"/>
    <n v="2"/>
    <n v="307.89999999999998"/>
    <n v="112.5"/>
    <n v="67"/>
    <n v="66.91"/>
    <x v="1"/>
    <n v="15"/>
    <n v="615.79999999999995"/>
    <n v="728.3"/>
    <x v="0"/>
  </r>
  <r>
    <s v="ORD-11373"/>
    <x v="627"/>
    <d v="2025-02-11T00:00:00"/>
    <x v="3"/>
    <x v="1"/>
    <x v="1"/>
    <x v="0"/>
    <x v="1"/>
    <n v="3"/>
    <n v="46.23"/>
    <n v="12"/>
    <n v="26"/>
    <n v="49.48"/>
    <x v="0"/>
    <n v="1"/>
    <n v="138.69"/>
    <n v="150.69"/>
    <x v="1"/>
  </r>
  <r>
    <s v="ORD-11374"/>
    <x v="628"/>
    <d v="2025-02-16T00:00:00"/>
    <x v="5"/>
    <x v="3"/>
    <x v="3"/>
    <x v="2"/>
    <x v="3"/>
    <n v="2"/>
    <n v="1076.3499999999999"/>
    <n v="37.5"/>
    <n v="348"/>
    <n v="734.69"/>
    <x v="0"/>
    <n v="5"/>
    <n v="2152.6999999999998"/>
    <n v="2190.1999999999998"/>
    <x v="0"/>
  </r>
  <r>
    <s v="ORD-11375"/>
    <x v="629"/>
    <d v="2025-02-16T00:00:00"/>
    <x v="10"/>
    <x v="0"/>
    <x v="0"/>
    <x v="0"/>
    <x v="2"/>
    <n v="6"/>
    <n v="47.04"/>
    <n v="8"/>
    <n v="205"/>
    <n v="18.579999999999998"/>
    <x v="0"/>
    <n v="4"/>
    <n v="282.24"/>
    <n v="290.24"/>
    <x v="0"/>
  </r>
  <r>
    <s v="ORD-11376"/>
    <x v="629"/>
    <d v="2025-02-28T00:00:00"/>
    <x v="15"/>
    <x v="4"/>
    <x v="4"/>
    <x v="2"/>
    <x v="0"/>
    <n v="2"/>
    <n v="142.36000000000001"/>
    <n v="12"/>
    <n v="288"/>
    <n v="122.12"/>
    <x v="1"/>
    <n v="16"/>
    <n v="284.72000000000003"/>
    <n v="296.72000000000003"/>
    <x v="0"/>
  </r>
  <r>
    <s v="ORD-11377"/>
    <x v="630"/>
    <d v="2025-02-15T00:00:00"/>
    <x v="3"/>
    <x v="1"/>
    <x v="1"/>
    <x v="1"/>
    <x v="2"/>
    <n v="1"/>
    <n v="132.21"/>
    <n v="12"/>
    <n v="337"/>
    <n v="-19.829999999999998"/>
    <x v="0"/>
    <n v="2"/>
    <n v="132.21"/>
    <n v="144.21"/>
    <x v="0"/>
  </r>
  <r>
    <s v="ORD-11378"/>
    <x v="631"/>
    <d v="2025-02-17T00:00:00"/>
    <x v="2"/>
    <x v="1"/>
    <x v="1"/>
    <x v="2"/>
    <x v="0"/>
    <n v="5"/>
    <n v="64.290000000000006"/>
    <n v="12"/>
    <n v="327"/>
    <n v="122.58"/>
    <x v="0"/>
    <n v="3"/>
    <n v="321.45000000000005"/>
    <n v="333.45000000000005"/>
    <x v="0"/>
  </r>
  <r>
    <s v="ORD-11379"/>
    <x v="631"/>
    <d v="2025-02-17T00:00:00"/>
    <x v="10"/>
    <x v="0"/>
    <x v="0"/>
    <x v="1"/>
    <x v="0"/>
    <n v="11"/>
    <n v="20.64"/>
    <n v="8"/>
    <n v="177"/>
    <n v="14.16"/>
    <x v="0"/>
    <n v="3"/>
    <n v="227.04000000000002"/>
    <n v="235.04000000000002"/>
    <x v="0"/>
  </r>
  <r>
    <s v="ORD-11380"/>
    <x v="631"/>
    <d v="2025-02-17T00:00:00"/>
    <x v="12"/>
    <x v="3"/>
    <x v="3"/>
    <x v="0"/>
    <x v="1"/>
    <n v="2"/>
    <n v="389.33"/>
    <n v="25"/>
    <n v="270"/>
    <n v="260.02999999999997"/>
    <x v="0"/>
    <n v="3"/>
    <n v="778.66"/>
    <n v="803.66"/>
    <x v="0"/>
  </r>
  <r>
    <s v="ORD-11381"/>
    <x v="631"/>
    <d v="2025-02-19T00:00:00"/>
    <x v="14"/>
    <x v="4"/>
    <x v="4"/>
    <x v="2"/>
    <x v="2"/>
    <n v="5"/>
    <n v="117.25"/>
    <n v="12"/>
    <n v="119"/>
    <n v="257.82"/>
    <x v="0"/>
    <n v="5"/>
    <n v="586.25"/>
    <n v="598.25"/>
    <x v="0"/>
  </r>
  <r>
    <s v="ORD-11382"/>
    <x v="632"/>
    <d v="2025-03-03T00:00:00"/>
    <x v="15"/>
    <x v="4"/>
    <x v="4"/>
    <x v="2"/>
    <x v="2"/>
    <n v="1"/>
    <n v="47.56"/>
    <n v="12"/>
    <n v="198"/>
    <n v="15.4"/>
    <x v="1"/>
    <n v="16"/>
    <n v="47.56"/>
    <n v="59.56"/>
    <x v="0"/>
  </r>
  <r>
    <s v="ORD-11383"/>
    <x v="632"/>
    <d v="2025-02-20T00:00:00"/>
    <x v="6"/>
    <x v="3"/>
    <x v="3"/>
    <x v="1"/>
    <x v="2"/>
    <n v="2"/>
    <n v="363.64"/>
    <n v="25"/>
    <n v="298"/>
    <n v="242.05"/>
    <x v="0"/>
    <n v="5"/>
    <n v="727.28"/>
    <n v="752.28"/>
    <x v="0"/>
  </r>
  <r>
    <s v="ORD-11384"/>
    <x v="633"/>
    <d v="2025-02-20T00:00:00"/>
    <x v="7"/>
    <x v="1"/>
    <x v="1"/>
    <x v="1"/>
    <x v="1"/>
    <n v="4"/>
    <n v="61.45"/>
    <n v="12"/>
    <n v="235"/>
    <n v="92.32"/>
    <x v="0"/>
    <n v="4"/>
    <n v="245.8"/>
    <n v="257.8"/>
    <x v="0"/>
  </r>
  <r>
    <s v="ORD-11385"/>
    <x v="633"/>
    <d v="2025-02-23T00:00:00"/>
    <x v="6"/>
    <x v="3"/>
    <x v="3"/>
    <x v="2"/>
    <x v="3"/>
    <n v="3"/>
    <n v="963.5"/>
    <n v="37.5"/>
    <n v="114"/>
    <n v="992.92"/>
    <x v="2"/>
    <n v="7"/>
    <n v="2890.5"/>
    <n v="2928"/>
    <x v="0"/>
  </r>
  <r>
    <s v="ORD-11386"/>
    <x v="633"/>
    <d v="2025-02-17T00:00:00"/>
    <x v="12"/>
    <x v="3"/>
    <x v="3"/>
    <x v="1"/>
    <x v="0"/>
    <n v="1"/>
    <n v="974.5"/>
    <n v="25"/>
    <n v="164"/>
    <n v="328.57"/>
    <x v="0"/>
    <n v="1"/>
    <n v="974.5"/>
    <n v="999.5"/>
    <x v="0"/>
  </r>
  <r>
    <s v="ORD-11387"/>
    <x v="634"/>
    <d v="2025-02-19T00:00:00"/>
    <x v="1"/>
    <x v="0"/>
    <x v="0"/>
    <x v="0"/>
    <x v="0"/>
    <n v="11"/>
    <n v="40.35"/>
    <n v="8"/>
    <n v="197"/>
    <n v="31.51"/>
    <x v="0"/>
    <n v="2"/>
    <n v="443.85"/>
    <n v="451.85"/>
    <x v="0"/>
  </r>
  <r>
    <s v="ORD-11388"/>
    <x v="634"/>
    <d v="2025-02-19T00:00:00"/>
    <x v="9"/>
    <x v="2"/>
    <x v="2"/>
    <x v="2"/>
    <x v="3"/>
    <n v="2"/>
    <n v="262.20999999999998"/>
    <n v="112.5"/>
    <n v="292"/>
    <n v="48.63"/>
    <x v="0"/>
    <n v="2"/>
    <n v="524.41999999999996"/>
    <n v="636.91999999999996"/>
    <x v="0"/>
  </r>
  <r>
    <s v="ORD-11389"/>
    <x v="635"/>
    <d v="2025-02-23T00:00:00"/>
    <x v="5"/>
    <x v="3"/>
    <x v="3"/>
    <x v="2"/>
    <x v="3"/>
    <n v="1"/>
    <n v="462.32"/>
    <n v="37.5"/>
    <n v="108"/>
    <n v="143.06"/>
    <x v="0"/>
    <n v="5"/>
    <n v="462.32"/>
    <n v="499.82"/>
    <x v="0"/>
  </r>
  <r>
    <s v="ORD-11390"/>
    <x v="635"/>
    <d v="2025-03-02T00:00:00"/>
    <x v="0"/>
    <x v="0"/>
    <x v="0"/>
    <x v="2"/>
    <x v="3"/>
    <n v="6"/>
    <n v="35.15"/>
    <n v="12"/>
    <n v="288"/>
    <n v="10.87"/>
    <x v="1"/>
    <n v="12"/>
    <n v="210.89999999999998"/>
    <n v="222.89999999999998"/>
    <x v="0"/>
  </r>
  <r>
    <s v="ORD-11391"/>
    <x v="636"/>
    <d v="2025-02-24T00:00:00"/>
    <x v="14"/>
    <x v="4"/>
    <x v="4"/>
    <x v="1"/>
    <x v="2"/>
    <n v="4"/>
    <n v="21.51"/>
    <n v="12"/>
    <n v="269"/>
    <n v="32.72"/>
    <x v="0"/>
    <n v="5"/>
    <n v="86.04"/>
    <n v="98.04"/>
    <x v="0"/>
  </r>
  <r>
    <s v="ORD-11392"/>
    <x v="636"/>
    <d v="2025-03-07T00:00:00"/>
    <x v="4"/>
    <x v="2"/>
    <x v="2"/>
    <x v="2"/>
    <x v="3"/>
    <n v="1"/>
    <n v="285.81"/>
    <n v="112.5"/>
    <n v="306"/>
    <n v="0.91"/>
    <x v="1"/>
    <n v="16"/>
    <n v="285.81"/>
    <n v="398.31"/>
    <x v="0"/>
  </r>
  <r>
    <s v="ORD-11393"/>
    <x v="636"/>
    <d v="2025-02-21T00:00:00"/>
    <x v="11"/>
    <x v="3"/>
    <x v="3"/>
    <x v="2"/>
    <x v="2"/>
    <n v="1"/>
    <n v="447.17"/>
    <n v="25"/>
    <n v="168"/>
    <n v="144.01"/>
    <x v="0"/>
    <n v="2"/>
    <n v="447.17"/>
    <n v="472.17"/>
    <x v="0"/>
  </r>
  <r>
    <s v="ORD-11394"/>
    <x v="636"/>
    <d v="2025-02-20T00:00:00"/>
    <x v="5"/>
    <x v="3"/>
    <x v="3"/>
    <x v="2"/>
    <x v="3"/>
    <n v="3"/>
    <n v="1016.82"/>
    <n v="37.5"/>
    <n v="100"/>
    <n v="1048.9100000000001"/>
    <x v="0"/>
    <n v="1"/>
    <n v="3050.46"/>
    <n v="3087.96"/>
    <x v="0"/>
  </r>
  <r>
    <s v="ORD-11395"/>
    <x v="637"/>
    <d v="2025-02-24T00:00:00"/>
    <x v="11"/>
    <x v="3"/>
    <x v="3"/>
    <x v="2"/>
    <x v="3"/>
    <n v="3"/>
    <n v="937.49"/>
    <n v="37.5"/>
    <n v="261"/>
    <n v="965.61"/>
    <x v="0"/>
    <n v="3"/>
    <n v="2812.4700000000003"/>
    <n v="2849.9700000000003"/>
    <x v="0"/>
  </r>
  <r>
    <s v="ORD-11396"/>
    <x v="637"/>
    <d v="2025-02-26T00:00:00"/>
    <x v="10"/>
    <x v="0"/>
    <x v="0"/>
    <x v="2"/>
    <x v="3"/>
    <n v="11"/>
    <n v="15.86"/>
    <n v="12"/>
    <n v="140"/>
    <n v="7.95"/>
    <x v="0"/>
    <n v="5"/>
    <n v="174.45999999999998"/>
    <n v="186.45999999999998"/>
    <x v="0"/>
  </r>
  <r>
    <s v="ORD-11397"/>
    <x v="638"/>
    <d v="2025-03-08T00:00:00"/>
    <x v="5"/>
    <x v="3"/>
    <x v="3"/>
    <x v="2"/>
    <x v="3"/>
    <n v="3"/>
    <n v="724.29"/>
    <n v="37.5"/>
    <n v="216"/>
    <n v="741.75"/>
    <x v="1"/>
    <n v="14"/>
    <n v="2172.87"/>
    <n v="2210.37"/>
    <x v="0"/>
  </r>
  <r>
    <s v="ORD-11398"/>
    <x v="638"/>
    <d v="2025-02-27T00:00:00"/>
    <x v="8"/>
    <x v="2"/>
    <x v="2"/>
    <x v="2"/>
    <x v="3"/>
    <n v="2"/>
    <n v="202.85"/>
    <n v="112.5"/>
    <n v="224"/>
    <n v="24.89"/>
    <x v="0"/>
    <n v="5"/>
    <n v="405.7"/>
    <n v="518.20000000000005"/>
    <x v="0"/>
  </r>
  <r>
    <s v="ORD-11399"/>
    <x v="639"/>
    <d v="2025-02-26T00:00:00"/>
    <x v="14"/>
    <x v="4"/>
    <x v="4"/>
    <x v="0"/>
    <x v="0"/>
    <n v="3"/>
    <n v="137.94"/>
    <n v="12"/>
    <n v="233"/>
    <n v="180.22"/>
    <x v="0"/>
    <n v="3"/>
    <n v="413.82"/>
    <n v="425.82"/>
    <x v="0"/>
  </r>
  <r>
    <s v="ORD-11400"/>
    <x v="639"/>
    <d v="2025-02-24T00:00:00"/>
    <x v="7"/>
    <x v="1"/>
    <x v="1"/>
    <x v="1"/>
    <x v="0"/>
    <n v="2"/>
    <n v="122.18"/>
    <n v="12"/>
    <n v="292"/>
    <n v="91.74"/>
    <x v="0"/>
    <n v="1"/>
    <n v="244.36"/>
    <n v="256.36"/>
    <x v="0"/>
  </r>
  <r>
    <s v="ORD-11401"/>
    <x v="639"/>
    <d v="2025-03-12T00:00:00"/>
    <x v="12"/>
    <x v="3"/>
    <x v="3"/>
    <x v="2"/>
    <x v="1"/>
    <n v="3"/>
    <n v="1039.8599999999999"/>
    <n v="25"/>
    <n v="373"/>
    <n v="1079.3499999999999"/>
    <x v="1"/>
    <n v="17"/>
    <n v="3119.58"/>
    <n v="3144.58"/>
    <x v="0"/>
  </r>
  <r>
    <s v="ORD-11402"/>
    <x v="639"/>
    <d v="2025-02-28T00:00:00"/>
    <x v="12"/>
    <x v="3"/>
    <x v="3"/>
    <x v="1"/>
    <x v="2"/>
    <n v="3"/>
    <n v="454.88"/>
    <n v="25"/>
    <n v="235"/>
    <n v="465.13"/>
    <x v="0"/>
    <n v="5"/>
    <n v="1364.6399999999999"/>
    <n v="1389.6399999999999"/>
    <x v="0"/>
  </r>
  <r>
    <s v="ORD-11403"/>
    <x v="640"/>
    <d v="2025-02-28T00:00:00"/>
    <x v="1"/>
    <x v="0"/>
    <x v="0"/>
    <x v="1"/>
    <x v="0"/>
    <n v="7"/>
    <n v="30.65"/>
    <n v="8"/>
    <n v="209"/>
    <n v="13.17"/>
    <x v="0"/>
    <n v="3"/>
    <n v="214.54999999999998"/>
    <n v="222.54999999999998"/>
    <x v="0"/>
  </r>
  <r>
    <s v="ORD-11404"/>
    <x v="641"/>
    <d v="2025-03-04T00:00:00"/>
    <x v="6"/>
    <x v="3"/>
    <x v="3"/>
    <x v="0"/>
    <x v="1"/>
    <n v="2"/>
    <n v="724.69"/>
    <n v="25"/>
    <n v="145"/>
    <n v="494.78"/>
    <x v="0"/>
    <n v="5"/>
    <n v="1449.38"/>
    <n v="1474.38"/>
    <x v="0"/>
  </r>
  <r>
    <s v="ORD-11405"/>
    <x v="641"/>
    <d v="2025-03-11T00:00:00"/>
    <x v="13"/>
    <x v="4"/>
    <x v="4"/>
    <x v="2"/>
    <x v="0"/>
    <n v="2"/>
    <n v="64.64"/>
    <n v="12"/>
    <n v="323"/>
    <n v="52.18"/>
    <x v="1"/>
    <n v="12"/>
    <n v="129.28"/>
    <n v="141.28"/>
    <x v="0"/>
  </r>
  <r>
    <s v="ORD-11406"/>
    <x v="642"/>
    <d v="2025-03-03T00:00:00"/>
    <x v="6"/>
    <x v="3"/>
    <x v="3"/>
    <x v="0"/>
    <x v="1"/>
    <n v="1"/>
    <n v="896.44"/>
    <n v="25"/>
    <n v="390"/>
    <n v="301.25"/>
    <x v="0"/>
    <n v="3"/>
    <n v="896.44"/>
    <n v="921.44"/>
    <x v="0"/>
  </r>
  <r>
    <s v="ORD-11407"/>
    <x v="642"/>
    <d v="2025-03-02T00:00:00"/>
    <x v="0"/>
    <x v="0"/>
    <x v="0"/>
    <x v="0"/>
    <x v="3"/>
    <n v="6"/>
    <n v="16.03"/>
    <n v="12"/>
    <n v="216"/>
    <n v="1.69"/>
    <x v="0"/>
    <n v="2"/>
    <n v="96.18"/>
    <n v="108.18"/>
    <x v="0"/>
  </r>
  <r>
    <s v="ORD-11408"/>
    <x v="643"/>
    <d v="2025-03-15T00:00:00"/>
    <x v="13"/>
    <x v="4"/>
    <x v="4"/>
    <x v="2"/>
    <x v="3"/>
    <n v="3"/>
    <n v="44.67"/>
    <n v="18"/>
    <n v="174"/>
    <n v="51.3"/>
    <x v="1"/>
    <n v="14"/>
    <n v="134.01"/>
    <n v="152.01"/>
    <x v="0"/>
  </r>
  <r>
    <s v="ORD-11409"/>
    <x v="644"/>
    <d v="2025-03-09T00:00:00"/>
    <x v="0"/>
    <x v="0"/>
    <x v="0"/>
    <x v="2"/>
    <x v="3"/>
    <n v="12"/>
    <n v="24.52"/>
    <n v="12"/>
    <n v="172"/>
    <n v="17.54"/>
    <x v="2"/>
    <n v="7"/>
    <n v="294.24"/>
    <n v="306.24"/>
    <x v="0"/>
  </r>
  <r>
    <s v="ORD-11410"/>
    <x v="644"/>
    <d v="2025-03-04T00:00:00"/>
    <x v="6"/>
    <x v="3"/>
    <x v="3"/>
    <x v="2"/>
    <x v="1"/>
    <n v="2"/>
    <n v="885.19"/>
    <n v="25"/>
    <n v="398"/>
    <n v="607.13"/>
    <x v="0"/>
    <n v="2"/>
    <n v="1770.38"/>
    <n v="1795.38"/>
    <x v="0"/>
  </r>
  <r>
    <s v="ORD-11411"/>
    <x v="644"/>
    <d v="2025-03-04T00:00:00"/>
    <x v="1"/>
    <x v="0"/>
    <x v="0"/>
    <x v="2"/>
    <x v="1"/>
    <n v="14"/>
    <n v="34.340000000000003"/>
    <n v="8"/>
    <n v="7"/>
    <n v="34.46"/>
    <x v="0"/>
    <n v="2"/>
    <n v="480.76000000000005"/>
    <n v="488.76000000000005"/>
    <x v="2"/>
  </r>
  <r>
    <s v="ORD-11412"/>
    <x v="645"/>
    <d v="2025-03-08T00:00:00"/>
    <x v="0"/>
    <x v="0"/>
    <x v="0"/>
    <x v="2"/>
    <x v="2"/>
    <n v="7"/>
    <n v="14.11"/>
    <n v="8"/>
    <n v="119"/>
    <n v="-14.82"/>
    <x v="0"/>
    <n v="5"/>
    <n v="98.77"/>
    <n v="106.77"/>
    <x v="0"/>
  </r>
  <r>
    <s v="ORD-11413"/>
    <x v="645"/>
    <d v="2025-03-11T00:00:00"/>
    <x v="2"/>
    <x v="1"/>
    <x v="1"/>
    <x v="2"/>
    <x v="2"/>
    <n v="4"/>
    <n v="71.849999999999994"/>
    <n v="12"/>
    <n v="269"/>
    <n v="108.96"/>
    <x v="2"/>
    <n v="8"/>
    <n v="287.39999999999998"/>
    <n v="299.39999999999998"/>
    <x v="0"/>
  </r>
  <r>
    <s v="ORD-11414"/>
    <x v="645"/>
    <d v="2025-03-08T00:00:00"/>
    <x v="7"/>
    <x v="1"/>
    <x v="1"/>
    <x v="2"/>
    <x v="1"/>
    <n v="5"/>
    <n v="70.489999999999995"/>
    <n v="12"/>
    <n v="165"/>
    <n v="134.97999999999999"/>
    <x v="0"/>
    <n v="5"/>
    <n v="352.45"/>
    <n v="364.45"/>
    <x v="0"/>
  </r>
  <r>
    <s v="ORD-11415"/>
    <x v="646"/>
    <d v="2025-03-06T00:00:00"/>
    <x v="1"/>
    <x v="0"/>
    <x v="0"/>
    <x v="0"/>
    <x v="1"/>
    <n v="11"/>
    <n v="14.16"/>
    <n v="8"/>
    <n v="7"/>
    <n v="8.4600000000000009"/>
    <x v="0"/>
    <n v="2"/>
    <n v="155.76"/>
    <n v="163.76"/>
    <x v="2"/>
  </r>
  <r>
    <s v="ORD-11416"/>
    <x v="646"/>
    <d v="2025-03-06T00:00:00"/>
    <x v="12"/>
    <x v="3"/>
    <x v="3"/>
    <x v="0"/>
    <x v="2"/>
    <n v="3"/>
    <n v="550.70000000000005"/>
    <n v="25"/>
    <n v="80"/>
    <n v="565.74"/>
    <x v="0"/>
    <n v="2"/>
    <n v="1652.1000000000001"/>
    <n v="1677.1000000000001"/>
    <x v="0"/>
  </r>
  <r>
    <s v="ORD-11417"/>
    <x v="646"/>
    <d v="2025-03-05T00:00:00"/>
    <x v="0"/>
    <x v="0"/>
    <x v="0"/>
    <x v="2"/>
    <x v="3"/>
    <n v="9"/>
    <n v="29.58"/>
    <n v="12"/>
    <n v="205"/>
    <n v="15.3"/>
    <x v="0"/>
    <n v="1"/>
    <n v="266.21999999999997"/>
    <n v="278.21999999999997"/>
    <x v="0"/>
  </r>
  <r>
    <s v="ORD-11418"/>
    <x v="646"/>
    <d v="2025-03-07T00:00:00"/>
    <x v="1"/>
    <x v="0"/>
    <x v="0"/>
    <x v="2"/>
    <x v="3"/>
    <n v="5"/>
    <n v="10.6"/>
    <n v="12"/>
    <n v="8"/>
    <n v="-7.95"/>
    <x v="0"/>
    <n v="3"/>
    <n v="53"/>
    <n v="65"/>
    <x v="2"/>
  </r>
  <r>
    <s v="ORD-11419"/>
    <x v="647"/>
    <d v="2025-03-12T00:00:00"/>
    <x v="11"/>
    <x v="3"/>
    <x v="3"/>
    <x v="2"/>
    <x v="2"/>
    <n v="1"/>
    <n v="834.57"/>
    <n v="25"/>
    <n v="155"/>
    <n v="-125.19"/>
    <x v="2"/>
    <n v="7"/>
    <n v="834.57"/>
    <n v="859.57"/>
    <x v="0"/>
  </r>
  <r>
    <s v="ORD-11420"/>
    <x v="647"/>
    <d v="2025-03-07T00:00:00"/>
    <x v="7"/>
    <x v="1"/>
    <x v="1"/>
    <x v="2"/>
    <x v="3"/>
    <n v="1"/>
    <n v="80.489999999999995"/>
    <n v="18"/>
    <n v="69"/>
    <n v="23.2"/>
    <x v="0"/>
    <n v="2"/>
    <n v="80.489999999999995"/>
    <n v="98.49"/>
    <x v="0"/>
  </r>
  <r>
    <s v="ORD-11421"/>
    <x v="647"/>
    <d v="2025-03-06T00:00:00"/>
    <x v="7"/>
    <x v="1"/>
    <x v="1"/>
    <x v="0"/>
    <x v="0"/>
    <n v="3"/>
    <n v="58.99"/>
    <n v="12"/>
    <n v="339"/>
    <n v="64.790000000000006"/>
    <x v="0"/>
    <n v="1"/>
    <n v="176.97"/>
    <n v="188.97"/>
    <x v="0"/>
  </r>
  <r>
    <s v="ORD-11422"/>
    <x v="648"/>
    <d v="2025-03-09T00:00:00"/>
    <x v="5"/>
    <x v="3"/>
    <x v="3"/>
    <x v="1"/>
    <x v="0"/>
    <n v="2"/>
    <n v="807.32"/>
    <n v="25"/>
    <n v="156"/>
    <n v="552.63"/>
    <x v="0"/>
    <n v="3"/>
    <n v="1614.64"/>
    <n v="1639.64"/>
    <x v="0"/>
  </r>
  <r>
    <s v="ORD-11423"/>
    <x v="648"/>
    <d v="2025-03-18T00:00:00"/>
    <x v="9"/>
    <x v="2"/>
    <x v="2"/>
    <x v="2"/>
    <x v="1"/>
    <n v="1"/>
    <n v="420.25"/>
    <n v="75"/>
    <n v="109"/>
    <n v="46.55"/>
    <x v="1"/>
    <n v="12"/>
    <n v="420.25"/>
    <n v="495.25"/>
    <x v="0"/>
  </r>
  <r>
    <s v="ORD-11424"/>
    <x v="649"/>
    <d v="2025-03-10T00:00:00"/>
    <x v="0"/>
    <x v="0"/>
    <x v="0"/>
    <x v="2"/>
    <x v="3"/>
    <n v="12"/>
    <n v="11.65"/>
    <n v="12"/>
    <n v="65"/>
    <n v="5.19"/>
    <x v="0"/>
    <n v="3"/>
    <n v="139.80000000000001"/>
    <n v="151.80000000000001"/>
    <x v="0"/>
  </r>
  <r>
    <s v="ORD-11425"/>
    <x v="649"/>
    <d v="2025-03-11T00:00:00"/>
    <x v="1"/>
    <x v="0"/>
    <x v="0"/>
    <x v="0"/>
    <x v="2"/>
    <n v="6"/>
    <n v="37.979999999999997"/>
    <n v="8"/>
    <n v="150"/>
    <n v="14.23"/>
    <x v="0"/>
    <n v="4"/>
    <n v="227.88"/>
    <n v="235.88"/>
    <x v="0"/>
  </r>
  <r>
    <s v="ORD-11426"/>
    <x v="649"/>
    <d v="2025-03-11T00:00:00"/>
    <x v="8"/>
    <x v="2"/>
    <x v="2"/>
    <x v="1"/>
    <x v="1"/>
    <n v="2"/>
    <n v="426.79"/>
    <n v="75"/>
    <n v="318"/>
    <n v="133.22"/>
    <x v="0"/>
    <n v="4"/>
    <n v="853.58"/>
    <n v="928.58"/>
    <x v="0"/>
  </r>
  <r>
    <s v="ORD-11427"/>
    <x v="650"/>
    <d v="2025-03-10T00:00:00"/>
    <x v="3"/>
    <x v="1"/>
    <x v="1"/>
    <x v="0"/>
    <x v="3"/>
    <n v="2"/>
    <n v="62.05"/>
    <n v="18"/>
    <n v="80"/>
    <n v="40.64"/>
    <x v="0"/>
    <n v="2"/>
    <n v="124.1"/>
    <n v="142.1"/>
    <x v="0"/>
  </r>
  <r>
    <s v="ORD-11428"/>
    <x v="650"/>
    <d v="2025-03-19T00:00:00"/>
    <x v="6"/>
    <x v="3"/>
    <x v="3"/>
    <x v="2"/>
    <x v="3"/>
    <n v="3"/>
    <n v="556.25"/>
    <n v="37.5"/>
    <n v="237"/>
    <n v="565.30999999999995"/>
    <x v="1"/>
    <n v="11"/>
    <n v="1668.75"/>
    <n v="1706.25"/>
    <x v="0"/>
  </r>
  <r>
    <s v="ORD-11429"/>
    <x v="650"/>
    <d v="2025-03-20T00:00:00"/>
    <x v="2"/>
    <x v="1"/>
    <x v="1"/>
    <x v="2"/>
    <x v="1"/>
    <n v="1"/>
    <n v="57.13"/>
    <n v="12"/>
    <n v="365"/>
    <n v="16.850000000000001"/>
    <x v="1"/>
    <n v="12"/>
    <n v="57.13"/>
    <n v="69.13"/>
    <x v="0"/>
  </r>
  <r>
    <s v="ORD-11430"/>
    <x v="650"/>
    <d v="2025-03-24T00:00:00"/>
    <x v="1"/>
    <x v="0"/>
    <x v="0"/>
    <x v="2"/>
    <x v="1"/>
    <n v="9"/>
    <n v="32.44"/>
    <n v="8"/>
    <n v="227"/>
    <n v="19.350000000000001"/>
    <x v="1"/>
    <n v="16"/>
    <n v="291.95999999999998"/>
    <n v="299.95999999999998"/>
    <x v="0"/>
  </r>
  <r>
    <s v="ORD-11431"/>
    <x v="651"/>
    <d v="2025-03-11T00:00:00"/>
    <x v="2"/>
    <x v="1"/>
    <x v="1"/>
    <x v="1"/>
    <x v="2"/>
    <n v="2"/>
    <n v="52.18"/>
    <n v="12"/>
    <n v="285"/>
    <n v="35.75"/>
    <x v="0"/>
    <n v="1"/>
    <n v="104.36"/>
    <n v="116.36"/>
    <x v="0"/>
  </r>
  <r>
    <s v="ORD-11432"/>
    <x v="651"/>
    <d v="2025-03-17T00:00:00"/>
    <x v="13"/>
    <x v="4"/>
    <x v="4"/>
    <x v="2"/>
    <x v="1"/>
    <n v="4"/>
    <n v="22"/>
    <n v="12"/>
    <n v="181"/>
    <n v="33.61"/>
    <x v="2"/>
    <n v="7"/>
    <n v="88"/>
    <n v="100"/>
    <x v="0"/>
  </r>
  <r>
    <s v="ORD-11433"/>
    <x v="651"/>
    <d v="2025-03-14T00:00:00"/>
    <x v="8"/>
    <x v="2"/>
    <x v="2"/>
    <x v="0"/>
    <x v="2"/>
    <n v="2"/>
    <n v="239.63"/>
    <n v="75"/>
    <n v="138"/>
    <n v="58.35"/>
    <x v="0"/>
    <n v="4"/>
    <n v="479.26"/>
    <n v="554.26"/>
    <x v="0"/>
  </r>
  <r>
    <s v="ORD-11434"/>
    <x v="652"/>
    <d v="2025-03-12T00:00:00"/>
    <x v="12"/>
    <x v="3"/>
    <x v="3"/>
    <x v="1"/>
    <x v="1"/>
    <n v="3"/>
    <n v="1132.27"/>
    <n v="25"/>
    <n v="328"/>
    <n v="1176.3800000000001"/>
    <x v="0"/>
    <n v="1"/>
    <n v="3396.81"/>
    <n v="3421.81"/>
    <x v="0"/>
  </r>
  <r>
    <s v="ORD-11435"/>
    <x v="652"/>
    <d v="2025-03-15T00:00:00"/>
    <x v="14"/>
    <x v="4"/>
    <x v="4"/>
    <x v="2"/>
    <x v="1"/>
    <n v="4"/>
    <n v="65.13"/>
    <n v="12"/>
    <n v="384"/>
    <n v="111.24"/>
    <x v="0"/>
    <n v="4"/>
    <n v="260.52"/>
    <n v="272.52"/>
    <x v="0"/>
  </r>
  <r>
    <s v="ORD-11436"/>
    <x v="652"/>
    <d v="2025-03-15T00:00:00"/>
    <x v="7"/>
    <x v="1"/>
    <x v="1"/>
    <x v="2"/>
    <x v="3"/>
    <n v="3"/>
    <n v="112.09"/>
    <n v="18"/>
    <n v="308"/>
    <n v="125.51"/>
    <x v="0"/>
    <n v="4"/>
    <n v="336.27"/>
    <n v="354.27"/>
    <x v="0"/>
  </r>
  <r>
    <s v="ORD-11437"/>
    <x v="652"/>
    <d v="2025-03-13T00:00:00"/>
    <x v="10"/>
    <x v="0"/>
    <x v="0"/>
    <x v="1"/>
    <x v="1"/>
    <n v="10"/>
    <n v="45.53"/>
    <n v="8"/>
    <n v="159"/>
    <n v="32.43"/>
    <x v="0"/>
    <n v="2"/>
    <n v="455.3"/>
    <n v="463.3"/>
    <x v="0"/>
  </r>
  <r>
    <s v="ORD-11438"/>
    <x v="653"/>
    <d v="2025-03-13T00:00:00"/>
    <x v="2"/>
    <x v="1"/>
    <x v="1"/>
    <x v="0"/>
    <x v="2"/>
    <n v="2"/>
    <n v="23.09"/>
    <n v="12"/>
    <n v="377"/>
    <n v="12.48"/>
    <x v="0"/>
    <n v="1"/>
    <n v="46.18"/>
    <n v="58.18"/>
    <x v="0"/>
  </r>
  <r>
    <s v="ORD-11439"/>
    <x v="653"/>
    <d v="2025-03-17T00:00:00"/>
    <x v="15"/>
    <x v="4"/>
    <x v="4"/>
    <x v="1"/>
    <x v="0"/>
    <n v="3"/>
    <n v="30.46"/>
    <n v="12"/>
    <n v="350"/>
    <n v="35.119999999999997"/>
    <x v="0"/>
    <n v="5"/>
    <n v="91.38"/>
    <n v="103.38"/>
    <x v="0"/>
  </r>
  <r>
    <s v="ORD-11440"/>
    <x v="653"/>
    <d v="2025-03-15T00:00:00"/>
    <x v="2"/>
    <x v="1"/>
    <x v="1"/>
    <x v="1"/>
    <x v="0"/>
    <n v="3"/>
    <n v="147.52000000000001"/>
    <n v="12"/>
    <n v="102"/>
    <n v="171.03"/>
    <x v="0"/>
    <n v="3"/>
    <n v="442.56000000000006"/>
    <n v="454.56000000000006"/>
    <x v="0"/>
  </r>
  <r>
    <s v="ORD-11441"/>
    <x v="654"/>
    <d v="2025-03-15T00:00:00"/>
    <x v="1"/>
    <x v="0"/>
    <x v="0"/>
    <x v="2"/>
    <x v="1"/>
    <n v="9"/>
    <n v="22.84"/>
    <n v="8"/>
    <n v="201"/>
    <n v="12.44"/>
    <x v="0"/>
    <n v="1"/>
    <n v="205.56"/>
    <n v="213.56"/>
    <x v="0"/>
  </r>
  <r>
    <s v="ORD-11442"/>
    <x v="655"/>
    <d v="2025-03-29T00:00:00"/>
    <x v="14"/>
    <x v="4"/>
    <x v="4"/>
    <x v="2"/>
    <x v="3"/>
    <n v="4"/>
    <n v="80.599999999999994"/>
    <n v="18"/>
    <n v="195"/>
    <n v="136.08000000000001"/>
    <x v="1"/>
    <n v="14"/>
    <n v="322.39999999999998"/>
    <n v="340.4"/>
    <x v="0"/>
  </r>
  <r>
    <s v="ORD-11443"/>
    <x v="655"/>
    <d v="2025-03-16T00:00:00"/>
    <x v="6"/>
    <x v="3"/>
    <x v="3"/>
    <x v="2"/>
    <x v="3"/>
    <n v="2"/>
    <n v="713.21"/>
    <n v="37.5"/>
    <n v="77"/>
    <n v="480.5"/>
    <x v="0"/>
    <n v="1"/>
    <n v="1426.42"/>
    <n v="1463.92"/>
    <x v="0"/>
  </r>
  <r>
    <s v="ORD-11444"/>
    <x v="655"/>
    <d v="2025-03-18T00:00:00"/>
    <x v="15"/>
    <x v="4"/>
    <x v="4"/>
    <x v="2"/>
    <x v="3"/>
    <n v="2"/>
    <n v="143.47"/>
    <n v="18"/>
    <n v="218"/>
    <n v="120.13"/>
    <x v="0"/>
    <n v="3"/>
    <n v="286.94"/>
    <n v="304.94"/>
    <x v="0"/>
  </r>
  <r>
    <s v="ORD-11445"/>
    <x v="655"/>
    <d v="2025-03-28T00:00:00"/>
    <x v="10"/>
    <x v="0"/>
    <x v="0"/>
    <x v="2"/>
    <x v="3"/>
    <n v="7"/>
    <n v="12.43"/>
    <n v="12"/>
    <n v="5"/>
    <n v="0.96"/>
    <x v="1"/>
    <n v="13"/>
    <n v="87.009999999999991"/>
    <n v="99.009999999999991"/>
    <x v="2"/>
  </r>
  <r>
    <s v="ORD-11446"/>
    <x v="655"/>
    <d v="2025-03-29T00:00:00"/>
    <x v="10"/>
    <x v="0"/>
    <x v="0"/>
    <x v="2"/>
    <x v="1"/>
    <n v="12"/>
    <n v="31.53"/>
    <n v="8"/>
    <n v="134"/>
    <n v="26.27"/>
    <x v="1"/>
    <n v="14"/>
    <n v="378.36"/>
    <n v="386.36"/>
    <x v="0"/>
  </r>
  <r>
    <s v="ORD-11447"/>
    <x v="655"/>
    <d v="2025-03-24T00:00:00"/>
    <x v="7"/>
    <x v="1"/>
    <x v="1"/>
    <x v="2"/>
    <x v="1"/>
    <n v="1"/>
    <n v="131.78"/>
    <n v="12"/>
    <n v="118"/>
    <n v="46.71"/>
    <x v="2"/>
    <n v="9"/>
    <n v="131.78"/>
    <n v="143.78"/>
    <x v="0"/>
  </r>
  <r>
    <s v="ORD-11448"/>
    <x v="656"/>
    <d v="2025-03-17T00:00:00"/>
    <x v="12"/>
    <x v="3"/>
    <x v="3"/>
    <x v="1"/>
    <x v="0"/>
    <n v="1"/>
    <n v="974.02"/>
    <n v="25"/>
    <n v="393"/>
    <n v="328.41"/>
    <x v="0"/>
    <n v="1"/>
    <n v="974.02"/>
    <n v="999.02"/>
    <x v="0"/>
  </r>
  <r>
    <s v="ORD-11449"/>
    <x v="656"/>
    <d v="2025-03-17T00:00:00"/>
    <x v="12"/>
    <x v="3"/>
    <x v="3"/>
    <x v="2"/>
    <x v="3"/>
    <n v="3"/>
    <n v="1092.83"/>
    <n v="37.5"/>
    <n v="221"/>
    <n v="1128.72"/>
    <x v="0"/>
    <n v="1"/>
    <n v="3278.49"/>
    <n v="3315.99"/>
    <x v="0"/>
  </r>
  <r>
    <s v="ORD-11450"/>
    <x v="656"/>
    <d v="2025-03-20T00:00:00"/>
    <x v="1"/>
    <x v="0"/>
    <x v="0"/>
    <x v="2"/>
    <x v="1"/>
    <n v="11"/>
    <n v="38.96"/>
    <n v="8"/>
    <n v="3"/>
    <n v="30.29"/>
    <x v="0"/>
    <n v="4"/>
    <n v="428.56"/>
    <n v="436.56"/>
    <x v="2"/>
  </r>
  <r>
    <s v="ORD-11451"/>
    <x v="656"/>
    <d v="2025-03-17T00:00:00"/>
    <x v="5"/>
    <x v="3"/>
    <x v="3"/>
    <x v="2"/>
    <x v="3"/>
    <n v="3"/>
    <n v="570.16"/>
    <n v="37.5"/>
    <n v="145"/>
    <n v="579.91999999999996"/>
    <x v="0"/>
    <n v="1"/>
    <n v="1710.48"/>
    <n v="1747.98"/>
    <x v="0"/>
  </r>
  <r>
    <s v="ORD-11452"/>
    <x v="657"/>
    <d v="2025-03-29T00:00:00"/>
    <x v="4"/>
    <x v="2"/>
    <x v="2"/>
    <x v="2"/>
    <x v="3"/>
    <n v="2"/>
    <n v="365.22"/>
    <n v="112.5"/>
    <n v="140"/>
    <n v="89.84"/>
    <x v="1"/>
    <n v="12"/>
    <n v="730.44"/>
    <n v="842.94"/>
    <x v="0"/>
  </r>
  <r>
    <s v="ORD-11453"/>
    <x v="657"/>
    <d v="2025-03-25T00:00:00"/>
    <x v="1"/>
    <x v="0"/>
    <x v="0"/>
    <x v="2"/>
    <x v="0"/>
    <n v="8"/>
    <n v="45.94"/>
    <n v="8"/>
    <n v="247"/>
    <n v="25.4"/>
    <x v="2"/>
    <n v="8"/>
    <n v="367.52"/>
    <n v="375.52"/>
    <x v="0"/>
  </r>
  <r>
    <s v="ORD-11454"/>
    <x v="658"/>
    <d v="2025-03-20T00:00:00"/>
    <x v="3"/>
    <x v="1"/>
    <x v="1"/>
    <x v="1"/>
    <x v="2"/>
    <n v="3"/>
    <n v="79.349999999999994"/>
    <n v="12"/>
    <n v="267"/>
    <n v="89.22"/>
    <x v="0"/>
    <n v="1"/>
    <n v="238.04999999999998"/>
    <n v="250.04999999999998"/>
    <x v="0"/>
  </r>
  <r>
    <s v="ORD-11455"/>
    <x v="659"/>
    <d v="2025-03-26T00:00:00"/>
    <x v="4"/>
    <x v="2"/>
    <x v="2"/>
    <x v="0"/>
    <x v="1"/>
    <n v="1"/>
    <n v="437.28"/>
    <n v="75"/>
    <n v="131"/>
    <n v="49.96"/>
    <x v="0"/>
    <n v="4"/>
    <n v="437.28"/>
    <n v="512.28"/>
    <x v="0"/>
  </r>
  <r>
    <s v="ORD-11456"/>
    <x v="660"/>
    <d v="2025-03-29T00:00:00"/>
    <x v="13"/>
    <x v="4"/>
    <x v="4"/>
    <x v="2"/>
    <x v="3"/>
    <n v="4"/>
    <n v="120.05"/>
    <n v="18"/>
    <n v="179"/>
    <n v="207.09"/>
    <x v="0"/>
    <n v="5"/>
    <n v="480.2"/>
    <n v="498.2"/>
    <x v="0"/>
  </r>
  <r>
    <s v="ORD-11457"/>
    <x v="660"/>
    <d v="2025-04-02T00:00:00"/>
    <x v="1"/>
    <x v="0"/>
    <x v="0"/>
    <x v="2"/>
    <x v="0"/>
    <n v="6"/>
    <n v="43"/>
    <n v="8"/>
    <n v="56"/>
    <n v="16.64"/>
    <x v="2"/>
    <n v="9"/>
    <n v="258"/>
    <n v="266"/>
    <x v="0"/>
  </r>
  <r>
    <s v="ORD-11458"/>
    <x v="660"/>
    <d v="2025-04-02T00:00:00"/>
    <x v="2"/>
    <x v="1"/>
    <x v="1"/>
    <x v="2"/>
    <x v="3"/>
    <n v="1"/>
    <n v="140.22999999999999"/>
    <n v="18"/>
    <n v="316"/>
    <n v="47.09"/>
    <x v="2"/>
    <n v="9"/>
    <n v="140.22999999999999"/>
    <n v="158.22999999999999"/>
    <x v="0"/>
  </r>
  <r>
    <s v="ORD-11459"/>
    <x v="660"/>
    <d v="2025-03-28T00:00:00"/>
    <x v="0"/>
    <x v="0"/>
    <x v="0"/>
    <x v="1"/>
    <x v="1"/>
    <n v="12"/>
    <n v="14.26"/>
    <n v="8"/>
    <n v="314"/>
    <n v="9.69"/>
    <x v="0"/>
    <n v="4"/>
    <n v="171.12"/>
    <n v="179.12"/>
    <x v="0"/>
  </r>
  <r>
    <s v="ORD-11460"/>
    <x v="661"/>
    <d v="2025-03-26T00:00:00"/>
    <x v="1"/>
    <x v="0"/>
    <x v="0"/>
    <x v="0"/>
    <x v="3"/>
    <n v="14"/>
    <n v="41.57"/>
    <n v="12"/>
    <n v="315"/>
    <n v="40.549999999999997"/>
    <x v="0"/>
    <n v="1"/>
    <n v="581.98"/>
    <n v="593.98"/>
    <x v="0"/>
  </r>
  <r>
    <s v="ORD-11461"/>
    <x v="661"/>
    <d v="2025-03-30T00:00:00"/>
    <x v="11"/>
    <x v="3"/>
    <x v="3"/>
    <x v="1"/>
    <x v="1"/>
    <n v="1"/>
    <n v="926.23"/>
    <n v="25"/>
    <n v="298"/>
    <n v="311.68"/>
    <x v="0"/>
    <n v="5"/>
    <n v="926.23"/>
    <n v="951.23"/>
    <x v="0"/>
  </r>
  <r>
    <s v="ORD-11462"/>
    <x v="661"/>
    <d v="2025-03-30T00:00:00"/>
    <x v="0"/>
    <x v="0"/>
    <x v="0"/>
    <x v="0"/>
    <x v="1"/>
    <n v="10"/>
    <n v="34.83"/>
    <n v="8"/>
    <n v="108"/>
    <n v="23.87"/>
    <x v="0"/>
    <n v="5"/>
    <n v="348.29999999999995"/>
    <n v="356.29999999999995"/>
    <x v="0"/>
  </r>
  <r>
    <s v="ORD-11463"/>
    <x v="661"/>
    <d v="2025-03-30T00:00:00"/>
    <x v="2"/>
    <x v="1"/>
    <x v="1"/>
    <x v="1"/>
    <x v="1"/>
    <n v="5"/>
    <n v="21.15"/>
    <n v="12"/>
    <n v="31"/>
    <n v="36.299999999999997"/>
    <x v="0"/>
    <n v="5"/>
    <n v="105.75"/>
    <n v="117.75"/>
    <x v="1"/>
  </r>
  <r>
    <s v="ORD-11464"/>
    <x v="662"/>
    <d v="2025-03-29T00:00:00"/>
    <x v="7"/>
    <x v="1"/>
    <x v="1"/>
    <x v="2"/>
    <x v="3"/>
    <n v="1"/>
    <n v="131.62"/>
    <n v="18"/>
    <n v="195"/>
    <n v="43.65"/>
    <x v="0"/>
    <n v="3"/>
    <n v="131.62"/>
    <n v="149.62"/>
    <x v="0"/>
  </r>
  <r>
    <s v="ORD-11465"/>
    <x v="662"/>
    <d v="2025-03-28T00:00:00"/>
    <x v="0"/>
    <x v="0"/>
    <x v="0"/>
    <x v="2"/>
    <x v="3"/>
    <n v="14"/>
    <n v="19.95"/>
    <n v="12"/>
    <n v="355"/>
    <n v="16.34"/>
    <x v="0"/>
    <n v="2"/>
    <n v="279.3"/>
    <n v="291.3"/>
    <x v="0"/>
  </r>
  <r>
    <s v="ORD-11466"/>
    <x v="662"/>
    <d v="2025-03-31T00:00:00"/>
    <x v="2"/>
    <x v="1"/>
    <x v="1"/>
    <x v="0"/>
    <x v="2"/>
    <n v="3"/>
    <n v="103.02"/>
    <n v="12"/>
    <n v="287"/>
    <n v="117.63"/>
    <x v="0"/>
    <n v="5"/>
    <n v="309.06"/>
    <n v="321.06"/>
    <x v="0"/>
  </r>
  <r>
    <s v="ORD-11467"/>
    <x v="662"/>
    <d v="2025-03-31T00:00:00"/>
    <x v="3"/>
    <x v="1"/>
    <x v="1"/>
    <x v="2"/>
    <x v="1"/>
    <n v="2"/>
    <n v="120.1"/>
    <n v="12"/>
    <n v="49"/>
    <n v="90.08"/>
    <x v="0"/>
    <n v="5"/>
    <n v="240.2"/>
    <n v="252.2"/>
    <x v="1"/>
  </r>
  <r>
    <s v="ORD-11468"/>
    <x v="662"/>
    <d v="2025-03-30T00:00:00"/>
    <x v="10"/>
    <x v="0"/>
    <x v="0"/>
    <x v="0"/>
    <x v="2"/>
    <n v="10"/>
    <n v="46.89"/>
    <n v="8"/>
    <n v="253"/>
    <n v="33.51"/>
    <x v="0"/>
    <n v="4"/>
    <n v="468.9"/>
    <n v="476.9"/>
    <x v="0"/>
  </r>
  <r>
    <s v="ORD-11469"/>
    <x v="662"/>
    <d v="2025-04-03T00:00:00"/>
    <x v="14"/>
    <x v="4"/>
    <x v="4"/>
    <x v="2"/>
    <x v="0"/>
    <n v="5"/>
    <n v="138.93"/>
    <n v="12"/>
    <n v="371"/>
    <n v="306.58"/>
    <x v="2"/>
    <n v="8"/>
    <n v="694.65000000000009"/>
    <n v="706.65000000000009"/>
    <x v="0"/>
  </r>
  <r>
    <s v="ORD-11470"/>
    <x v="663"/>
    <d v="2025-04-08T00:00:00"/>
    <x v="9"/>
    <x v="2"/>
    <x v="2"/>
    <x v="2"/>
    <x v="3"/>
    <n v="1"/>
    <n v="262.08999999999997"/>
    <n v="112.5"/>
    <n v="300"/>
    <n v="-3.83"/>
    <x v="1"/>
    <n v="12"/>
    <n v="262.08999999999997"/>
    <n v="374.59"/>
    <x v="0"/>
  </r>
  <r>
    <s v="ORD-11471"/>
    <x v="663"/>
    <d v="2025-03-29T00:00:00"/>
    <x v="12"/>
    <x v="3"/>
    <x v="3"/>
    <x v="2"/>
    <x v="3"/>
    <n v="3"/>
    <n v="877.16"/>
    <n v="37.5"/>
    <n v="323"/>
    <n v="902.27"/>
    <x v="0"/>
    <n v="2"/>
    <n v="2631.48"/>
    <n v="2668.98"/>
    <x v="0"/>
  </r>
  <r>
    <s v="ORD-11472"/>
    <x v="664"/>
    <d v="2025-04-01T00:00:00"/>
    <x v="12"/>
    <x v="3"/>
    <x v="3"/>
    <x v="0"/>
    <x v="0"/>
    <n v="2"/>
    <n v="668.41"/>
    <n v="25"/>
    <n v="155"/>
    <n v="455.39"/>
    <x v="0"/>
    <n v="3"/>
    <n v="1336.82"/>
    <n v="1361.82"/>
    <x v="0"/>
  </r>
  <r>
    <s v="ORD-11473"/>
    <x v="665"/>
    <d v="2025-04-16T00:00:00"/>
    <x v="15"/>
    <x v="4"/>
    <x v="4"/>
    <x v="2"/>
    <x v="3"/>
    <n v="2"/>
    <n v="33.450000000000003"/>
    <n v="18"/>
    <n v="215"/>
    <n v="21.1"/>
    <x v="1"/>
    <n v="17"/>
    <n v="66.900000000000006"/>
    <n v="84.9"/>
    <x v="0"/>
  </r>
  <r>
    <s v="ORD-11474"/>
    <x v="665"/>
    <d v="2025-04-04T00:00:00"/>
    <x v="3"/>
    <x v="1"/>
    <x v="1"/>
    <x v="0"/>
    <x v="2"/>
    <n v="4"/>
    <n v="114.57"/>
    <n v="12"/>
    <n v="200"/>
    <n v="177.31"/>
    <x v="0"/>
    <n v="5"/>
    <n v="458.28"/>
    <n v="470.28"/>
    <x v="0"/>
  </r>
  <r>
    <s v="ORD-11475"/>
    <x v="666"/>
    <d v="2025-04-01T00:00:00"/>
    <x v="8"/>
    <x v="2"/>
    <x v="2"/>
    <x v="0"/>
    <x v="0"/>
    <n v="1"/>
    <n v="380.63"/>
    <n v="75"/>
    <n v="292"/>
    <n v="38.630000000000003"/>
    <x v="0"/>
    <n v="1"/>
    <n v="380.63"/>
    <n v="455.63"/>
    <x v="0"/>
  </r>
  <r>
    <s v="ORD-11476"/>
    <x v="666"/>
    <d v="2025-04-02T00:00:00"/>
    <x v="0"/>
    <x v="0"/>
    <x v="0"/>
    <x v="0"/>
    <x v="1"/>
    <n v="13"/>
    <n v="35.81"/>
    <n v="8"/>
    <n v="154"/>
    <n v="33.24"/>
    <x v="0"/>
    <n v="2"/>
    <n v="465.53000000000003"/>
    <n v="473.53000000000003"/>
    <x v="0"/>
  </r>
  <r>
    <s v="ORD-11477"/>
    <x v="667"/>
    <d v="2025-04-02T00:00:00"/>
    <x v="4"/>
    <x v="2"/>
    <x v="2"/>
    <x v="2"/>
    <x v="0"/>
    <n v="2"/>
    <n v="326.67"/>
    <n v="75"/>
    <n v="243"/>
    <n v="93.17"/>
    <x v="0"/>
    <n v="1"/>
    <n v="653.34"/>
    <n v="728.34"/>
    <x v="0"/>
  </r>
  <r>
    <s v="ORD-11478"/>
    <x v="667"/>
    <d v="2025-04-03T00:00:00"/>
    <x v="1"/>
    <x v="0"/>
    <x v="0"/>
    <x v="2"/>
    <x v="2"/>
    <n v="11"/>
    <n v="27.7"/>
    <n v="8"/>
    <n v="4"/>
    <n v="20.38"/>
    <x v="0"/>
    <n v="2"/>
    <n v="304.7"/>
    <n v="312.7"/>
    <x v="2"/>
  </r>
  <r>
    <s v="ORD-11479"/>
    <x v="667"/>
    <d v="2025-04-05T00:00:00"/>
    <x v="1"/>
    <x v="0"/>
    <x v="0"/>
    <x v="2"/>
    <x v="3"/>
    <n v="11"/>
    <n v="49.4"/>
    <n v="12"/>
    <n v="385"/>
    <n v="37.47"/>
    <x v="0"/>
    <n v="4"/>
    <n v="543.4"/>
    <n v="555.4"/>
    <x v="0"/>
  </r>
  <r>
    <s v="ORD-11480"/>
    <x v="667"/>
    <d v="2025-04-04T00:00:00"/>
    <x v="10"/>
    <x v="0"/>
    <x v="0"/>
    <x v="2"/>
    <x v="3"/>
    <n v="5"/>
    <n v="49.42"/>
    <n v="12"/>
    <n v="352"/>
    <n v="13.77"/>
    <x v="0"/>
    <n v="3"/>
    <n v="247.10000000000002"/>
    <n v="259.10000000000002"/>
    <x v="0"/>
  </r>
  <r>
    <s v="ORD-11481"/>
    <x v="668"/>
    <d v="2025-04-05T00:00:00"/>
    <x v="15"/>
    <x v="4"/>
    <x v="4"/>
    <x v="1"/>
    <x v="2"/>
    <n v="5"/>
    <n v="43.5"/>
    <n v="12"/>
    <n v="151"/>
    <n v="91.88"/>
    <x v="0"/>
    <n v="3"/>
    <n v="217.5"/>
    <n v="229.5"/>
    <x v="0"/>
  </r>
  <r>
    <s v="ORD-11482"/>
    <x v="668"/>
    <d v="2025-04-07T00:00:00"/>
    <x v="13"/>
    <x v="4"/>
    <x v="4"/>
    <x v="1"/>
    <x v="2"/>
    <n v="4"/>
    <n v="105.52"/>
    <n v="12"/>
    <n v="340"/>
    <n v="183.93"/>
    <x v="0"/>
    <n v="5"/>
    <n v="422.08"/>
    <n v="434.08"/>
    <x v="0"/>
  </r>
  <r>
    <s v="ORD-11483"/>
    <x v="668"/>
    <d v="2025-04-04T00:00:00"/>
    <x v="12"/>
    <x v="3"/>
    <x v="3"/>
    <x v="2"/>
    <x v="3"/>
    <n v="3"/>
    <n v="289.02"/>
    <n v="37.5"/>
    <n v="306"/>
    <n v="284.72000000000003"/>
    <x v="0"/>
    <n v="2"/>
    <n v="867.06"/>
    <n v="904.56"/>
    <x v="0"/>
  </r>
  <r>
    <s v="ORD-11484"/>
    <x v="668"/>
    <d v="2025-04-06T00:00:00"/>
    <x v="10"/>
    <x v="0"/>
    <x v="0"/>
    <x v="0"/>
    <x v="1"/>
    <n v="12"/>
    <n v="20.079999999999998"/>
    <n v="8"/>
    <n v="182"/>
    <n v="15.28"/>
    <x v="0"/>
    <n v="4"/>
    <n v="240.95999999999998"/>
    <n v="248.95999999999998"/>
    <x v="0"/>
  </r>
  <r>
    <s v="ORD-11485"/>
    <x v="669"/>
    <d v="2025-04-04T00:00:00"/>
    <x v="1"/>
    <x v="0"/>
    <x v="0"/>
    <x v="2"/>
    <x v="3"/>
    <n v="13"/>
    <n v="30.64"/>
    <n v="12"/>
    <n v="196"/>
    <n v="25.87"/>
    <x v="0"/>
    <n v="1"/>
    <n v="398.32"/>
    <n v="410.32"/>
    <x v="0"/>
  </r>
  <r>
    <s v="ORD-11486"/>
    <x v="669"/>
    <d v="2025-04-04T00:00:00"/>
    <x v="1"/>
    <x v="0"/>
    <x v="0"/>
    <x v="2"/>
    <x v="3"/>
    <n v="11"/>
    <n v="30.52"/>
    <n v="12"/>
    <n v="367"/>
    <n v="20.86"/>
    <x v="0"/>
    <n v="1"/>
    <n v="335.71999999999997"/>
    <n v="347.71999999999997"/>
    <x v="0"/>
  </r>
  <r>
    <s v="ORD-11487"/>
    <x v="670"/>
    <d v="2025-04-19T00:00:00"/>
    <x v="1"/>
    <x v="0"/>
    <x v="0"/>
    <x v="2"/>
    <x v="1"/>
    <n v="9"/>
    <n v="48.02"/>
    <n v="8"/>
    <n v="99"/>
    <n v="30.57"/>
    <x v="1"/>
    <n v="15"/>
    <n v="432.18"/>
    <n v="440.18"/>
    <x v="0"/>
  </r>
  <r>
    <s v="ORD-11488"/>
    <x v="670"/>
    <d v="2025-04-08T00:00:00"/>
    <x v="9"/>
    <x v="2"/>
    <x v="2"/>
    <x v="0"/>
    <x v="1"/>
    <n v="1"/>
    <n v="111.64"/>
    <n v="75"/>
    <n v="34"/>
    <n v="-15.17"/>
    <x v="0"/>
    <n v="4"/>
    <n v="111.64"/>
    <n v="186.64"/>
    <x v="1"/>
  </r>
  <r>
    <s v="ORD-11489"/>
    <x v="671"/>
    <d v="2025-04-08T00:00:00"/>
    <x v="10"/>
    <x v="0"/>
    <x v="0"/>
    <x v="0"/>
    <x v="1"/>
    <n v="14"/>
    <n v="15.48"/>
    <n v="8"/>
    <n v="375"/>
    <n v="13.34"/>
    <x v="0"/>
    <n v="3"/>
    <n v="216.72"/>
    <n v="224.72"/>
    <x v="0"/>
  </r>
  <r>
    <s v="ORD-11490"/>
    <x v="671"/>
    <d v="2025-04-07T00:00:00"/>
    <x v="9"/>
    <x v="2"/>
    <x v="2"/>
    <x v="0"/>
    <x v="0"/>
    <n v="2"/>
    <n v="132.51"/>
    <n v="75"/>
    <n v="333"/>
    <n v="-39.75"/>
    <x v="0"/>
    <n v="2"/>
    <n v="265.02"/>
    <n v="340.02"/>
    <x v="0"/>
  </r>
  <r>
    <s v="ORD-11491"/>
    <x v="672"/>
    <d v="2025-04-16T00:00:00"/>
    <x v="10"/>
    <x v="0"/>
    <x v="0"/>
    <x v="2"/>
    <x v="3"/>
    <n v="5"/>
    <n v="10.89"/>
    <n v="12"/>
    <n v="225"/>
    <n v="-1.64"/>
    <x v="2"/>
    <n v="10"/>
    <n v="54.45"/>
    <n v="66.45"/>
    <x v="0"/>
  </r>
  <r>
    <s v="ORD-11492"/>
    <x v="672"/>
    <d v="2025-04-11T00:00:00"/>
    <x v="15"/>
    <x v="4"/>
    <x v="4"/>
    <x v="1"/>
    <x v="0"/>
    <n v="4"/>
    <n v="44.8"/>
    <n v="12"/>
    <n v="386"/>
    <n v="74.64"/>
    <x v="0"/>
    <n v="5"/>
    <n v="179.2"/>
    <n v="191.2"/>
    <x v="0"/>
  </r>
  <r>
    <s v="ORD-11493"/>
    <x v="673"/>
    <d v="2025-04-08T00:00:00"/>
    <x v="8"/>
    <x v="2"/>
    <x v="2"/>
    <x v="2"/>
    <x v="3"/>
    <n v="2"/>
    <n v="468.74"/>
    <n v="112.5"/>
    <n v="93"/>
    <n v="131.25"/>
    <x v="0"/>
    <n v="1"/>
    <n v="937.48"/>
    <n v="1049.98"/>
    <x v="0"/>
  </r>
  <r>
    <s v="ORD-11494"/>
    <x v="673"/>
    <d v="2025-04-24T00:00:00"/>
    <x v="14"/>
    <x v="4"/>
    <x v="4"/>
    <x v="2"/>
    <x v="0"/>
    <n v="4"/>
    <n v="71.89"/>
    <n v="12"/>
    <n v="81"/>
    <n v="123.4"/>
    <x v="1"/>
    <n v="17"/>
    <n v="287.56"/>
    <n v="299.56"/>
    <x v="0"/>
  </r>
  <r>
    <s v="ORD-11495"/>
    <x v="673"/>
    <d v="2025-04-12T00:00:00"/>
    <x v="2"/>
    <x v="1"/>
    <x v="1"/>
    <x v="2"/>
    <x v="1"/>
    <n v="3"/>
    <n v="141.24"/>
    <n v="12"/>
    <n v="266"/>
    <n v="163.49"/>
    <x v="0"/>
    <n v="5"/>
    <n v="423.72"/>
    <n v="435.72"/>
    <x v="0"/>
  </r>
  <r>
    <s v="ORD-11496"/>
    <x v="673"/>
    <d v="2025-04-09T00:00:00"/>
    <x v="12"/>
    <x v="3"/>
    <x v="3"/>
    <x v="0"/>
    <x v="0"/>
    <n v="2"/>
    <n v="474.35"/>
    <n v="25"/>
    <n v="42"/>
    <n v="319.54000000000002"/>
    <x v="0"/>
    <n v="2"/>
    <n v="948.7"/>
    <n v="973.7"/>
    <x v="1"/>
  </r>
  <r>
    <s v="ORD-11497"/>
    <x v="674"/>
    <d v="2025-04-21T00:00:00"/>
    <x v="2"/>
    <x v="1"/>
    <x v="1"/>
    <x v="2"/>
    <x v="1"/>
    <n v="2"/>
    <n v="40.869999999999997"/>
    <n v="12"/>
    <n v="154"/>
    <n v="26.7"/>
    <x v="1"/>
    <n v="13"/>
    <n v="81.739999999999995"/>
    <n v="93.74"/>
    <x v="0"/>
  </r>
  <r>
    <s v="ORD-11498"/>
    <x v="675"/>
    <d v="2025-04-14T00:00:00"/>
    <x v="12"/>
    <x v="3"/>
    <x v="3"/>
    <x v="2"/>
    <x v="3"/>
    <n v="1"/>
    <n v="793.68"/>
    <n v="37.5"/>
    <n v="151"/>
    <n v="259.04000000000002"/>
    <x v="0"/>
    <n v="4"/>
    <n v="793.68"/>
    <n v="831.18"/>
    <x v="0"/>
  </r>
  <r>
    <s v="ORD-11499"/>
    <x v="675"/>
    <d v="2025-04-11T00:00:00"/>
    <x v="13"/>
    <x v="4"/>
    <x v="4"/>
    <x v="1"/>
    <x v="2"/>
    <n v="3"/>
    <n v="129.47"/>
    <n v="12"/>
    <n v="75"/>
    <n v="168.79"/>
    <x v="0"/>
    <n v="1"/>
    <n v="388.40999999999997"/>
    <n v="400.40999999999997"/>
    <x v="0"/>
  </r>
  <r>
    <s v="ORD-11500"/>
    <x v="675"/>
    <d v="2025-04-11T00:00:00"/>
    <x v="15"/>
    <x v="4"/>
    <x v="4"/>
    <x v="2"/>
    <x v="3"/>
    <n v="2"/>
    <n v="127.51"/>
    <n v="18"/>
    <n v="352"/>
    <n v="105.76"/>
    <x v="0"/>
    <n v="1"/>
    <n v="255.02"/>
    <n v="273.02"/>
    <x v="0"/>
  </r>
  <r>
    <s v="ORD-11501"/>
    <x v="676"/>
    <d v="2025-04-16T00:00:00"/>
    <x v="6"/>
    <x v="3"/>
    <x v="3"/>
    <x v="0"/>
    <x v="0"/>
    <n v="1"/>
    <n v="553.15"/>
    <n v="25"/>
    <n v="114"/>
    <n v="181.1"/>
    <x v="0"/>
    <n v="5"/>
    <n v="553.15"/>
    <n v="578.15"/>
    <x v="0"/>
  </r>
  <r>
    <s v="ORD-11502"/>
    <x v="677"/>
    <d v="2025-04-19T00:00:00"/>
    <x v="2"/>
    <x v="1"/>
    <x v="1"/>
    <x v="2"/>
    <x v="3"/>
    <n v="4"/>
    <n v="81.37"/>
    <n v="18"/>
    <n v="65"/>
    <n v="121.19"/>
    <x v="2"/>
    <n v="7"/>
    <n v="325.48"/>
    <n v="343.48"/>
    <x v="0"/>
  </r>
  <r>
    <s v="ORD-11503"/>
    <x v="677"/>
    <d v="2025-04-24T00:00:00"/>
    <x v="7"/>
    <x v="1"/>
    <x v="1"/>
    <x v="2"/>
    <x v="2"/>
    <n v="1"/>
    <n v="144.31"/>
    <n v="12"/>
    <n v="219"/>
    <n v="51.72"/>
    <x v="1"/>
    <n v="12"/>
    <n v="144.31"/>
    <n v="156.31"/>
    <x v="0"/>
  </r>
  <r>
    <s v="ORD-11504"/>
    <x v="678"/>
    <d v="2025-04-17T00:00:00"/>
    <x v="14"/>
    <x v="4"/>
    <x v="4"/>
    <x v="1"/>
    <x v="0"/>
    <n v="1"/>
    <n v="60.16"/>
    <n v="12"/>
    <n v="82"/>
    <n v="21.07"/>
    <x v="0"/>
    <n v="4"/>
    <n v="60.16"/>
    <n v="72.16"/>
    <x v="0"/>
  </r>
  <r>
    <s v="ORD-11505"/>
    <x v="679"/>
    <d v="2025-04-17T00:00:00"/>
    <x v="10"/>
    <x v="0"/>
    <x v="0"/>
    <x v="2"/>
    <x v="3"/>
    <n v="11"/>
    <n v="48.97"/>
    <n v="12"/>
    <n v="88"/>
    <n v="37.1"/>
    <x v="0"/>
    <n v="3"/>
    <n v="538.66999999999996"/>
    <n v="550.66999999999996"/>
    <x v="0"/>
  </r>
  <r>
    <s v="ORD-11506"/>
    <x v="680"/>
    <d v="2025-05-02T00:00:00"/>
    <x v="5"/>
    <x v="3"/>
    <x v="3"/>
    <x v="2"/>
    <x v="3"/>
    <n v="1"/>
    <n v="818.29"/>
    <n v="37.5"/>
    <n v="235"/>
    <n v="267.64999999999998"/>
    <x v="1"/>
    <n v="17"/>
    <n v="818.29"/>
    <n v="855.79"/>
    <x v="0"/>
  </r>
  <r>
    <s v="ORD-11507"/>
    <x v="680"/>
    <d v="2025-04-26T00:00:00"/>
    <x v="7"/>
    <x v="1"/>
    <x v="1"/>
    <x v="2"/>
    <x v="3"/>
    <n v="2"/>
    <n v="137.75"/>
    <n v="18"/>
    <n v="175"/>
    <n v="-41.33"/>
    <x v="1"/>
    <n v="11"/>
    <n v="275.5"/>
    <n v="293.5"/>
    <x v="0"/>
  </r>
  <r>
    <s v="ORD-11508"/>
    <x v="680"/>
    <d v="2025-04-17T00:00:00"/>
    <x v="8"/>
    <x v="2"/>
    <x v="2"/>
    <x v="2"/>
    <x v="0"/>
    <n v="1"/>
    <n v="456.2"/>
    <n v="75"/>
    <n v="196"/>
    <n v="53.74"/>
    <x v="0"/>
    <n v="2"/>
    <n v="456.2"/>
    <n v="531.20000000000005"/>
    <x v="0"/>
  </r>
  <r>
    <s v="ORD-11509"/>
    <x v="681"/>
    <d v="2025-04-17T00:00:00"/>
    <x v="1"/>
    <x v="0"/>
    <x v="0"/>
    <x v="0"/>
    <x v="0"/>
    <n v="14"/>
    <n v="30.51"/>
    <n v="8"/>
    <n v="22"/>
    <n v="30.17"/>
    <x v="0"/>
    <n v="1"/>
    <n v="427.14000000000004"/>
    <n v="435.14000000000004"/>
    <x v="1"/>
  </r>
  <r>
    <s v="ORD-11510"/>
    <x v="681"/>
    <d v="2025-04-19T00:00:00"/>
    <x v="0"/>
    <x v="0"/>
    <x v="0"/>
    <x v="2"/>
    <x v="3"/>
    <n v="9"/>
    <n v="41.46"/>
    <n v="12"/>
    <n v="67"/>
    <n v="23.85"/>
    <x v="0"/>
    <n v="3"/>
    <n v="373.14"/>
    <n v="385.14"/>
    <x v="0"/>
  </r>
  <r>
    <s v="ORD-11511"/>
    <x v="682"/>
    <d v="2025-04-29T00:00:00"/>
    <x v="10"/>
    <x v="0"/>
    <x v="0"/>
    <x v="2"/>
    <x v="0"/>
    <n v="5"/>
    <n v="44.47"/>
    <n v="8"/>
    <n v="367"/>
    <n v="13.79"/>
    <x v="1"/>
    <n v="12"/>
    <n v="222.35"/>
    <n v="230.35"/>
    <x v="0"/>
  </r>
  <r>
    <s v="ORD-11512"/>
    <x v="682"/>
    <d v="2025-04-20T00:00:00"/>
    <x v="4"/>
    <x v="2"/>
    <x v="2"/>
    <x v="2"/>
    <x v="3"/>
    <n v="2"/>
    <n v="117.13"/>
    <n v="112.5"/>
    <n v="177"/>
    <n v="-9.4"/>
    <x v="0"/>
    <n v="3"/>
    <n v="234.26"/>
    <n v="346.76"/>
    <x v="0"/>
  </r>
  <r>
    <s v="ORD-11513"/>
    <x v="682"/>
    <d v="2025-05-03T00:00:00"/>
    <x v="12"/>
    <x v="3"/>
    <x v="3"/>
    <x v="2"/>
    <x v="0"/>
    <n v="3"/>
    <n v="314.32"/>
    <n v="25"/>
    <n v="230"/>
    <n v="317.54000000000002"/>
    <x v="1"/>
    <n v="16"/>
    <n v="942.96"/>
    <n v="967.96"/>
    <x v="0"/>
  </r>
  <r>
    <s v="ORD-11514"/>
    <x v="682"/>
    <d v="2025-04-19T00:00:00"/>
    <x v="0"/>
    <x v="0"/>
    <x v="0"/>
    <x v="2"/>
    <x v="3"/>
    <n v="8"/>
    <n v="21.26"/>
    <n v="12"/>
    <n v="354"/>
    <n v="7.61"/>
    <x v="0"/>
    <n v="2"/>
    <n v="170.08"/>
    <n v="182.08"/>
    <x v="0"/>
  </r>
  <r>
    <s v="ORD-11515"/>
    <x v="683"/>
    <d v="2025-04-23T00:00:00"/>
    <x v="11"/>
    <x v="3"/>
    <x v="3"/>
    <x v="1"/>
    <x v="2"/>
    <n v="1"/>
    <n v="884.43"/>
    <n v="25"/>
    <n v="371"/>
    <n v="297.05"/>
    <x v="0"/>
    <n v="3"/>
    <n v="884.43"/>
    <n v="909.43"/>
    <x v="0"/>
  </r>
  <r>
    <s v="ORD-11516"/>
    <x v="684"/>
    <d v="2025-04-28T00:00:00"/>
    <x v="12"/>
    <x v="3"/>
    <x v="3"/>
    <x v="2"/>
    <x v="3"/>
    <n v="2"/>
    <n v="207.73"/>
    <n v="37.5"/>
    <n v="79"/>
    <n v="126.66"/>
    <x v="2"/>
    <n v="7"/>
    <n v="415.46"/>
    <n v="452.96"/>
    <x v="0"/>
  </r>
  <r>
    <s v="ORD-11517"/>
    <x v="685"/>
    <d v="2025-04-26T00:00:00"/>
    <x v="5"/>
    <x v="3"/>
    <x v="3"/>
    <x v="2"/>
    <x v="1"/>
    <n v="2"/>
    <n v="652.53"/>
    <n v="25"/>
    <n v="385"/>
    <n v="-195.76"/>
    <x v="0"/>
    <n v="4"/>
    <n v="1305.06"/>
    <n v="1330.06"/>
    <x v="0"/>
  </r>
  <r>
    <s v="ORD-11518"/>
    <x v="686"/>
    <d v="2025-04-27T00:00:00"/>
    <x v="8"/>
    <x v="2"/>
    <x v="2"/>
    <x v="1"/>
    <x v="2"/>
    <n v="1"/>
    <n v="412.74"/>
    <n v="75"/>
    <n v="339"/>
    <n v="45.05"/>
    <x v="0"/>
    <n v="4"/>
    <n v="412.74"/>
    <n v="487.74"/>
    <x v="0"/>
  </r>
  <r>
    <s v="ORD-11519"/>
    <x v="686"/>
    <d v="2025-04-28T00:00:00"/>
    <x v="10"/>
    <x v="0"/>
    <x v="0"/>
    <x v="2"/>
    <x v="0"/>
    <n v="11"/>
    <n v="33.049999999999997"/>
    <n v="8"/>
    <n v="296"/>
    <n v="25.08"/>
    <x v="0"/>
    <n v="5"/>
    <n v="363.54999999999995"/>
    <n v="371.54999999999995"/>
    <x v="0"/>
  </r>
  <r>
    <s v="ORD-11520"/>
    <x v="687"/>
    <d v="2025-04-29T00:00:00"/>
    <x v="3"/>
    <x v="1"/>
    <x v="1"/>
    <x v="2"/>
    <x v="3"/>
    <n v="2"/>
    <n v="95.65"/>
    <n v="18"/>
    <n v="341"/>
    <n v="67.52"/>
    <x v="0"/>
    <n v="5"/>
    <n v="191.3"/>
    <n v="209.3"/>
    <x v="0"/>
  </r>
  <r>
    <s v="ORD-11521"/>
    <x v="687"/>
    <d v="2025-04-25T00:00:00"/>
    <x v="13"/>
    <x v="4"/>
    <x v="4"/>
    <x v="0"/>
    <x v="2"/>
    <n v="4"/>
    <n v="66.290000000000006"/>
    <n v="12"/>
    <n v="290"/>
    <n v="113.33"/>
    <x v="0"/>
    <n v="1"/>
    <n v="265.16000000000003"/>
    <n v="277.16000000000003"/>
    <x v="0"/>
  </r>
  <r>
    <s v="ORD-11522"/>
    <x v="688"/>
    <d v="2025-04-29T00:00:00"/>
    <x v="14"/>
    <x v="4"/>
    <x v="4"/>
    <x v="0"/>
    <x v="1"/>
    <n v="5"/>
    <n v="86.5"/>
    <n v="12"/>
    <n v="224"/>
    <n v="188.63"/>
    <x v="0"/>
    <n v="4"/>
    <n v="432.5"/>
    <n v="444.5"/>
    <x v="0"/>
  </r>
  <r>
    <s v="ORD-11523"/>
    <x v="688"/>
    <d v="2025-05-09T00:00:00"/>
    <x v="7"/>
    <x v="1"/>
    <x v="1"/>
    <x v="2"/>
    <x v="3"/>
    <n v="5"/>
    <n v="74.86"/>
    <n v="18"/>
    <n v="377"/>
    <n v="140.72"/>
    <x v="1"/>
    <n v="14"/>
    <n v="374.3"/>
    <n v="392.3"/>
    <x v="0"/>
  </r>
  <r>
    <s v="ORD-11524"/>
    <x v="689"/>
    <d v="2025-05-01T00:00:00"/>
    <x v="2"/>
    <x v="1"/>
    <x v="1"/>
    <x v="0"/>
    <x v="2"/>
    <n v="3"/>
    <n v="120.9"/>
    <n v="12"/>
    <n v="141"/>
    <n v="139.08000000000001"/>
    <x v="0"/>
    <n v="5"/>
    <n v="362.70000000000005"/>
    <n v="374.70000000000005"/>
    <x v="0"/>
  </r>
  <r>
    <s v="ORD-11525"/>
    <x v="690"/>
    <d v="2025-04-29T00:00:00"/>
    <x v="9"/>
    <x v="2"/>
    <x v="2"/>
    <x v="0"/>
    <x v="2"/>
    <n v="2"/>
    <n v="391.57"/>
    <n v="75"/>
    <n v="373"/>
    <n v="119.13"/>
    <x v="0"/>
    <n v="2"/>
    <n v="783.14"/>
    <n v="858.14"/>
    <x v="0"/>
  </r>
  <r>
    <s v="ORD-11526"/>
    <x v="691"/>
    <d v="2025-05-01T00:00:00"/>
    <x v="7"/>
    <x v="1"/>
    <x v="1"/>
    <x v="2"/>
    <x v="3"/>
    <n v="5"/>
    <n v="63.2"/>
    <n v="18"/>
    <n v="177"/>
    <n v="117.41"/>
    <x v="0"/>
    <n v="3"/>
    <n v="316"/>
    <n v="334"/>
    <x v="0"/>
  </r>
  <r>
    <s v="ORD-11527"/>
    <x v="691"/>
    <d v="2025-05-10T00:00:00"/>
    <x v="10"/>
    <x v="0"/>
    <x v="0"/>
    <x v="2"/>
    <x v="3"/>
    <n v="13"/>
    <n v="32.42"/>
    <n v="12"/>
    <n v="318"/>
    <n v="27.72"/>
    <x v="1"/>
    <n v="12"/>
    <n v="421.46000000000004"/>
    <n v="433.46000000000004"/>
    <x v="0"/>
  </r>
  <r>
    <s v="ORD-11528"/>
    <x v="691"/>
    <d v="2025-05-03T00:00:00"/>
    <x v="15"/>
    <x v="4"/>
    <x v="4"/>
    <x v="2"/>
    <x v="1"/>
    <n v="4"/>
    <n v="108.79"/>
    <n v="12"/>
    <n v="35"/>
    <n v="189.81"/>
    <x v="0"/>
    <n v="5"/>
    <n v="435.16"/>
    <n v="447.16"/>
    <x v="1"/>
  </r>
  <r>
    <s v="ORD-11529"/>
    <x v="692"/>
    <d v="2025-05-02T00:00:00"/>
    <x v="7"/>
    <x v="1"/>
    <x v="1"/>
    <x v="1"/>
    <x v="1"/>
    <n v="1"/>
    <n v="93.5"/>
    <n v="12"/>
    <n v="52"/>
    <n v="31.4"/>
    <x v="0"/>
    <n v="3"/>
    <n v="93.5"/>
    <n v="105.5"/>
    <x v="0"/>
  </r>
  <r>
    <s v="ORD-11530"/>
    <x v="693"/>
    <d v="2025-05-01T00:00:00"/>
    <x v="11"/>
    <x v="3"/>
    <x v="3"/>
    <x v="1"/>
    <x v="2"/>
    <n v="3"/>
    <n v="232.13"/>
    <n v="25"/>
    <n v="260"/>
    <n v="231.24"/>
    <x v="0"/>
    <n v="1"/>
    <n v="696.39"/>
    <n v="721.39"/>
    <x v="0"/>
  </r>
  <r>
    <s v="ORD-11531"/>
    <x v="693"/>
    <d v="2025-05-02T00:00:00"/>
    <x v="0"/>
    <x v="0"/>
    <x v="0"/>
    <x v="2"/>
    <x v="3"/>
    <n v="6"/>
    <n v="46.99"/>
    <n v="12"/>
    <n v="258"/>
    <n v="16.55"/>
    <x v="0"/>
    <n v="2"/>
    <n v="281.94"/>
    <n v="293.94"/>
    <x v="0"/>
  </r>
  <r>
    <s v="ORD-11532"/>
    <x v="693"/>
    <d v="2025-05-01T00:00:00"/>
    <x v="2"/>
    <x v="1"/>
    <x v="1"/>
    <x v="0"/>
    <x v="0"/>
    <n v="3"/>
    <n v="143.18"/>
    <n v="12"/>
    <n v="93"/>
    <n v="165.81"/>
    <x v="0"/>
    <n v="1"/>
    <n v="429.54"/>
    <n v="441.54"/>
    <x v="0"/>
  </r>
  <r>
    <s v="ORD-11533"/>
    <x v="694"/>
    <d v="2025-05-03T00:00:00"/>
    <x v="0"/>
    <x v="0"/>
    <x v="0"/>
    <x v="1"/>
    <x v="0"/>
    <n v="7"/>
    <n v="45.11"/>
    <n v="8"/>
    <n v="0"/>
    <n v="21.26"/>
    <x v="0"/>
    <n v="2"/>
    <n v="315.77"/>
    <n v="323.77"/>
    <x v="2"/>
  </r>
  <r>
    <s v="ORD-11534"/>
    <x v="695"/>
    <d v="2025-05-06T00:00:00"/>
    <x v="0"/>
    <x v="0"/>
    <x v="0"/>
    <x v="0"/>
    <x v="1"/>
    <n v="5"/>
    <n v="15.73"/>
    <n v="8"/>
    <n v="74"/>
    <n v="2.29"/>
    <x v="0"/>
    <n v="4"/>
    <n v="78.650000000000006"/>
    <n v="86.65"/>
    <x v="0"/>
  </r>
  <r>
    <s v="ORD-11535"/>
    <x v="695"/>
    <d v="2025-05-03T00:00:00"/>
    <x v="1"/>
    <x v="0"/>
    <x v="0"/>
    <x v="0"/>
    <x v="3"/>
    <n v="7"/>
    <n v="11.27"/>
    <n v="12"/>
    <n v="9"/>
    <n v="0.31"/>
    <x v="0"/>
    <n v="1"/>
    <n v="78.89"/>
    <n v="90.89"/>
    <x v="2"/>
  </r>
  <r>
    <s v="ORD-11536"/>
    <x v="696"/>
    <d v="2025-05-05T00:00:00"/>
    <x v="12"/>
    <x v="3"/>
    <x v="3"/>
    <x v="0"/>
    <x v="0"/>
    <n v="2"/>
    <n v="393.01"/>
    <n v="25"/>
    <n v="52"/>
    <n v="262.61"/>
    <x v="0"/>
    <n v="2"/>
    <n v="786.02"/>
    <n v="811.02"/>
    <x v="0"/>
  </r>
  <r>
    <s v="ORD-11537"/>
    <x v="696"/>
    <d v="2025-05-07T00:00:00"/>
    <x v="7"/>
    <x v="1"/>
    <x v="1"/>
    <x v="1"/>
    <x v="0"/>
    <n v="4"/>
    <n v="30.05"/>
    <n v="12"/>
    <n v="157"/>
    <n v="-18.03"/>
    <x v="0"/>
    <n v="4"/>
    <n v="120.2"/>
    <n v="132.19999999999999"/>
    <x v="0"/>
  </r>
  <r>
    <s v="ORD-11538"/>
    <x v="696"/>
    <d v="2025-05-07T00:00:00"/>
    <x v="12"/>
    <x v="3"/>
    <x v="3"/>
    <x v="0"/>
    <x v="2"/>
    <n v="1"/>
    <n v="1082.93"/>
    <n v="25"/>
    <n v="387"/>
    <n v="366.53"/>
    <x v="0"/>
    <n v="4"/>
    <n v="1082.93"/>
    <n v="1107.93"/>
    <x v="0"/>
  </r>
  <r>
    <s v="ORD-11539"/>
    <x v="697"/>
    <d v="2025-05-06T00:00:00"/>
    <x v="6"/>
    <x v="3"/>
    <x v="3"/>
    <x v="2"/>
    <x v="1"/>
    <n v="2"/>
    <n v="795.37"/>
    <n v="25"/>
    <n v="54"/>
    <n v="544.26"/>
    <x v="0"/>
    <n v="2"/>
    <n v="1590.74"/>
    <n v="1615.74"/>
    <x v="0"/>
  </r>
  <r>
    <s v="ORD-11540"/>
    <x v="698"/>
    <d v="2025-05-06T00:00:00"/>
    <x v="7"/>
    <x v="1"/>
    <x v="1"/>
    <x v="0"/>
    <x v="0"/>
    <n v="3"/>
    <n v="23.47"/>
    <n v="12"/>
    <n v="320"/>
    <n v="22.16"/>
    <x v="0"/>
    <n v="1"/>
    <n v="70.41"/>
    <n v="82.41"/>
    <x v="0"/>
  </r>
  <r>
    <s v="ORD-11541"/>
    <x v="698"/>
    <d v="2025-05-07T00:00:00"/>
    <x v="6"/>
    <x v="3"/>
    <x v="3"/>
    <x v="2"/>
    <x v="2"/>
    <n v="3"/>
    <n v="726.18"/>
    <n v="25"/>
    <n v="158"/>
    <n v="749.99"/>
    <x v="0"/>
    <n v="2"/>
    <n v="2178.54"/>
    <n v="2203.54"/>
    <x v="0"/>
  </r>
  <r>
    <s v="ORD-11542"/>
    <x v="699"/>
    <d v="2025-05-11T00:00:00"/>
    <x v="3"/>
    <x v="1"/>
    <x v="1"/>
    <x v="0"/>
    <x v="3"/>
    <n v="2"/>
    <n v="107.18"/>
    <n v="18"/>
    <n v="284"/>
    <n v="76.739999999999995"/>
    <x v="0"/>
    <n v="5"/>
    <n v="214.36"/>
    <n v="232.36"/>
    <x v="0"/>
  </r>
  <r>
    <s v="ORD-11543"/>
    <x v="699"/>
    <d v="2025-05-13T00:00:00"/>
    <x v="3"/>
    <x v="1"/>
    <x v="1"/>
    <x v="2"/>
    <x v="3"/>
    <n v="1"/>
    <n v="66"/>
    <n v="18"/>
    <n v="381"/>
    <n v="17.399999999999999"/>
    <x v="2"/>
    <n v="7"/>
    <n v="66"/>
    <n v="84"/>
    <x v="0"/>
  </r>
  <r>
    <s v="ORD-11544"/>
    <x v="700"/>
    <d v="2025-05-13T00:00:00"/>
    <x v="8"/>
    <x v="2"/>
    <x v="2"/>
    <x v="0"/>
    <x v="3"/>
    <n v="1"/>
    <n v="486.56"/>
    <n v="112.5"/>
    <n v="96"/>
    <n v="41.06"/>
    <x v="0"/>
    <n v="5"/>
    <n v="486.56"/>
    <n v="599.05999999999995"/>
    <x v="0"/>
  </r>
  <r>
    <s v="ORD-11545"/>
    <x v="700"/>
    <d v="2025-05-09T00:00:00"/>
    <x v="3"/>
    <x v="1"/>
    <x v="1"/>
    <x v="0"/>
    <x v="3"/>
    <n v="4"/>
    <n v="112.39"/>
    <n v="18"/>
    <n v="353"/>
    <n v="170.82"/>
    <x v="0"/>
    <n v="1"/>
    <n v="449.56"/>
    <n v="467.56"/>
    <x v="0"/>
  </r>
  <r>
    <s v="ORD-11546"/>
    <x v="700"/>
    <d v="2025-05-09T00:00:00"/>
    <x v="12"/>
    <x v="3"/>
    <x v="3"/>
    <x v="0"/>
    <x v="1"/>
    <n v="3"/>
    <n v="235.19"/>
    <n v="25"/>
    <n v="56"/>
    <n v="234.45"/>
    <x v="0"/>
    <n v="1"/>
    <n v="705.56999999999994"/>
    <n v="730.56999999999994"/>
    <x v="0"/>
  </r>
  <r>
    <s v="ORD-11547"/>
    <x v="701"/>
    <d v="2025-05-14T00:00:00"/>
    <x v="13"/>
    <x v="4"/>
    <x v="4"/>
    <x v="2"/>
    <x v="2"/>
    <n v="1"/>
    <n v="85.51"/>
    <n v="12"/>
    <n v="202"/>
    <n v="32.479999999999997"/>
    <x v="0"/>
    <n v="5"/>
    <n v="85.51"/>
    <n v="97.51"/>
    <x v="0"/>
  </r>
  <r>
    <s v="ORD-11548"/>
    <x v="702"/>
    <d v="2025-05-13T00:00:00"/>
    <x v="1"/>
    <x v="0"/>
    <x v="0"/>
    <x v="2"/>
    <x v="3"/>
    <n v="7"/>
    <n v="15.03"/>
    <n v="12"/>
    <n v="3"/>
    <n v="2.42"/>
    <x v="0"/>
    <n v="3"/>
    <n v="105.21"/>
    <n v="117.21"/>
    <x v="2"/>
  </r>
  <r>
    <s v="ORD-11549"/>
    <x v="702"/>
    <d v="2025-05-14T00:00:00"/>
    <x v="10"/>
    <x v="0"/>
    <x v="0"/>
    <x v="2"/>
    <x v="3"/>
    <n v="11"/>
    <n v="22.21"/>
    <n v="12"/>
    <n v="4"/>
    <n v="13.54"/>
    <x v="0"/>
    <n v="4"/>
    <n v="244.31"/>
    <n v="256.31"/>
    <x v="2"/>
  </r>
  <r>
    <s v="ORD-11550"/>
    <x v="703"/>
    <d v="2025-05-16T00:00:00"/>
    <x v="5"/>
    <x v="3"/>
    <x v="3"/>
    <x v="2"/>
    <x v="3"/>
    <n v="2"/>
    <n v="210.57"/>
    <n v="37.5"/>
    <n v="274"/>
    <n v="128.65"/>
    <x v="0"/>
    <n v="5"/>
    <n v="421.14"/>
    <n v="458.64"/>
    <x v="0"/>
  </r>
  <r>
    <s v="ORD-11551"/>
    <x v="703"/>
    <d v="2025-05-15T00:00:00"/>
    <x v="1"/>
    <x v="0"/>
    <x v="0"/>
    <x v="2"/>
    <x v="3"/>
    <n v="13"/>
    <n v="22.91"/>
    <n v="12"/>
    <n v="320"/>
    <n v="17.82"/>
    <x v="0"/>
    <n v="4"/>
    <n v="297.83"/>
    <n v="309.83"/>
    <x v="0"/>
  </r>
  <r>
    <s v="ORD-11552"/>
    <x v="704"/>
    <d v="2025-05-14T00:00:00"/>
    <x v="6"/>
    <x v="3"/>
    <x v="3"/>
    <x v="2"/>
    <x v="3"/>
    <n v="3"/>
    <n v="391.98"/>
    <n v="37.5"/>
    <n v="380"/>
    <n v="392.83"/>
    <x v="0"/>
    <n v="1"/>
    <n v="1175.94"/>
    <n v="1213.44"/>
    <x v="0"/>
  </r>
  <r>
    <s v="ORD-11553"/>
    <x v="704"/>
    <d v="2025-05-18T00:00:00"/>
    <x v="6"/>
    <x v="3"/>
    <x v="3"/>
    <x v="0"/>
    <x v="0"/>
    <n v="3"/>
    <n v="735.51"/>
    <n v="25"/>
    <n v="173"/>
    <n v="759.79"/>
    <x v="0"/>
    <n v="5"/>
    <n v="2206.5299999999997"/>
    <n v="2231.5299999999997"/>
    <x v="0"/>
  </r>
  <r>
    <s v="ORD-11554"/>
    <x v="705"/>
    <d v="2025-05-15T00:00:00"/>
    <x v="10"/>
    <x v="0"/>
    <x v="0"/>
    <x v="2"/>
    <x v="3"/>
    <n v="14"/>
    <n v="19.62"/>
    <n v="12"/>
    <n v="220"/>
    <n v="15.97"/>
    <x v="0"/>
    <n v="1"/>
    <n v="274.68"/>
    <n v="286.68"/>
    <x v="0"/>
  </r>
  <r>
    <s v="ORD-11555"/>
    <x v="706"/>
    <d v="2025-05-29T00:00:00"/>
    <x v="5"/>
    <x v="3"/>
    <x v="3"/>
    <x v="2"/>
    <x v="3"/>
    <n v="3"/>
    <n v="213.82"/>
    <n v="37.5"/>
    <n v="62"/>
    <n v="205.76"/>
    <x v="1"/>
    <n v="14"/>
    <n v="641.46"/>
    <n v="678.96"/>
    <x v="0"/>
  </r>
  <r>
    <s v="ORD-11556"/>
    <x v="706"/>
    <d v="2025-05-20T00:00:00"/>
    <x v="12"/>
    <x v="3"/>
    <x v="3"/>
    <x v="2"/>
    <x v="0"/>
    <n v="3"/>
    <n v="777.66"/>
    <n v="25"/>
    <n v="72"/>
    <n v="804.04"/>
    <x v="0"/>
    <n v="5"/>
    <n v="2332.98"/>
    <n v="2357.98"/>
    <x v="0"/>
  </r>
  <r>
    <s v="ORD-11557"/>
    <x v="706"/>
    <d v="2025-05-19T00:00:00"/>
    <x v="1"/>
    <x v="0"/>
    <x v="0"/>
    <x v="1"/>
    <x v="2"/>
    <n v="9"/>
    <n v="26.91"/>
    <n v="8"/>
    <n v="126"/>
    <n v="15.38"/>
    <x v="0"/>
    <n v="4"/>
    <n v="242.19"/>
    <n v="250.19"/>
    <x v="0"/>
  </r>
  <r>
    <s v="ORD-11558"/>
    <x v="707"/>
    <d v="2025-05-19T00:00:00"/>
    <x v="12"/>
    <x v="3"/>
    <x v="3"/>
    <x v="1"/>
    <x v="0"/>
    <n v="1"/>
    <n v="957.85"/>
    <n v="25"/>
    <n v="373"/>
    <n v="322.75"/>
    <x v="0"/>
    <n v="3"/>
    <n v="957.85"/>
    <n v="982.85"/>
    <x v="0"/>
  </r>
  <r>
    <s v="ORD-11559"/>
    <x v="707"/>
    <d v="2025-05-21T00:00:00"/>
    <x v="4"/>
    <x v="2"/>
    <x v="2"/>
    <x v="2"/>
    <x v="2"/>
    <n v="1"/>
    <n v="151.35"/>
    <n v="75"/>
    <n v="103"/>
    <n v="-7.23"/>
    <x v="0"/>
    <n v="5"/>
    <n v="151.35"/>
    <n v="226.35"/>
    <x v="0"/>
  </r>
  <r>
    <s v="ORD-11560"/>
    <x v="707"/>
    <d v="2025-05-19T00:00:00"/>
    <x v="1"/>
    <x v="0"/>
    <x v="0"/>
    <x v="2"/>
    <x v="3"/>
    <n v="7"/>
    <n v="39.53"/>
    <n v="12"/>
    <n v="233"/>
    <n v="16.14"/>
    <x v="0"/>
    <n v="3"/>
    <n v="276.71000000000004"/>
    <n v="288.71000000000004"/>
    <x v="0"/>
  </r>
  <r>
    <s v="ORD-11561"/>
    <x v="707"/>
    <d v="2025-05-18T00:00:00"/>
    <x v="4"/>
    <x v="2"/>
    <x v="2"/>
    <x v="2"/>
    <x v="0"/>
    <n v="1"/>
    <n v="242.71"/>
    <n v="75"/>
    <n v="77"/>
    <n v="11.04"/>
    <x v="0"/>
    <n v="2"/>
    <n v="242.71"/>
    <n v="317.71000000000004"/>
    <x v="0"/>
  </r>
  <r>
    <s v="ORD-11562"/>
    <x v="708"/>
    <d v="2025-05-19T00:00:00"/>
    <x v="15"/>
    <x v="4"/>
    <x v="4"/>
    <x v="2"/>
    <x v="0"/>
    <n v="1"/>
    <n v="116.47"/>
    <n v="12"/>
    <n v="106"/>
    <n v="46.41"/>
    <x v="0"/>
    <n v="1"/>
    <n v="116.47"/>
    <n v="128.47"/>
    <x v="0"/>
  </r>
  <r>
    <s v="ORD-11563"/>
    <x v="708"/>
    <d v="2025-05-22T00:00:00"/>
    <x v="4"/>
    <x v="2"/>
    <x v="2"/>
    <x v="0"/>
    <x v="2"/>
    <n v="1"/>
    <n v="438.7"/>
    <n v="75"/>
    <n v="304"/>
    <n v="50.24"/>
    <x v="0"/>
    <n v="4"/>
    <n v="438.7"/>
    <n v="513.70000000000005"/>
    <x v="0"/>
  </r>
  <r>
    <s v="ORD-11564"/>
    <x v="709"/>
    <d v="2025-05-22T00:00:00"/>
    <x v="6"/>
    <x v="3"/>
    <x v="3"/>
    <x v="1"/>
    <x v="1"/>
    <n v="1"/>
    <n v="1189.55"/>
    <n v="25"/>
    <n v="259"/>
    <n v="403.84"/>
    <x v="0"/>
    <n v="2"/>
    <n v="1189.55"/>
    <n v="1214.55"/>
    <x v="0"/>
  </r>
  <r>
    <s v="ORD-11565"/>
    <x v="709"/>
    <d v="2025-05-21T00:00:00"/>
    <x v="2"/>
    <x v="1"/>
    <x v="1"/>
    <x v="2"/>
    <x v="3"/>
    <n v="3"/>
    <n v="110.83"/>
    <n v="18"/>
    <n v="151"/>
    <n v="124"/>
    <x v="0"/>
    <n v="1"/>
    <n v="332.49"/>
    <n v="350.49"/>
    <x v="0"/>
  </r>
  <r>
    <s v="ORD-11566"/>
    <x v="710"/>
    <d v="2025-05-25T00:00:00"/>
    <x v="12"/>
    <x v="3"/>
    <x v="3"/>
    <x v="1"/>
    <x v="0"/>
    <n v="1"/>
    <n v="685.11"/>
    <n v="25"/>
    <n v="132"/>
    <n v="227.29"/>
    <x v="0"/>
    <n v="4"/>
    <n v="685.11"/>
    <n v="710.11"/>
    <x v="0"/>
  </r>
  <r>
    <s v="ORD-11567"/>
    <x v="710"/>
    <d v="2025-05-23T00:00:00"/>
    <x v="13"/>
    <x v="4"/>
    <x v="4"/>
    <x v="2"/>
    <x v="3"/>
    <n v="4"/>
    <n v="91.04"/>
    <n v="18"/>
    <n v="210"/>
    <n v="154.87"/>
    <x v="0"/>
    <n v="2"/>
    <n v="364.16"/>
    <n v="382.16"/>
    <x v="0"/>
  </r>
  <r>
    <s v="ORD-11568"/>
    <x v="710"/>
    <d v="2025-06-04T00:00:00"/>
    <x v="5"/>
    <x v="3"/>
    <x v="3"/>
    <x v="2"/>
    <x v="2"/>
    <n v="1"/>
    <n v="525.58000000000004"/>
    <n v="25"/>
    <n v="235"/>
    <n v="-78.84"/>
    <x v="1"/>
    <n v="14"/>
    <n v="525.58000000000004"/>
    <n v="550.58000000000004"/>
    <x v="0"/>
  </r>
  <r>
    <s v="ORD-11569"/>
    <x v="711"/>
    <d v="2025-05-30T00:00:00"/>
    <x v="8"/>
    <x v="2"/>
    <x v="2"/>
    <x v="2"/>
    <x v="3"/>
    <n v="2"/>
    <n v="387.93"/>
    <n v="112.5"/>
    <n v="218"/>
    <n v="-116.38"/>
    <x v="2"/>
    <n v="8"/>
    <n v="775.86"/>
    <n v="888.36"/>
    <x v="0"/>
  </r>
  <r>
    <s v="ORD-11570"/>
    <x v="711"/>
    <d v="2025-05-24T00:00:00"/>
    <x v="3"/>
    <x v="1"/>
    <x v="1"/>
    <x v="2"/>
    <x v="3"/>
    <n v="1"/>
    <n v="139.36000000000001"/>
    <n v="18"/>
    <n v="170"/>
    <n v="46.74"/>
    <x v="0"/>
    <n v="2"/>
    <n v="139.36000000000001"/>
    <n v="157.36000000000001"/>
    <x v="0"/>
  </r>
  <r>
    <s v="ORD-11571"/>
    <x v="711"/>
    <d v="2025-05-27T00:00:00"/>
    <x v="7"/>
    <x v="1"/>
    <x v="1"/>
    <x v="0"/>
    <x v="0"/>
    <n v="3"/>
    <n v="30.71"/>
    <n v="12"/>
    <n v="53"/>
    <n v="-13.82"/>
    <x v="0"/>
    <n v="5"/>
    <n v="92.13"/>
    <n v="104.13"/>
    <x v="0"/>
  </r>
  <r>
    <s v="ORD-11572"/>
    <x v="712"/>
    <d v="2025-05-24T00:00:00"/>
    <x v="6"/>
    <x v="3"/>
    <x v="3"/>
    <x v="0"/>
    <x v="0"/>
    <n v="2"/>
    <n v="824.4"/>
    <n v="25"/>
    <n v="226"/>
    <n v="564.58000000000004"/>
    <x v="0"/>
    <n v="1"/>
    <n v="1648.8"/>
    <n v="1673.8"/>
    <x v="0"/>
  </r>
  <r>
    <s v="ORD-11573"/>
    <x v="713"/>
    <d v="2025-05-26T00:00:00"/>
    <x v="4"/>
    <x v="2"/>
    <x v="2"/>
    <x v="2"/>
    <x v="0"/>
    <n v="1"/>
    <n v="187.12"/>
    <n v="75"/>
    <n v="303"/>
    <n v="-0.08"/>
    <x v="0"/>
    <n v="1"/>
    <n v="187.12"/>
    <n v="262.12"/>
    <x v="0"/>
  </r>
  <r>
    <s v="ORD-11574"/>
    <x v="713"/>
    <d v="2025-05-30T00:00:00"/>
    <x v="7"/>
    <x v="1"/>
    <x v="1"/>
    <x v="0"/>
    <x v="2"/>
    <n v="5"/>
    <n v="113.18"/>
    <n v="12"/>
    <n v="203"/>
    <n v="220.36"/>
    <x v="0"/>
    <n v="5"/>
    <n v="565.90000000000009"/>
    <n v="577.90000000000009"/>
    <x v="0"/>
  </r>
  <r>
    <s v="ORD-11575"/>
    <x v="714"/>
    <d v="2025-05-29T00:00:00"/>
    <x v="9"/>
    <x v="2"/>
    <x v="2"/>
    <x v="1"/>
    <x v="2"/>
    <n v="2"/>
    <n v="193.2"/>
    <n v="75"/>
    <n v="192"/>
    <n v="39.78"/>
    <x v="0"/>
    <n v="3"/>
    <n v="386.4"/>
    <n v="461.4"/>
    <x v="0"/>
  </r>
  <r>
    <s v="ORD-11576"/>
    <x v="714"/>
    <d v="2025-05-28T00:00:00"/>
    <x v="1"/>
    <x v="0"/>
    <x v="0"/>
    <x v="0"/>
    <x v="1"/>
    <n v="14"/>
    <n v="43.79"/>
    <n v="8"/>
    <n v="205"/>
    <n v="45.05"/>
    <x v="0"/>
    <n v="2"/>
    <n v="613.05999999999995"/>
    <n v="621.05999999999995"/>
    <x v="0"/>
  </r>
  <r>
    <s v="ORD-11577"/>
    <x v="714"/>
    <d v="2025-06-05T00:00:00"/>
    <x v="6"/>
    <x v="3"/>
    <x v="3"/>
    <x v="2"/>
    <x v="0"/>
    <n v="2"/>
    <n v="324.18"/>
    <n v="25"/>
    <n v="177"/>
    <n v="214.43"/>
    <x v="2"/>
    <n v="10"/>
    <n v="648.36"/>
    <n v="673.36"/>
    <x v="0"/>
  </r>
  <r>
    <s v="ORD-11578"/>
    <x v="715"/>
    <d v="2025-05-31T00:00:00"/>
    <x v="3"/>
    <x v="1"/>
    <x v="1"/>
    <x v="2"/>
    <x v="3"/>
    <n v="2"/>
    <n v="109.23"/>
    <n v="18"/>
    <n v="314"/>
    <n v="78.39"/>
    <x v="0"/>
    <n v="4"/>
    <n v="218.46"/>
    <n v="236.46"/>
    <x v="0"/>
  </r>
  <r>
    <s v="ORD-11579"/>
    <x v="716"/>
    <d v="2025-06-02T00:00:00"/>
    <x v="5"/>
    <x v="3"/>
    <x v="3"/>
    <x v="2"/>
    <x v="3"/>
    <n v="1"/>
    <n v="485.45"/>
    <n v="37.5"/>
    <n v="249"/>
    <n v="151.16"/>
    <x v="0"/>
    <n v="5"/>
    <n v="485.45"/>
    <n v="522.95000000000005"/>
    <x v="0"/>
  </r>
  <r>
    <s v="ORD-11580"/>
    <x v="716"/>
    <d v="2025-06-01T00:00:00"/>
    <x v="7"/>
    <x v="1"/>
    <x v="1"/>
    <x v="2"/>
    <x v="3"/>
    <n v="1"/>
    <n v="111.09"/>
    <n v="18"/>
    <n v="193"/>
    <n v="35.44"/>
    <x v="0"/>
    <n v="4"/>
    <n v="111.09"/>
    <n v="129.09"/>
    <x v="0"/>
  </r>
  <r>
    <s v="ORD-11581"/>
    <x v="716"/>
    <d v="2025-05-30T00:00:00"/>
    <x v="10"/>
    <x v="0"/>
    <x v="0"/>
    <x v="2"/>
    <x v="3"/>
    <n v="14"/>
    <n v="22.46"/>
    <n v="12"/>
    <n v="203"/>
    <n v="-47.16"/>
    <x v="0"/>
    <n v="2"/>
    <n v="314.44"/>
    <n v="326.44"/>
    <x v="0"/>
  </r>
  <r>
    <s v="ORD-11582"/>
    <x v="717"/>
    <d v="2025-06-03T00:00:00"/>
    <x v="3"/>
    <x v="1"/>
    <x v="1"/>
    <x v="0"/>
    <x v="3"/>
    <n v="1"/>
    <n v="132.63"/>
    <n v="18"/>
    <n v="23"/>
    <n v="44.05"/>
    <x v="0"/>
    <n v="4"/>
    <n v="132.63"/>
    <n v="150.63"/>
    <x v="1"/>
  </r>
  <r>
    <s v="ORD-11583"/>
    <x v="717"/>
    <d v="2025-06-01T00:00:00"/>
    <x v="11"/>
    <x v="3"/>
    <x v="3"/>
    <x v="1"/>
    <x v="2"/>
    <n v="3"/>
    <n v="493.8"/>
    <n v="25"/>
    <n v="237"/>
    <n v="505.99"/>
    <x v="0"/>
    <n v="2"/>
    <n v="1481.4"/>
    <n v="1506.4"/>
    <x v="0"/>
  </r>
  <r>
    <s v="ORD-11584"/>
    <x v="717"/>
    <d v="2025-06-01T00:00:00"/>
    <x v="0"/>
    <x v="0"/>
    <x v="0"/>
    <x v="0"/>
    <x v="2"/>
    <n v="10"/>
    <n v="41.04"/>
    <n v="8"/>
    <n v="388"/>
    <n v="28.83"/>
    <x v="0"/>
    <n v="2"/>
    <n v="410.4"/>
    <n v="418.4"/>
    <x v="0"/>
  </r>
  <r>
    <s v="ORD-11585"/>
    <x v="718"/>
    <d v="2025-06-15T00:00:00"/>
    <x v="14"/>
    <x v="4"/>
    <x v="4"/>
    <x v="2"/>
    <x v="3"/>
    <n v="2"/>
    <n v="43.81"/>
    <n v="18"/>
    <n v="268"/>
    <n v="30.43"/>
    <x v="1"/>
    <n v="14"/>
    <n v="87.62"/>
    <n v="105.62"/>
    <x v="0"/>
  </r>
  <r>
    <s v="ORD-11586"/>
    <x v="718"/>
    <d v="2025-06-05T00:00:00"/>
    <x v="10"/>
    <x v="0"/>
    <x v="0"/>
    <x v="2"/>
    <x v="2"/>
    <n v="7"/>
    <n v="46.77"/>
    <n v="8"/>
    <n v="8"/>
    <n v="22.19"/>
    <x v="0"/>
    <n v="4"/>
    <n v="327.39000000000004"/>
    <n v="335.39000000000004"/>
    <x v="2"/>
  </r>
  <r>
    <s v="ORD-11587"/>
    <x v="718"/>
    <d v="2025-06-02T00:00:00"/>
    <x v="9"/>
    <x v="2"/>
    <x v="2"/>
    <x v="1"/>
    <x v="2"/>
    <n v="1"/>
    <n v="110.58"/>
    <n v="75"/>
    <n v="114"/>
    <n v="-15.38"/>
    <x v="0"/>
    <n v="1"/>
    <n v="110.58"/>
    <n v="185.57999999999998"/>
    <x v="0"/>
  </r>
  <r>
    <s v="ORD-11588"/>
    <x v="718"/>
    <d v="2025-06-15T00:00:00"/>
    <x v="5"/>
    <x v="3"/>
    <x v="3"/>
    <x v="2"/>
    <x v="3"/>
    <n v="1"/>
    <n v="862.8"/>
    <n v="37.5"/>
    <n v="68"/>
    <n v="283.23"/>
    <x v="1"/>
    <n v="14"/>
    <n v="862.8"/>
    <n v="900.3"/>
    <x v="0"/>
  </r>
  <r>
    <s v="ORD-11589"/>
    <x v="719"/>
    <d v="2025-06-04T00:00:00"/>
    <x v="12"/>
    <x v="3"/>
    <x v="3"/>
    <x v="1"/>
    <x v="0"/>
    <n v="1"/>
    <n v="234.72"/>
    <n v="25"/>
    <n v="27"/>
    <n v="69.650000000000006"/>
    <x v="0"/>
    <n v="2"/>
    <n v="234.72"/>
    <n v="259.72000000000003"/>
    <x v="1"/>
  </r>
  <r>
    <s v="ORD-11590"/>
    <x v="719"/>
    <d v="2025-06-04T00:00:00"/>
    <x v="4"/>
    <x v="2"/>
    <x v="2"/>
    <x v="2"/>
    <x v="0"/>
    <n v="2"/>
    <n v="102.6"/>
    <n v="75"/>
    <n v="328"/>
    <n v="3.54"/>
    <x v="0"/>
    <n v="2"/>
    <n v="205.2"/>
    <n v="280.2"/>
    <x v="0"/>
  </r>
  <r>
    <s v="ORD-11591"/>
    <x v="719"/>
    <d v="2025-06-10T00:00:00"/>
    <x v="10"/>
    <x v="0"/>
    <x v="0"/>
    <x v="2"/>
    <x v="3"/>
    <n v="10"/>
    <n v="31.1"/>
    <n v="12"/>
    <n v="220"/>
    <n v="18.88"/>
    <x v="2"/>
    <n v="8"/>
    <n v="311"/>
    <n v="323"/>
    <x v="0"/>
  </r>
  <r>
    <s v="ORD-11592"/>
    <x v="720"/>
    <d v="2025-06-08T00:00:00"/>
    <x v="6"/>
    <x v="3"/>
    <x v="3"/>
    <x v="2"/>
    <x v="3"/>
    <n v="2"/>
    <n v="734.82"/>
    <n v="37.5"/>
    <n v="187"/>
    <n v="495.62"/>
    <x v="0"/>
    <n v="5"/>
    <n v="1469.64"/>
    <n v="1507.14"/>
    <x v="0"/>
  </r>
  <r>
    <s v="ORD-11593"/>
    <x v="720"/>
    <d v="2025-06-08T00:00:00"/>
    <x v="2"/>
    <x v="1"/>
    <x v="1"/>
    <x v="0"/>
    <x v="1"/>
    <n v="2"/>
    <n v="142.78"/>
    <n v="12"/>
    <n v="205"/>
    <n v="108.23"/>
    <x v="0"/>
    <n v="5"/>
    <n v="285.56"/>
    <n v="297.56"/>
    <x v="0"/>
  </r>
  <r>
    <s v="ORD-11594"/>
    <x v="721"/>
    <d v="2025-06-09T00:00:00"/>
    <x v="0"/>
    <x v="0"/>
    <x v="0"/>
    <x v="2"/>
    <x v="2"/>
    <n v="5"/>
    <n v="40.97"/>
    <n v="8"/>
    <n v="63"/>
    <n v="12.39"/>
    <x v="0"/>
    <n v="5"/>
    <n v="204.85"/>
    <n v="212.85"/>
    <x v="0"/>
  </r>
  <r>
    <s v="ORD-11595"/>
    <x v="721"/>
    <d v="2025-06-05T00:00:00"/>
    <x v="12"/>
    <x v="3"/>
    <x v="3"/>
    <x v="2"/>
    <x v="1"/>
    <n v="2"/>
    <n v="467.21"/>
    <n v="25"/>
    <n v="214"/>
    <n v="314.54000000000002"/>
    <x v="0"/>
    <n v="1"/>
    <n v="934.42"/>
    <n v="959.42"/>
    <x v="0"/>
  </r>
  <r>
    <s v="ORD-11596"/>
    <x v="721"/>
    <d v="2025-06-08T00:00:00"/>
    <x v="10"/>
    <x v="0"/>
    <x v="0"/>
    <x v="1"/>
    <x v="1"/>
    <n v="7"/>
    <n v="45.81"/>
    <n v="8"/>
    <n v="0"/>
    <n v="21.65"/>
    <x v="0"/>
    <n v="4"/>
    <n v="320.67"/>
    <n v="328.67"/>
    <x v="2"/>
  </r>
  <r>
    <s v="ORD-11597"/>
    <x v="722"/>
    <d v="2025-06-07T00:00:00"/>
    <x v="7"/>
    <x v="1"/>
    <x v="1"/>
    <x v="2"/>
    <x v="1"/>
    <n v="1"/>
    <n v="52.79"/>
    <n v="12"/>
    <n v="248"/>
    <n v="15.12"/>
    <x v="0"/>
    <n v="2"/>
    <n v="52.79"/>
    <n v="64.789999999999992"/>
    <x v="0"/>
  </r>
  <r>
    <s v="ORD-11598"/>
    <x v="722"/>
    <d v="2025-06-07T00:00:00"/>
    <x v="11"/>
    <x v="3"/>
    <x v="3"/>
    <x v="2"/>
    <x v="3"/>
    <n v="2"/>
    <n v="275.74"/>
    <n v="37.5"/>
    <n v="270"/>
    <n v="-82.72"/>
    <x v="0"/>
    <n v="2"/>
    <n v="551.48"/>
    <n v="588.98"/>
    <x v="0"/>
  </r>
  <r>
    <s v="ORD-11599"/>
    <x v="722"/>
    <d v="2025-06-21T00:00:00"/>
    <x v="10"/>
    <x v="0"/>
    <x v="0"/>
    <x v="2"/>
    <x v="1"/>
    <n v="13"/>
    <n v="21.64"/>
    <n v="8"/>
    <n v="21"/>
    <n v="18.510000000000002"/>
    <x v="1"/>
    <n v="16"/>
    <n v="281.32"/>
    <n v="289.32"/>
    <x v="1"/>
  </r>
  <r>
    <s v="ORD-11600"/>
    <x v="723"/>
    <d v="2025-06-08T00:00:00"/>
    <x v="5"/>
    <x v="3"/>
    <x v="3"/>
    <x v="2"/>
    <x v="3"/>
    <n v="2"/>
    <n v="410.05"/>
    <n v="37.5"/>
    <n v="76"/>
    <n v="268.29000000000002"/>
    <x v="0"/>
    <n v="2"/>
    <n v="820.1"/>
    <n v="857.6"/>
    <x v="0"/>
  </r>
  <r>
    <s v="ORD-11601"/>
    <x v="723"/>
    <d v="2025-06-08T00:00:00"/>
    <x v="13"/>
    <x v="4"/>
    <x v="4"/>
    <x v="1"/>
    <x v="2"/>
    <n v="2"/>
    <n v="111.34"/>
    <n v="12"/>
    <n v="76"/>
    <n v="94.21"/>
    <x v="0"/>
    <n v="2"/>
    <n v="222.68"/>
    <n v="234.68"/>
    <x v="0"/>
  </r>
  <r>
    <s v="ORD-11602"/>
    <x v="724"/>
    <d v="2025-06-09T00:00:00"/>
    <x v="9"/>
    <x v="2"/>
    <x v="2"/>
    <x v="1"/>
    <x v="2"/>
    <n v="2"/>
    <n v="436.8"/>
    <n v="75"/>
    <n v="222"/>
    <n v="137.22"/>
    <x v="0"/>
    <n v="2"/>
    <n v="873.6"/>
    <n v="948.6"/>
    <x v="0"/>
  </r>
  <r>
    <s v="ORD-11603"/>
    <x v="725"/>
    <d v="2025-06-13T00:00:00"/>
    <x v="14"/>
    <x v="4"/>
    <x v="4"/>
    <x v="0"/>
    <x v="2"/>
    <n v="3"/>
    <n v="34.65"/>
    <n v="12"/>
    <n v="289"/>
    <n v="40.78"/>
    <x v="0"/>
    <n v="4"/>
    <n v="103.94999999999999"/>
    <n v="115.94999999999999"/>
    <x v="0"/>
  </r>
  <r>
    <s v="ORD-11604"/>
    <x v="725"/>
    <d v="2025-06-11T00:00:00"/>
    <x v="8"/>
    <x v="2"/>
    <x v="2"/>
    <x v="1"/>
    <x v="1"/>
    <n v="1"/>
    <n v="261.97000000000003"/>
    <n v="75"/>
    <n v="207"/>
    <n v="14.89"/>
    <x v="0"/>
    <n v="2"/>
    <n v="261.97000000000003"/>
    <n v="336.97"/>
    <x v="0"/>
  </r>
  <r>
    <s v="ORD-11605"/>
    <x v="725"/>
    <d v="2025-06-12T00:00:00"/>
    <x v="7"/>
    <x v="1"/>
    <x v="1"/>
    <x v="1"/>
    <x v="0"/>
    <n v="3"/>
    <n v="98.33"/>
    <n v="12"/>
    <n v="300"/>
    <n v="111.99"/>
    <x v="0"/>
    <n v="3"/>
    <n v="294.99"/>
    <n v="306.99"/>
    <x v="0"/>
  </r>
  <r>
    <s v="ORD-11606"/>
    <x v="725"/>
    <d v="2025-06-13T00:00:00"/>
    <x v="6"/>
    <x v="3"/>
    <x v="3"/>
    <x v="1"/>
    <x v="1"/>
    <n v="2"/>
    <n v="399.24"/>
    <n v="25"/>
    <n v="266"/>
    <n v="266.95999999999998"/>
    <x v="0"/>
    <n v="4"/>
    <n v="798.48"/>
    <n v="823.48"/>
    <x v="0"/>
  </r>
  <r>
    <s v="ORD-11607"/>
    <x v="726"/>
    <d v="2025-06-14T00:00:00"/>
    <x v="0"/>
    <x v="0"/>
    <x v="0"/>
    <x v="0"/>
    <x v="0"/>
    <n v="12"/>
    <n v="14.38"/>
    <n v="8"/>
    <n v="135"/>
    <n v="9.81"/>
    <x v="0"/>
    <n v="4"/>
    <n v="172.56"/>
    <n v="180.56"/>
    <x v="0"/>
  </r>
  <r>
    <s v="ORD-11608"/>
    <x v="726"/>
    <d v="2025-06-11T00:00:00"/>
    <x v="7"/>
    <x v="1"/>
    <x v="1"/>
    <x v="2"/>
    <x v="3"/>
    <n v="3"/>
    <n v="27.2"/>
    <n v="18"/>
    <n v="73"/>
    <n v="23.64"/>
    <x v="0"/>
    <n v="1"/>
    <n v="81.599999999999994"/>
    <n v="99.6"/>
    <x v="0"/>
  </r>
  <r>
    <s v="ORD-11609"/>
    <x v="726"/>
    <d v="2025-06-13T00:00:00"/>
    <x v="8"/>
    <x v="2"/>
    <x v="2"/>
    <x v="0"/>
    <x v="2"/>
    <n v="1"/>
    <n v="465.93"/>
    <n v="75"/>
    <n v="102"/>
    <n v="-69.89"/>
    <x v="0"/>
    <n v="3"/>
    <n v="465.93"/>
    <n v="540.93000000000006"/>
    <x v="0"/>
  </r>
  <r>
    <s v="ORD-11610"/>
    <x v="727"/>
    <d v="2025-06-14T00:00:00"/>
    <x v="11"/>
    <x v="3"/>
    <x v="3"/>
    <x v="1"/>
    <x v="1"/>
    <n v="3"/>
    <n v="797.36"/>
    <n v="25"/>
    <n v="60"/>
    <n v="824.73"/>
    <x v="0"/>
    <n v="3"/>
    <n v="2392.08"/>
    <n v="2417.08"/>
    <x v="0"/>
  </r>
  <r>
    <s v="ORD-11611"/>
    <x v="728"/>
    <d v="2025-06-15T00:00:00"/>
    <x v="3"/>
    <x v="1"/>
    <x v="1"/>
    <x v="2"/>
    <x v="1"/>
    <n v="3"/>
    <n v="57.83"/>
    <n v="12"/>
    <n v="293"/>
    <n v="63.39"/>
    <x v="0"/>
    <n v="3"/>
    <n v="173.49"/>
    <n v="185.49"/>
    <x v="0"/>
  </r>
  <r>
    <s v="ORD-11612"/>
    <x v="729"/>
    <d v="2025-06-15T00:00:00"/>
    <x v="5"/>
    <x v="3"/>
    <x v="3"/>
    <x v="1"/>
    <x v="0"/>
    <n v="2"/>
    <n v="272.83"/>
    <n v="25"/>
    <n v="73"/>
    <n v="-81.849999999999994"/>
    <x v="0"/>
    <n v="2"/>
    <n v="545.66"/>
    <n v="570.66"/>
    <x v="0"/>
  </r>
  <r>
    <s v="ORD-11613"/>
    <x v="729"/>
    <d v="2025-06-18T00:00:00"/>
    <x v="3"/>
    <x v="1"/>
    <x v="1"/>
    <x v="1"/>
    <x v="0"/>
    <n v="3"/>
    <n v="96.58"/>
    <n v="12"/>
    <n v="92"/>
    <n v="109.89"/>
    <x v="0"/>
    <n v="5"/>
    <n v="289.74"/>
    <n v="301.74"/>
    <x v="0"/>
  </r>
  <r>
    <s v="ORD-11614"/>
    <x v="730"/>
    <d v="2025-06-15T00:00:00"/>
    <x v="0"/>
    <x v="0"/>
    <x v="0"/>
    <x v="0"/>
    <x v="1"/>
    <n v="14"/>
    <n v="40.31"/>
    <n v="8"/>
    <n v="390"/>
    <n v="41.15"/>
    <x v="0"/>
    <n v="1"/>
    <n v="564.34"/>
    <n v="572.34"/>
    <x v="0"/>
  </r>
  <r>
    <s v="ORD-11615"/>
    <x v="731"/>
    <d v="2025-06-19T00:00:00"/>
    <x v="14"/>
    <x v="4"/>
    <x v="4"/>
    <x v="1"/>
    <x v="0"/>
    <n v="4"/>
    <n v="55.22"/>
    <n v="12"/>
    <n v="258"/>
    <n v="93.4"/>
    <x v="0"/>
    <n v="4"/>
    <n v="220.88"/>
    <n v="232.88"/>
    <x v="0"/>
  </r>
  <r>
    <s v="ORD-11616"/>
    <x v="731"/>
    <d v="2025-06-17T00:00:00"/>
    <x v="10"/>
    <x v="0"/>
    <x v="0"/>
    <x v="1"/>
    <x v="1"/>
    <n v="6"/>
    <n v="29"/>
    <n v="8"/>
    <n v="69"/>
    <n v="9.92"/>
    <x v="0"/>
    <n v="2"/>
    <n v="174"/>
    <n v="182"/>
    <x v="0"/>
  </r>
  <r>
    <s v="ORD-11617"/>
    <x v="732"/>
    <d v="2025-06-20T00:00:00"/>
    <x v="3"/>
    <x v="1"/>
    <x v="1"/>
    <x v="2"/>
    <x v="0"/>
    <n v="5"/>
    <n v="139.31"/>
    <n v="12"/>
    <n v="28"/>
    <n v="272.63"/>
    <x v="0"/>
    <n v="4"/>
    <n v="696.55"/>
    <n v="708.55"/>
    <x v="1"/>
  </r>
  <r>
    <s v="ORD-11618"/>
    <x v="732"/>
    <d v="2025-06-19T00:00:00"/>
    <x v="6"/>
    <x v="3"/>
    <x v="3"/>
    <x v="2"/>
    <x v="3"/>
    <n v="3"/>
    <n v="513.08000000000004"/>
    <n v="37.5"/>
    <n v="124"/>
    <n v="519.99"/>
    <x v="0"/>
    <n v="3"/>
    <n v="1539.2400000000002"/>
    <n v="1576.7400000000002"/>
    <x v="0"/>
  </r>
  <r>
    <s v="ORD-11619"/>
    <x v="733"/>
    <d v="2025-06-20T00:00:00"/>
    <x v="10"/>
    <x v="0"/>
    <x v="0"/>
    <x v="2"/>
    <x v="0"/>
    <n v="14"/>
    <n v="14.28"/>
    <n v="8"/>
    <n v="5"/>
    <n v="11.99"/>
    <x v="0"/>
    <n v="3"/>
    <n v="199.92"/>
    <n v="207.92"/>
    <x v="2"/>
  </r>
  <r>
    <s v="ORD-11620"/>
    <x v="733"/>
    <d v="2025-06-27T00:00:00"/>
    <x v="10"/>
    <x v="0"/>
    <x v="0"/>
    <x v="2"/>
    <x v="0"/>
    <n v="14"/>
    <n v="40.86"/>
    <n v="8"/>
    <n v="43"/>
    <n v="41.76"/>
    <x v="2"/>
    <n v="10"/>
    <n v="572.04"/>
    <n v="580.04"/>
    <x v="1"/>
  </r>
  <r>
    <s v="ORD-11621"/>
    <x v="733"/>
    <d v="2025-06-21T00:00:00"/>
    <x v="1"/>
    <x v="0"/>
    <x v="0"/>
    <x v="0"/>
    <x v="3"/>
    <n v="6"/>
    <n v="14.51"/>
    <n v="12"/>
    <n v="354"/>
    <n v="0.96"/>
    <x v="0"/>
    <n v="4"/>
    <n v="87.06"/>
    <n v="99.06"/>
    <x v="0"/>
  </r>
  <r>
    <s v="ORD-11622"/>
    <x v="734"/>
    <d v="2025-06-22T00:00:00"/>
    <x v="4"/>
    <x v="2"/>
    <x v="2"/>
    <x v="2"/>
    <x v="1"/>
    <n v="2"/>
    <n v="483.73"/>
    <n v="75"/>
    <n v="204"/>
    <n v="155.99"/>
    <x v="0"/>
    <n v="4"/>
    <n v="967.46"/>
    <n v="1042.46"/>
    <x v="0"/>
  </r>
  <r>
    <s v="ORD-11623"/>
    <x v="734"/>
    <d v="2025-06-20T00:00:00"/>
    <x v="1"/>
    <x v="0"/>
    <x v="0"/>
    <x v="2"/>
    <x v="3"/>
    <n v="7"/>
    <n v="45.21"/>
    <n v="12"/>
    <n v="164"/>
    <n v="19.32"/>
    <x v="0"/>
    <n v="2"/>
    <n v="316.47000000000003"/>
    <n v="328.47"/>
    <x v="0"/>
  </r>
  <r>
    <s v="ORD-11624"/>
    <x v="734"/>
    <d v="2025-06-22T00:00:00"/>
    <x v="5"/>
    <x v="3"/>
    <x v="3"/>
    <x v="1"/>
    <x v="1"/>
    <n v="3"/>
    <n v="896.18"/>
    <n v="25"/>
    <n v="110"/>
    <n v="928.49"/>
    <x v="0"/>
    <n v="4"/>
    <n v="2688.54"/>
    <n v="2713.54"/>
    <x v="0"/>
  </r>
  <r>
    <s v="ORD-11625"/>
    <x v="734"/>
    <d v="2025-07-03T00:00:00"/>
    <x v="0"/>
    <x v="0"/>
    <x v="0"/>
    <x v="2"/>
    <x v="3"/>
    <n v="6"/>
    <n v="39.06"/>
    <n v="12"/>
    <n v="253"/>
    <n v="12.75"/>
    <x v="1"/>
    <n v="15"/>
    <n v="234.36"/>
    <n v="246.36"/>
    <x v="0"/>
  </r>
  <r>
    <s v="ORD-11626"/>
    <x v="735"/>
    <d v="2025-06-23T00:00:00"/>
    <x v="13"/>
    <x v="4"/>
    <x v="4"/>
    <x v="2"/>
    <x v="1"/>
    <n v="3"/>
    <n v="30.88"/>
    <n v="12"/>
    <n v="235"/>
    <n v="35.68"/>
    <x v="0"/>
    <n v="4"/>
    <n v="92.64"/>
    <n v="104.64"/>
    <x v="0"/>
  </r>
  <r>
    <s v="ORD-11627"/>
    <x v="736"/>
    <d v="2025-06-23T00:00:00"/>
    <x v="11"/>
    <x v="3"/>
    <x v="3"/>
    <x v="0"/>
    <x v="3"/>
    <n v="3"/>
    <n v="652.37"/>
    <n v="37.5"/>
    <n v="130"/>
    <n v="666.24"/>
    <x v="0"/>
    <n v="3"/>
    <n v="1957.1100000000001"/>
    <n v="1994.6100000000001"/>
    <x v="0"/>
  </r>
  <r>
    <s v="ORD-11628"/>
    <x v="736"/>
    <d v="2025-06-25T00:00:00"/>
    <x v="4"/>
    <x v="2"/>
    <x v="2"/>
    <x v="1"/>
    <x v="0"/>
    <n v="2"/>
    <n v="127"/>
    <n v="75"/>
    <n v="319"/>
    <n v="13.3"/>
    <x v="0"/>
    <n v="5"/>
    <n v="254"/>
    <n v="329"/>
    <x v="0"/>
  </r>
  <r>
    <s v="ORD-11629"/>
    <x v="737"/>
    <d v="2025-06-22T00:00:00"/>
    <x v="6"/>
    <x v="3"/>
    <x v="3"/>
    <x v="2"/>
    <x v="1"/>
    <n v="1"/>
    <n v="973.52"/>
    <n v="25"/>
    <n v="224"/>
    <n v="328.23"/>
    <x v="0"/>
    <n v="1"/>
    <n v="973.52"/>
    <n v="998.52"/>
    <x v="0"/>
  </r>
  <r>
    <s v="ORD-11630"/>
    <x v="737"/>
    <d v="2025-06-24T00:00:00"/>
    <x v="6"/>
    <x v="3"/>
    <x v="3"/>
    <x v="2"/>
    <x v="2"/>
    <n v="1"/>
    <n v="315.26"/>
    <n v="25"/>
    <n v="319"/>
    <n v="97.84"/>
    <x v="0"/>
    <n v="3"/>
    <n v="315.26"/>
    <n v="340.26"/>
    <x v="0"/>
  </r>
  <r>
    <s v="ORD-11631"/>
    <x v="738"/>
    <d v="2025-06-26T00:00:00"/>
    <x v="8"/>
    <x v="2"/>
    <x v="2"/>
    <x v="0"/>
    <x v="0"/>
    <n v="2"/>
    <n v="489.54"/>
    <n v="75"/>
    <n v="125"/>
    <n v="158.31"/>
    <x v="0"/>
    <n v="3"/>
    <n v="979.08"/>
    <n v="1054.08"/>
    <x v="0"/>
  </r>
  <r>
    <s v="ORD-11632"/>
    <x v="739"/>
    <d v="2025-07-09T00:00:00"/>
    <x v="4"/>
    <x v="2"/>
    <x v="2"/>
    <x v="2"/>
    <x v="3"/>
    <n v="2"/>
    <n v="432.11"/>
    <n v="112.5"/>
    <n v="163"/>
    <n v="116.6"/>
    <x v="1"/>
    <n v="15"/>
    <n v="864.22"/>
    <n v="976.72"/>
    <x v="0"/>
  </r>
  <r>
    <s v="ORD-11633"/>
    <x v="740"/>
    <d v="2025-06-30T00:00:00"/>
    <x v="0"/>
    <x v="0"/>
    <x v="0"/>
    <x v="1"/>
    <x v="2"/>
    <n v="5"/>
    <n v="25.26"/>
    <n v="8"/>
    <n v="36"/>
    <n v="6.11"/>
    <x v="0"/>
    <n v="5"/>
    <n v="126.30000000000001"/>
    <n v="134.30000000000001"/>
    <x v="1"/>
  </r>
  <r>
    <s v="ORD-11634"/>
    <x v="741"/>
    <d v="2025-07-11T00:00:00"/>
    <x v="0"/>
    <x v="0"/>
    <x v="0"/>
    <x v="2"/>
    <x v="3"/>
    <n v="7"/>
    <n v="23.72"/>
    <n v="12"/>
    <n v="248"/>
    <n v="7.28"/>
    <x v="1"/>
    <n v="14"/>
    <n v="166.04"/>
    <n v="178.04"/>
    <x v="0"/>
  </r>
  <r>
    <s v="ORD-11635"/>
    <x v="741"/>
    <d v="2025-06-29T00:00:00"/>
    <x v="2"/>
    <x v="1"/>
    <x v="1"/>
    <x v="2"/>
    <x v="3"/>
    <n v="2"/>
    <n v="37.93"/>
    <n v="18"/>
    <n v="183"/>
    <n v="21.34"/>
    <x v="0"/>
    <n v="2"/>
    <n v="75.86"/>
    <n v="93.86"/>
    <x v="0"/>
  </r>
  <r>
    <s v="ORD-11636"/>
    <x v="741"/>
    <d v="2025-07-07T00:00:00"/>
    <x v="6"/>
    <x v="3"/>
    <x v="3"/>
    <x v="2"/>
    <x v="3"/>
    <n v="1"/>
    <n v="404.4"/>
    <n v="37.5"/>
    <n v="138"/>
    <n v="122.79"/>
    <x v="2"/>
    <n v="10"/>
    <n v="404.4"/>
    <n v="441.9"/>
    <x v="0"/>
  </r>
  <r>
    <s v="ORD-11637"/>
    <x v="742"/>
    <d v="2025-06-29T00:00:00"/>
    <x v="5"/>
    <x v="3"/>
    <x v="3"/>
    <x v="1"/>
    <x v="2"/>
    <n v="3"/>
    <n v="462.82"/>
    <n v="25"/>
    <n v="375"/>
    <n v="473.46"/>
    <x v="0"/>
    <n v="1"/>
    <n v="1388.46"/>
    <n v="1413.46"/>
    <x v="0"/>
  </r>
  <r>
    <s v="ORD-11638"/>
    <x v="743"/>
    <d v="2025-07-16T00:00:00"/>
    <x v="1"/>
    <x v="0"/>
    <x v="0"/>
    <x v="2"/>
    <x v="3"/>
    <n v="9"/>
    <n v="32.01"/>
    <n v="12"/>
    <n v="310"/>
    <n v="17.05"/>
    <x v="1"/>
    <n v="17"/>
    <n v="288.08999999999997"/>
    <n v="300.08999999999997"/>
    <x v="0"/>
  </r>
  <r>
    <s v="ORD-11639"/>
    <x v="743"/>
    <d v="2025-07-03T00:00:00"/>
    <x v="9"/>
    <x v="2"/>
    <x v="2"/>
    <x v="1"/>
    <x v="2"/>
    <n v="1"/>
    <n v="262.52999999999997"/>
    <n v="75"/>
    <n v="200"/>
    <n v="15.01"/>
    <x v="0"/>
    <n v="4"/>
    <n v="262.52999999999997"/>
    <n v="337.53"/>
    <x v="0"/>
  </r>
  <r>
    <s v="ORD-11640"/>
    <x v="744"/>
    <d v="2025-07-02T00:00:00"/>
    <x v="2"/>
    <x v="1"/>
    <x v="1"/>
    <x v="1"/>
    <x v="1"/>
    <n v="2"/>
    <n v="96.61"/>
    <n v="12"/>
    <n v="133"/>
    <n v="71.290000000000006"/>
    <x v="0"/>
    <n v="2"/>
    <n v="193.22"/>
    <n v="205.22"/>
    <x v="0"/>
  </r>
  <r>
    <s v="ORD-11641"/>
    <x v="744"/>
    <d v="2025-07-03T00:00:00"/>
    <x v="5"/>
    <x v="3"/>
    <x v="3"/>
    <x v="0"/>
    <x v="2"/>
    <n v="1"/>
    <n v="250.42"/>
    <n v="25"/>
    <n v="328"/>
    <n v="75.150000000000006"/>
    <x v="0"/>
    <n v="3"/>
    <n v="250.42"/>
    <n v="275.41999999999996"/>
    <x v="0"/>
  </r>
  <r>
    <s v="ORD-11642"/>
    <x v="745"/>
    <d v="2025-07-02T00:00:00"/>
    <x v="8"/>
    <x v="2"/>
    <x v="2"/>
    <x v="2"/>
    <x v="3"/>
    <n v="2"/>
    <n v="184.67"/>
    <n v="112.5"/>
    <n v="239"/>
    <n v="17.62"/>
    <x v="0"/>
    <n v="1"/>
    <n v="369.34"/>
    <n v="481.84"/>
    <x v="0"/>
  </r>
  <r>
    <s v="ORD-11643"/>
    <x v="746"/>
    <d v="2025-07-05T00:00:00"/>
    <x v="0"/>
    <x v="0"/>
    <x v="0"/>
    <x v="2"/>
    <x v="1"/>
    <n v="9"/>
    <n v="36.700000000000003"/>
    <n v="8"/>
    <n v="277"/>
    <n v="22.43"/>
    <x v="0"/>
    <n v="3"/>
    <n v="330.3"/>
    <n v="338.3"/>
    <x v="0"/>
  </r>
  <r>
    <s v="ORD-11644"/>
    <x v="746"/>
    <d v="2025-07-07T00:00:00"/>
    <x v="11"/>
    <x v="3"/>
    <x v="3"/>
    <x v="2"/>
    <x v="1"/>
    <n v="3"/>
    <n v="234.37"/>
    <n v="25"/>
    <n v="347"/>
    <n v="233.58"/>
    <x v="0"/>
    <n v="5"/>
    <n v="703.11"/>
    <n v="728.11"/>
    <x v="0"/>
  </r>
  <r>
    <s v="ORD-11645"/>
    <x v="746"/>
    <d v="2025-07-07T00:00:00"/>
    <x v="12"/>
    <x v="3"/>
    <x v="3"/>
    <x v="2"/>
    <x v="3"/>
    <n v="1"/>
    <n v="440.25"/>
    <n v="37.5"/>
    <n v="96"/>
    <n v="135.34"/>
    <x v="0"/>
    <n v="5"/>
    <n v="440.25"/>
    <n v="477.75"/>
    <x v="0"/>
  </r>
  <r>
    <s v="ORD-11646"/>
    <x v="747"/>
    <d v="2025-07-06T00:00:00"/>
    <x v="2"/>
    <x v="1"/>
    <x v="1"/>
    <x v="1"/>
    <x v="1"/>
    <n v="4"/>
    <n v="145.43"/>
    <n v="12"/>
    <n v="243"/>
    <n v="226.68"/>
    <x v="0"/>
    <n v="3"/>
    <n v="581.72"/>
    <n v="593.72"/>
    <x v="0"/>
  </r>
  <r>
    <s v="ORD-11647"/>
    <x v="747"/>
    <d v="2025-07-05T00:00:00"/>
    <x v="7"/>
    <x v="1"/>
    <x v="1"/>
    <x v="1"/>
    <x v="2"/>
    <n v="3"/>
    <n v="145.47999999999999"/>
    <n v="12"/>
    <n v="50"/>
    <n v="-65.47"/>
    <x v="0"/>
    <n v="2"/>
    <n v="436.43999999999994"/>
    <n v="448.43999999999994"/>
    <x v="1"/>
  </r>
  <r>
    <s v="ORD-11648"/>
    <x v="748"/>
    <d v="2025-07-08T00:00:00"/>
    <x v="6"/>
    <x v="3"/>
    <x v="3"/>
    <x v="0"/>
    <x v="2"/>
    <n v="3"/>
    <n v="672.66"/>
    <n v="25"/>
    <n v="221"/>
    <n v="693.8"/>
    <x v="0"/>
    <n v="4"/>
    <n v="2017.98"/>
    <n v="2042.98"/>
    <x v="0"/>
  </r>
  <r>
    <s v="ORD-11649"/>
    <x v="748"/>
    <d v="2025-07-05T00:00:00"/>
    <x v="15"/>
    <x v="4"/>
    <x v="4"/>
    <x v="0"/>
    <x v="1"/>
    <n v="1"/>
    <n v="57.92"/>
    <n v="12"/>
    <n v="80"/>
    <n v="20.059999999999999"/>
    <x v="0"/>
    <n v="1"/>
    <n v="57.92"/>
    <n v="69.92"/>
    <x v="0"/>
  </r>
  <r>
    <s v="ORD-11650"/>
    <x v="749"/>
    <d v="2025-07-07T00:00:00"/>
    <x v="1"/>
    <x v="0"/>
    <x v="0"/>
    <x v="1"/>
    <x v="2"/>
    <n v="14"/>
    <n v="29.58"/>
    <n v="8"/>
    <n v="2"/>
    <n v="29.13"/>
    <x v="0"/>
    <n v="2"/>
    <n v="414.12"/>
    <n v="422.12"/>
    <x v="2"/>
  </r>
  <r>
    <s v="ORD-11651"/>
    <x v="749"/>
    <d v="2025-07-09T00:00:00"/>
    <x v="10"/>
    <x v="0"/>
    <x v="0"/>
    <x v="1"/>
    <x v="1"/>
    <n v="12"/>
    <n v="20.23"/>
    <n v="8"/>
    <n v="314"/>
    <n v="15.42"/>
    <x v="0"/>
    <n v="4"/>
    <n v="242.76"/>
    <n v="250.76"/>
    <x v="0"/>
  </r>
  <r>
    <s v="ORD-11652"/>
    <x v="750"/>
    <d v="2025-07-10T00:00:00"/>
    <x v="1"/>
    <x v="0"/>
    <x v="0"/>
    <x v="1"/>
    <x v="0"/>
    <n v="11"/>
    <n v="33.380000000000003"/>
    <n v="8"/>
    <n v="274"/>
    <n v="25.37"/>
    <x v="0"/>
    <n v="4"/>
    <n v="367.18"/>
    <n v="375.18"/>
    <x v="0"/>
  </r>
  <r>
    <s v="ORD-11653"/>
    <x v="750"/>
    <d v="2025-07-08T00:00:00"/>
    <x v="13"/>
    <x v="4"/>
    <x v="4"/>
    <x v="1"/>
    <x v="0"/>
    <n v="3"/>
    <n v="110.41"/>
    <n v="12"/>
    <n v="311"/>
    <n v="143.05000000000001"/>
    <x v="0"/>
    <n v="2"/>
    <n v="331.23"/>
    <n v="343.23"/>
    <x v="0"/>
  </r>
  <r>
    <s v="ORD-11654"/>
    <x v="750"/>
    <d v="2025-07-09T00:00:00"/>
    <x v="0"/>
    <x v="0"/>
    <x v="0"/>
    <x v="2"/>
    <x v="0"/>
    <n v="5"/>
    <n v="12.05"/>
    <n v="8"/>
    <n v="44"/>
    <n v="0.82"/>
    <x v="0"/>
    <n v="3"/>
    <n v="60.25"/>
    <n v="68.25"/>
    <x v="1"/>
  </r>
  <r>
    <s v="ORD-11655"/>
    <x v="751"/>
    <d v="2025-07-08T00:00:00"/>
    <x v="11"/>
    <x v="3"/>
    <x v="3"/>
    <x v="0"/>
    <x v="0"/>
    <n v="2"/>
    <n v="321.44"/>
    <n v="25"/>
    <n v="60"/>
    <n v="212.51"/>
    <x v="0"/>
    <n v="1"/>
    <n v="642.88"/>
    <n v="667.88"/>
    <x v="0"/>
  </r>
  <r>
    <s v="ORD-11656"/>
    <x v="751"/>
    <d v="2025-07-09T00:00:00"/>
    <x v="10"/>
    <x v="0"/>
    <x v="0"/>
    <x v="1"/>
    <x v="2"/>
    <n v="7"/>
    <n v="34.450000000000003"/>
    <n v="8"/>
    <n v="67"/>
    <n v="15.29"/>
    <x v="0"/>
    <n v="2"/>
    <n v="241.15000000000003"/>
    <n v="249.15000000000003"/>
    <x v="0"/>
  </r>
  <r>
    <s v="ORD-11657"/>
    <x v="751"/>
    <d v="2025-07-10T00:00:00"/>
    <x v="15"/>
    <x v="4"/>
    <x v="4"/>
    <x v="1"/>
    <x v="0"/>
    <n v="5"/>
    <n v="73.900000000000006"/>
    <n v="12"/>
    <n v="29"/>
    <n v="160.28"/>
    <x v="0"/>
    <n v="3"/>
    <n v="369.5"/>
    <n v="381.5"/>
    <x v="1"/>
  </r>
  <r>
    <s v="ORD-11658"/>
    <x v="751"/>
    <d v="2025-07-09T00:00:00"/>
    <x v="12"/>
    <x v="3"/>
    <x v="3"/>
    <x v="1"/>
    <x v="2"/>
    <n v="2"/>
    <n v="343.6"/>
    <n v="25"/>
    <n v="72"/>
    <n v="228.02"/>
    <x v="0"/>
    <n v="2"/>
    <n v="687.2"/>
    <n v="712.2"/>
    <x v="0"/>
  </r>
  <r>
    <s v="ORD-11659"/>
    <x v="752"/>
    <d v="2025-07-18T00:00:00"/>
    <x v="15"/>
    <x v="4"/>
    <x v="4"/>
    <x v="2"/>
    <x v="3"/>
    <n v="4"/>
    <n v="71.08"/>
    <n v="18"/>
    <n v="384"/>
    <n v="118.95"/>
    <x v="2"/>
    <n v="10"/>
    <n v="284.32"/>
    <n v="302.32"/>
    <x v="0"/>
  </r>
  <r>
    <s v="ORD-11660"/>
    <x v="752"/>
    <d v="2025-07-10T00:00:00"/>
    <x v="7"/>
    <x v="1"/>
    <x v="1"/>
    <x v="0"/>
    <x v="1"/>
    <n v="1"/>
    <n v="35.15"/>
    <n v="12"/>
    <n v="49"/>
    <n v="8.06"/>
    <x v="0"/>
    <n v="2"/>
    <n v="35.15"/>
    <n v="47.15"/>
    <x v="1"/>
  </r>
  <r>
    <s v="ORD-11661"/>
    <x v="753"/>
    <d v="2025-07-13T00:00:00"/>
    <x v="6"/>
    <x v="3"/>
    <x v="3"/>
    <x v="2"/>
    <x v="3"/>
    <n v="1"/>
    <n v="261.11"/>
    <n v="37.5"/>
    <n v="337"/>
    <n v="72.64"/>
    <x v="0"/>
    <n v="4"/>
    <n v="261.11"/>
    <n v="298.61"/>
    <x v="0"/>
  </r>
  <r>
    <s v="ORD-11662"/>
    <x v="753"/>
    <d v="2025-07-13T00:00:00"/>
    <x v="12"/>
    <x v="3"/>
    <x v="3"/>
    <x v="0"/>
    <x v="3"/>
    <n v="2"/>
    <n v="879.55"/>
    <n v="37.5"/>
    <n v="199"/>
    <n v="596.92999999999995"/>
    <x v="0"/>
    <n v="4"/>
    <n v="1759.1"/>
    <n v="1796.6"/>
    <x v="0"/>
  </r>
  <r>
    <s v="ORD-11663"/>
    <x v="753"/>
    <d v="2025-07-14T00:00:00"/>
    <x v="2"/>
    <x v="1"/>
    <x v="1"/>
    <x v="0"/>
    <x v="0"/>
    <n v="2"/>
    <n v="46.93"/>
    <n v="12"/>
    <n v="132"/>
    <n v="31.55"/>
    <x v="0"/>
    <n v="5"/>
    <n v="93.86"/>
    <n v="105.86"/>
    <x v="0"/>
  </r>
  <r>
    <s v="ORD-11664"/>
    <x v="753"/>
    <d v="2025-07-12T00:00:00"/>
    <x v="5"/>
    <x v="3"/>
    <x v="3"/>
    <x v="2"/>
    <x v="3"/>
    <n v="2"/>
    <n v="506.16"/>
    <n v="37.5"/>
    <n v="33"/>
    <n v="335.56"/>
    <x v="0"/>
    <n v="3"/>
    <n v="1012.32"/>
    <n v="1049.8200000000002"/>
    <x v="1"/>
  </r>
  <r>
    <s v="ORD-11665"/>
    <x v="753"/>
    <d v="2025-07-26T00:00:00"/>
    <x v="6"/>
    <x v="3"/>
    <x v="3"/>
    <x v="2"/>
    <x v="2"/>
    <n v="2"/>
    <n v="678.7"/>
    <n v="25"/>
    <n v="177"/>
    <n v="462.59"/>
    <x v="1"/>
    <n v="17"/>
    <n v="1357.4"/>
    <n v="1382.4"/>
    <x v="0"/>
  </r>
  <r>
    <s v="ORD-11666"/>
    <x v="753"/>
    <d v="2025-07-12T00:00:00"/>
    <x v="15"/>
    <x v="4"/>
    <x v="4"/>
    <x v="1"/>
    <x v="2"/>
    <n v="2"/>
    <n v="93.54"/>
    <n v="12"/>
    <n v="62"/>
    <n v="78.19"/>
    <x v="0"/>
    <n v="3"/>
    <n v="187.08"/>
    <n v="199.08"/>
    <x v="0"/>
  </r>
  <r>
    <s v="ORD-11667"/>
    <x v="754"/>
    <d v="2025-07-12T00:00:00"/>
    <x v="9"/>
    <x v="2"/>
    <x v="2"/>
    <x v="2"/>
    <x v="3"/>
    <n v="2"/>
    <n v="316.82"/>
    <n v="112.5"/>
    <n v="63"/>
    <n v="70.48"/>
    <x v="0"/>
    <n v="2"/>
    <n v="633.64"/>
    <n v="746.14"/>
    <x v="0"/>
  </r>
  <r>
    <s v="ORD-11668"/>
    <x v="755"/>
    <d v="2025-07-12T00:00:00"/>
    <x v="1"/>
    <x v="0"/>
    <x v="0"/>
    <x v="1"/>
    <x v="0"/>
    <n v="12"/>
    <n v="27.58"/>
    <n v="8"/>
    <n v="91"/>
    <n v="22.48"/>
    <x v="0"/>
    <n v="1"/>
    <n v="330.96"/>
    <n v="338.96"/>
    <x v="0"/>
  </r>
  <r>
    <s v="ORD-11669"/>
    <x v="756"/>
    <d v="2025-07-15T00:00:00"/>
    <x v="6"/>
    <x v="3"/>
    <x v="3"/>
    <x v="2"/>
    <x v="2"/>
    <n v="2"/>
    <n v="775.37"/>
    <n v="25"/>
    <n v="31"/>
    <n v="530.26"/>
    <x v="0"/>
    <n v="3"/>
    <n v="1550.74"/>
    <n v="1575.74"/>
    <x v="1"/>
  </r>
  <r>
    <s v="ORD-11670"/>
    <x v="757"/>
    <d v="2025-07-14T00:00:00"/>
    <x v="2"/>
    <x v="1"/>
    <x v="1"/>
    <x v="2"/>
    <x v="3"/>
    <n v="2"/>
    <n v="54.84"/>
    <n v="18"/>
    <n v="322"/>
    <n v="34.869999999999997"/>
    <x v="0"/>
    <n v="1"/>
    <n v="109.68"/>
    <n v="127.68"/>
    <x v="0"/>
  </r>
  <r>
    <s v="ORD-11671"/>
    <x v="757"/>
    <d v="2025-07-17T00:00:00"/>
    <x v="2"/>
    <x v="1"/>
    <x v="1"/>
    <x v="0"/>
    <x v="3"/>
    <n v="2"/>
    <n v="107.97"/>
    <n v="18"/>
    <n v="20"/>
    <n v="77.37"/>
    <x v="0"/>
    <n v="4"/>
    <n v="215.94"/>
    <n v="233.94"/>
    <x v="2"/>
  </r>
  <r>
    <s v="ORD-11672"/>
    <x v="758"/>
    <d v="2025-07-28T00:00:00"/>
    <x v="11"/>
    <x v="3"/>
    <x v="3"/>
    <x v="2"/>
    <x v="3"/>
    <n v="3"/>
    <n v="970.11"/>
    <n v="37.5"/>
    <n v="135"/>
    <n v="999.87"/>
    <x v="1"/>
    <n v="14"/>
    <n v="2910.33"/>
    <n v="2947.83"/>
    <x v="0"/>
  </r>
  <r>
    <s v="ORD-11673"/>
    <x v="759"/>
    <d v="2025-07-29T00:00:00"/>
    <x v="14"/>
    <x v="4"/>
    <x v="4"/>
    <x v="2"/>
    <x v="3"/>
    <n v="4"/>
    <n v="97.11"/>
    <n v="18"/>
    <n v="254"/>
    <n v="165.81"/>
    <x v="1"/>
    <n v="13"/>
    <n v="388.44"/>
    <n v="406.44"/>
    <x v="0"/>
  </r>
  <r>
    <s v="ORD-11674"/>
    <x v="760"/>
    <d v="2025-07-31T00:00:00"/>
    <x v="12"/>
    <x v="3"/>
    <x v="3"/>
    <x v="2"/>
    <x v="1"/>
    <n v="1"/>
    <n v="1004.56"/>
    <n v="25"/>
    <n v="388"/>
    <n v="339.1"/>
    <x v="1"/>
    <n v="14"/>
    <n v="1004.56"/>
    <n v="1029.56"/>
    <x v="0"/>
  </r>
  <r>
    <s v="ORD-11675"/>
    <x v="760"/>
    <d v="2025-07-21T00:00:00"/>
    <x v="5"/>
    <x v="3"/>
    <x v="3"/>
    <x v="2"/>
    <x v="2"/>
    <n v="3"/>
    <n v="1103.01"/>
    <n v="25"/>
    <n v="21"/>
    <n v="1145.6600000000001"/>
    <x v="0"/>
    <n v="4"/>
    <n v="3309.0299999999997"/>
    <n v="3334.0299999999997"/>
    <x v="1"/>
  </r>
  <r>
    <s v="ORD-11676"/>
    <x v="760"/>
    <d v="2025-07-19T00:00:00"/>
    <x v="8"/>
    <x v="2"/>
    <x v="2"/>
    <x v="1"/>
    <x v="1"/>
    <n v="2"/>
    <n v="472.85"/>
    <n v="75"/>
    <n v="390"/>
    <n v="151.63999999999999"/>
    <x v="0"/>
    <n v="2"/>
    <n v="945.7"/>
    <n v="1020.7"/>
    <x v="0"/>
  </r>
  <r>
    <s v="ORD-11677"/>
    <x v="761"/>
    <d v="2025-08-03T00:00:00"/>
    <x v="14"/>
    <x v="4"/>
    <x v="4"/>
    <x v="2"/>
    <x v="3"/>
    <n v="4"/>
    <n v="90.53"/>
    <n v="18"/>
    <n v="70"/>
    <n v="153.96"/>
    <x v="1"/>
    <n v="16"/>
    <n v="362.12"/>
    <n v="380.12"/>
    <x v="0"/>
  </r>
  <r>
    <s v="ORD-11678"/>
    <x v="762"/>
    <d v="2025-08-05T00:00:00"/>
    <x v="9"/>
    <x v="2"/>
    <x v="2"/>
    <x v="2"/>
    <x v="0"/>
    <n v="1"/>
    <n v="194.36"/>
    <n v="75"/>
    <n v="364"/>
    <n v="1.37"/>
    <x v="1"/>
    <n v="17"/>
    <n v="194.36"/>
    <n v="269.36"/>
    <x v="0"/>
  </r>
  <r>
    <s v="ORD-11679"/>
    <x v="763"/>
    <d v="2025-07-31T00:00:00"/>
    <x v="10"/>
    <x v="0"/>
    <x v="0"/>
    <x v="2"/>
    <x v="3"/>
    <n v="11"/>
    <n v="33.97"/>
    <n v="12"/>
    <n v="211"/>
    <n v="23.9"/>
    <x v="1"/>
    <n v="11"/>
    <n v="373.66999999999996"/>
    <n v="385.66999999999996"/>
    <x v="0"/>
  </r>
  <r>
    <s v="ORD-11680"/>
    <x v="764"/>
    <d v="2025-07-27T00:00:00"/>
    <x v="4"/>
    <x v="2"/>
    <x v="2"/>
    <x v="0"/>
    <x v="0"/>
    <n v="2"/>
    <n v="351.6"/>
    <n v="75"/>
    <n v="397"/>
    <n v="103.14"/>
    <x v="0"/>
    <n v="5"/>
    <n v="703.2"/>
    <n v="778.2"/>
    <x v="0"/>
  </r>
  <r>
    <s v="ORD-11681"/>
    <x v="764"/>
    <d v="2025-07-24T00:00:00"/>
    <x v="7"/>
    <x v="1"/>
    <x v="1"/>
    <x v="2"/>
    <x v="3"/>
    <n v="5"/>
    <n v="122.9"/>
    <n v="18"/>
    <n v="377"/>
    <n v="236.8"/>
    <x v="0"/>
    <n v="2"/>
    <n v="614.5"/>
    <n v="632.5"/>
    <x v="0"/>
  </r>
  <r>
    <s v="ORD-11682"/>
    <x v="764"/>
    <d v="2025-07-26T00:00:00"/>
    <x v="10"/>
    <x v="0"/>
    <x v="0"/>
    <x v="1"/>
    <x v="2"/>
    <n v="12"/>
    <n v="10.69"/>
    <n v="8"/>
    <n v="371"/>
    <n v="6.26"/>
    <x v="0"/>
    <n v="4"/>
    <n v="128.28"/>
    <n v="136.28"/>
    <x v="0"/>
  </r>
  <r>
    <s v="ORD-11683"/>
    <x v="764"/>
    <d v="2025-08-04T00:00:00"/>
    <x v="12"/>
    <x v="3"/>
    <x v="3"/>
    <x v="2"/>
    <x v="2"/>
    <n v="3"/>
    <n v="1108.3800000000001"/>
    <n v="25"/>
    <n v="198"/>
    <n v="1151.3"/>
    <x v="1"/>
    <n v="13"/>
    <n v="3325.1400000000003"/>
    <n v="3350.1400000000003"/>
    <x v="0"/>
  </r>
  <r>
    <s v="ORD-11684"/>
    <x v="765"/>
    <d v="2025-07-28T00:00:00"/>
    <x v="4"/>
    <x v="2"/>
    <x v="2"/>
    <x v="1"/>
    <x v="1"/>
    <n v="2"/>
    <n v="217.41"/>
    <n v="75"/>
    <n v="333"/>
    <n v="49.46"/>
    <x v="0"/>
    <n v="5"/>
    <n v="434.82"/>
    <n v="509.82"/>
    <x v="0"/>
  </r>
  <r>
    <s v="ORD-11685"/>
    <x v="765"/>
    <d v="2025-08-02T00:00:00"/>
    <x v="10"/>
    <x v="0"/>
    <x v="0"/>
    <x v="2"/>
    <x v="2"/>
    <n v="9"/>
    <n v="19.75"/>
    <n v="8"/>
    <n v="8"/>
    <n v="10.220000000000001"/>
    <x v="2"/>
    <n v="10"/>
    <n v="177.75"/>
    <n v="185.75"/>
    <x v="2"/>
  </r>
  <r>
    <s v="ORD-11686"/>
    <x v="766"/>
    <d v="2025-08-08T00:00:00"/>
    <x v="1"/>
    <x v="0"/>
    <x v="0"/>
    <x v="2"/>
    <x v="3"/>
    <n v="10"/>
    <n v="24.94"/>
    <n v="12"/>
    <n v="4"/>
    <n v="13.95"/>
    <x v="1"/>
    <n v="15"/>
    <n v="249.4"/>
    <n v="261.39999999999998"/>
    <x v="2"/>
  </r>
  <r>
    <s v="ORD-11687"/>
    <x v="766"/>
    <d v="2025-07-29T00:00:00"/>
    <x v="2"/>
    <x v="1"/>
    <x v="1"/>
    <x v="0"/>
    <x v="2"/>
    <n v="4"/>
    <n v="98.15"/>
    <n v="12"/>
    <n v="163"/>
    <n v="151.04"/>
    <x v="0"/>
    <n v="5"/>
    <n v="392.6"/>
    <n v="404.6"/>
    <x v="0"/>
  </r>
  <r>
    <s v="ORD-11688"/>
    <x v="766"/>
    <d v="2025-07-25T00:00:00"/>
    <x v="4"/>
    <x v="2"/>
    <x v="2"/>
    <x v="2"/>
    <x v="3"/>
    <n v="2"/>
    <n v="400.69"/>
    <n v="112.5"/>
    <n v="229"/>
    <n v="104.02"/>
    <x v="0"/>
    <n v="1"/>
    <n v="801.38"/>
    <n v="913.88"/>
    <x v="0"/>
  </r>
  <r>
    <s v="ORD-11689"/>
    <x v="766"/>
    <d v="2025-07-28T00:00:00"/>
    <x v="0"/>
    <x v="0"/>
    <x v="0"/>
    <x v="2"/>
    <x v="3"/>
    <n v="10"/>
    <n v="13.2"/>
    <n v="12"/>
    <n v="351"/>
    <n v="4.5599999999999996"/>
    <x v="0"/>
    <n v="4"/>
    <n v="132"/>
    <n v="144"/>
    <x v="0"/>
  </r>
  <r>
    <s v="ORD-11690"/>
    <x v="766"/>
    <d v="2025-08-01T00:00:00"/>
    <x v="3"/>
    <x v="1"/>
    <x v="1"/>
    <x v="2"/>
    <x v="3"/>
    <n v="1"/>
    <n v="66.959999999999994"/>
    <n v="18"/>
    <n v="196"/>
    <n v="-10.039999999999999"/>
    <x v="2"/>
    <n v="8"/>
    <n v="66.959999999999994"/>
    <n v="84.96"/>
    <x v="0"/>
  </r>
  <r>
    <s v="ORD-11691"/>
    <x v="767"/>
    <d v="2025-07-26T00:00:00"/>
    <x v="4"/>
    <x v="2"/>
    <x v="2"/>
    <x v="2"/>
    <x v="2"/>
    <n v="1"/>
    <n v="122.69"/>
    <n v="75"/>
    <n v="45"/>
    <n v="-12.96"/>
    <x v="0"/>
    <n v="1"/>
    <n v="122.69"/>
    <n v="197.69"/>
    <x v="1"/>
  </r>
  <r>
    <s v="ORD-11692"/>
    <x v="767"/>
    <d v="2025-07-27T00:00:00"/>
    <x v="12"/>
    <x v="3"/>
    <x v="3"/>
    <x v="2"/>
    <x v="3"/>
    <n v="2"/>
    <n v="1115.1400000000001"/>
    <n v="37.5"/>
    <n v="229"/>
    <n v="761.85"/>
    <x v="0"/>
    <n v="2"/>
    <n v="2230.2800000000002"/>
    <n v="2267.7800000000002"/>
    <x v="0"/>
  </r>
  <r>
    <s v="ORD-11693"/>
    <x v="768"/>
    <d v="2025-08-12T00:00:00"/>
    <x v="3"/>
    <x v="1"/>
    <x v="1"/>
    <x v="2"/>
    <x v="0"/>
    <n v="3"/>
    <n v="91.93"/>
    <n v="12"/>
    <n v="348"/>
    <n v="104.32"/>
    <x v="1"/>
    <n v="16"/>
    <n v="275.79000000000002"/>
    <n v="287.79000000000002"/>
    <x v="0"/>
  </r>
  <r>
    <s v="ORD-11694"/>
    <x v="768"/>
    <d v="2025-08-01T00:00:00"/>
    <x v="9"/>
    <x v="2"/>
    <x v="2"/>
    <x v="0"/>
    <x v="1"/>
    <n v="2"/>
    <n v="265.22000000000003"/>
    <n v="75"/>
    <n v="369"/>
    <n v="68.59"/>
    <x v="0"/>
    <n v="5"/>
    <n v="530.44000000000005"/>
    <n v="605.44000000000005"/>
    <x v="0"/>
  </r>
  <r>
    <s v="ORD-11695"/>
    <x v="768"/>
    <d v="2025-07-30T00:00:00"/>
    <x v="15"/>
    <x v="4"/>
    <x v="4"/>
    <x v="2"/>
    <x v="0"/>
    <n v="5"/>
    <n v="123.44"/>
    <n v="12"/>
    <n v="123"/>
    <n v="271.75"/>
    <x v="0"/>
    <n v="3"/>
    <n v="617.20000000000005"/>
    <n v="629.20000000000005"/>
    <x v="0"/>
  </r>
  <r>
    <s v="ORD-11696"/>
    <x v="769"/>
    <d v="2025-08-02T00:00:00"/>
    <x v="2"/>
    <x v="1"/>
    <x v="1"/>
    <x v="2"/>
    <x v="0"/>
    <n v="5"/>
    <n v="137.04"/>
    <n v="12"/>
    <n v="286"/>
    <n v="268.07"/>
    <x v="0"/>
    <n v="5"/>
    <n v="685.19999999999993"/>
    <n v="697.19999999999993"/>
    <x v="0"/>
  </r>
  <r>
    <s v="ORD-11697"/>
    <x v="769"/>
    <d v="2025-08-01T00:00:00"/>
    <x v="2"/>
    <x v="1"/>
    <x v="1"/>
    <x v="1"/>
    <x v="2"/>
    <n v="1"/>
    <n v="117.28"/>
    <n v="12"/>
    <n v="229"/>
    <n v="40.909999999999997"/>
    <x v="0"/>
    <n v="4"/>
    <n v="117.28"/>
    <n v="129.28"/>
    <x v="0"/>
  </r>
  <r>
    <s v="ORD-11698"/>
    <x v="769"/>
    <d v="2025-08-11T00:00:00"/>
    <x v="10"/>
    <x v="0"/>
    <x v="0"/>
    <x v="2"/>
    <x v="3"/>
    <n v="13"/>
    <n v="43.84"/>
    <n v="12"/>
    <n v="284"/>
    <n v="39.590000000000003"/>
    <x v="1"/>
    <n v="14"/>
    <n v="569.92000000000007"/>
    <n v="581.92000000000007"/>
    <x v="0"/>
  </r>
  <r>
    <s v="ORD-11699"/>
    <x v="770"/>
    <d v="2025-08-14T00:00:00"/>
    <x v="7"/>
    <x v="1"/>
    <x v="1"/>
    <x v="2"/>
    <x v="2"/>
    <n v="5"/>
    <n v="140.29"/>
    <n v="12"/>
    <n v="103"/>
    <n v="274.58999999999997"/>
    <x v="1"/>
    <n v="15"/>
    <n v="701.44999999999993"/>
    <n v="713.44999999999993"/>
    <x v="0"/>
  </r>
  <r>
    <s v="ORD-11700"/>
    <x v="771"/>
    <d v="2025-08-10T00:00:00"/>
    <x v="8"/>
    <x v="2"/>
    <x v="2"/>
    <x v="2"/>
    <x v="3"/>
    <n v="1"/>
    <n v="165.61"/>
    <n v="112.5"/>
    <n v="249"/>
    <n v="-23.13"/>
    <x v="2"/>
    <n v="10"/>
    <n v="165.61"/>
    <n v="278.11"/>
    <x v="0"/>
  </r>
  <r>
    <s v="ORD-11701"/>
    <x v="772"/>
    <d v="2025-08-06T00:00:00"/>
    <x v="1"/>
    <x v="0"/>
    <x v="0"/>
    <x v="0"/>
    <x v="3"/>
    <n v="7"/>
    <n v="19.829999999999998"/>
    <n v="12"/>
    <n v="379"/>
    <n v="5.1100000000000003"/>
    <x v="0"/>
    <n v="5"/>
    <n v="138.81"/>
    <n v="150.81"/>
    <x v="0"/>
  </r>
  <r>
    <s v="ORD-11702"/>
    <x v="772"/>
    <d v="2025-08-05T00:00:00"/>
    <x v="9"/>
    <x v="2"/>
    <x v="2"/>
    <x v="0"/>
    <x v="3"/>
    <n v="1"/>
    <n v="332.5"/>
    <n v="112.5"/>
    <n v="65"/>
    <n v="10.25"/>
    <x v="0"/>
    <n v="4"/>
    <n v="332.5"/>
    <n v="445"/>
    <x v="0"/>
  </r>
  <r>
    <s v="ORD-11703"/>
    <x v="773"/>
    <d v="2025-08-05T00:00:00"/>
    <x v="3"/>
    <x v="1"/>
    <x v="1"/>
    <x v="2"/>
    <x v="3"/>
    <n v="4"/>
    <n v="126.03"/>
    <n v="18"/>
    <n v="393"/>
    <n v="192.65"/>
    <x v="0"/>
    <n v="3"/>
    <n v="504.12"/>
    <n v="522.12"/>
    <x v="0"/>
  </r>
  <r>
    <s v="ORD-11704"/>
    <x v="774"/>
    <d v="2025-08-06T00:00:00"/>
    <x v="3"/>
    <x v="1"/>
    <x v="1"/>
    <x v="1"/>
    <x v="0"/>
    <n v="5"/>
    <n v="25.11"/>
    <n v="12"/>
    <n v="45"/>
    <n v="-18.829999999999998"/>
    <x v="0"/>
    <n v="3"/>
    <n v="125.55"/>
    <n v="137.55000000000001"/>
    <x v="1"/>
  </r>
  <r>
    <s v="ORD-11705"/>
    <x v="774"/>
    <d v="2025-08-04T00:00:00"/>
    <x v="13"/>
    <x v="4"/>
    <x v="4"/>
    <x v="1"/>
    <x v="0"/>
    <n v="2"/>
    <n v="24.01"/>
    <n v="12"/>
    <n v="114"/>
    <n v="15.61"/>
    <x v="0"/>
    <n v="1"/>
    <n v="48.02"/>
    <n v="60.02"/>
    <x v="0"/>
  </r>
  <r>
    <s v="ORD-11706"/>
    <x v="775"/>
    <d v="2025-08-06T00:00:00"/>
    <x v="12"/>
    <x v="3"/>
    <x v="3"/>
    <x v="1"/>
    <x v="0"/>
    <n v="2"/>
    <n v="322.62"/>
    <n v="25"/>
    <n v="163"/>
    <n v="213.33"/>
    <x v="0"/>
    <n v="2"/>
    <n v="645.24"/>
    <n v="670.24"/>
    <x v="0"/>
  </r>
  <r>
    <s v="ORD-11707"/>
    <x v="775"/>
    <d v="2025-08-07T00:00:00"/>
    <x v="3"/>
    <x v="1"/>
    <x v="1"/>
    <x v="0"/>
    <x v="2"/>
    <n v="4"/>
    <n v="28.17"/>
    <n v="12"/>
    <n v="167"/>
    <n v="39.07"/>
    <x v="0"/>
    <n v="3"/>
    <n v="112.68"/>
    <n v="124.68"/>
    <x v="0"/>
  </r>
  <r>
    <s v="ORD-11708"/>
    <x v="775"/>
    <d v="2025-08-07T00:00:00"/>
    <x v="9"/>
    <x v="2"/>
    <x v="2"/>
    <x v="2"/>
    <x v="3"/>
    <n v="2"/>
    <n v="330.3"/>
    <n v="112.5"/>
    <n v="178"/>
    <n v="75.87"/>
    <x v="0"/>
    <n v="3"/>
    <n v="660.6"/>
    <n v="773.1"/>
    <x v="0"/>
  </r>
  <r>
    <s v="ORD-11709"/>
    <x v="775"/>
    <d v="2025-08-21T00:00:00"/>
    <x v="9"/>
    <x v="2"/>
    <x v="2"/>
    <x v="2"/>
    <x v="1"/>
    <n v="1"/>
    <n v="144.62"/>
    <n v="75"/>
    <n v="128"/>
    <n v="-21.69"/>
    <x v="1"/>
    <n v="17"/>
    <n v="144.62"/>
    <n v="219.62"/>
    <x v="0"/>
  </r>
  <r>
    <s v="ORD-11710"/>
    <x v="776"/>
    <d v="2025-08-12T00:00:00"/>
    <x v="1"/>
    <x v="0"/>
    <x v="0"/>
    <x v="2"/>
    <x v="0"/>
    <n v="14"/>
    <n v="14.34"/>
    <n v="8"/>
    <n v="395"/>
    <n v="12.06"/>
    <x v="2"/>
    <n v="7"/>
    <n v="200.76"/>
    <n v="208.76"/>
    <x v="0"/>
  </r>
  <r>
    <s v="ORD-11711"/>
    <x v="776"/>
    <d v="2025-08-07T00:00:00"/>
    <x v="3"/>
    <x v="1"/>
    <x v="1"/>
    <x v="0"/>
    <x v="3"/>
    <n v="4"/>
    <n v="99.73"/>
    <n v="18"/>
    <n v="186"/>
    <n v="-59.84"/>
    <x v="0"/>
    <n v="2"/>
    <n v="398.92"/>
    <n v="416.92"/>
    <x v="0"/>
  </r>
  <r>
    <s v="ORD-11712"/>
    <x v="776"/>
    <d v="2025-08-21T00:00:00"/>
    <x v="1"/>
    <x v="0"/>
    <x v="0"/>
    <x v="2"/>
    <x v="0"/>
    <n v="14"/>
    <n v="31.07"/>
    <n v="8"/>
    <n v="316"/>
    <n v="30.8"/>
    <x v="1"/>
    <n v="16"/>
    <n v="434.98"/>
    <n v="442.98"/>
    <x v="0"/>
  </r>
  <r>
    <s v="ORD-11713"/>
    <x v="776"/>
    <d v="2025-08-07T00:00:00"/>
    <x v="15"/>
    <x v="4"/>
    <x v="4"/>
    <x v="1"/>
    <x v="2"/>
    <n v="1"/>
    <n v="103.17"/>
    <n v="12"/>
    <n v="169"/>
    <n v="-15.48"/>
    <x v="0"/>
    <n v="2"/>
    <n v="103.17"/>
    <n v="115.17"/>
    <x v="0"/>
  </r>
  <r>
    <s v="ORD-11714"/>
    <x v="777"/>
    <d v="2025-08-09T00:00:00"/>
    <x v="6"/>
    <x v="3"/>
    <x v="3"/>
    <x v="2"/>
    <x v="1"/>
    <n v="1"/>
    <n v="651.15"/>
    <n v="25"/>
    <n v="363"/>
    <n v="215.4"/>
    <x v="0"/>
    <n v="3"/>
    <n v="651.15"/>
    <n v="676.15"/>
    <x v="0"/>
  </r>
  <r>
    <s v="ORD-11715"/>
    <x v="778"/>
    <d v="2025-08-09T00:00:00"/>
    <x v="15"/>
    <x v="4"/>
    <x v="4"/>
    <x v="2"/>
    <x v="3"/>
    <n v="2"/>
    <n v="143.91"/>
    <n v="18"/>
    <n v="250"/>
    <n v="120.52"/>
    <x v="0"/>
    <n v="1"/>
    <n v="287.82"/>
    <n v="305.82"/>
    <x v="0"/>
  </r>
  <r>
    <s v="ORD-11716"/>
    <x v="779"/>
    <d v="2025-08-10T00:00:00"/>
    <x v="1"/>
    <x v="0"/>
    <x v="0"/>
    <x v="0"/>
    <x v="2"/>
    <n v="10"/>
    <n v="30.2"/>
    <n v="8"/>
    <n v="4"/>
    <n v="20.16"/>
    <x v="0"/>
    <n v="1"/>
    <n v="302"/>
    <n v="310"/>
    <x v="2"/>
  </r>
  <r>
    <s v="ORD-11717"/>
    <x v="779"/>
    <d v="2025-08-13T00:00:00"/>
    <x v="9"/>
    <x v="2"/>
    <x v="2"/>
    <x v="1"/>
    <x v="2"/>
    <n v="1"/>
    <n v="441.01"/>
    <n v="75"/>
    <n v="126"/>
    <n v="50.7"/>
    <x v="0"/>
    <n v="4"/>
    <n v="441.01"/>
    <n v="516.01"/>
    <x v="0"/>
  </r>
  <r>
    <s v="ORD-11718"/>
    <x v="779"/>
    <d v="2025-08-10T00:00:00"/>
    <x v="10"/>
    <x v="0"/>
    <x v="0"/>
    <x v="0"/>
    <x v="1"/>
    <n v="7"/>
    <n v="12.11"/>
    <n v="8"/>
    <n v="141"/>
    <n v="2.78"/>
    <x v="0"/>
    <n v="1"/>
    <n v="84.77"/>
    <n v="92.77"/>
    <x v="0"/>
  </r>
  <r>
    <s v="ORD-11719"/>
    <x v="779"/>
    <d v="2025-08-25T00:00:00"/>
    <x v="7"/>
    <x v="1"/>
    <x v="1"/>
    <x v="2"/>
    <x v="1"/>
    <n v="2"/>
    <n v="73.959999999999994"/>
    <n v="12"/>
    <n v="36"/>
    <n v="53.16"/>
    <x v="1"/>
    <n v="16"/>
    <n v="147.91999999999999"/>
    <n v="159.91999999999999"/>
    <x v="1"/>
  </r>
  <r>
    <s v="ORD-11720"/>
    <x v="780"/>
    <d v="2025-08-16T00:00:00"/>
    <x v="2"/>
    <x v="1"/>
    <x v="1"/>
    <x v="2"/>
    <x v="3"/>
    <n v="3"/>
    <n v="95.15"/>
    <n v="18"/>
    <n v="143"/>
    <n v="105.18"/>
    <x v="0"/>
    <n v="5"/>
    <n v="285.45000000000005"/>
    <n v="303.45000000000005"/>
    <x v="0"/>
  </r>
  <r>
    <s v="ORD-11721"/>
    <x v="781"/>
    <d v="2025-08-13T00:00:00"/>
    <x v="10"/>
    <x v="0"/>
    <x v="0"/>
    <x v="0"/>
    <x v="1"/>
    <n v="11"/>
    <n v="41.19"/>
    <n v="8"/>
    <n v="59"/>
    <n v="32.24"/>
    <x v="0"/>
    <n v="1"/>
    <n v="453.09"/>
    <n v="461.09"/>
    <x v="0"/>
  </r>
  <r>
    <s v="ORD-11722"/>
    <x v="781"/>
    <d v="2025-08-13T00:00:00"/>
    <x v="2"/>
    <x v="1"/>
    <x v="1"/>
    <x v="1"/>
    <x v="1"/>
    <n v="2"/>
    <n v="49.68"/>
    <n v="12"/>
    <n v="311"/>
    <n v="33.74"/>
    <x v="0"/>
    <n v="1"/>
    <n v="99.36"/>
    <n v="111.36"/>
    <x v="0"/>
  </r>
  <r>
    <s v="ORD-11723"/>
    <x v="781"/>
    <d v="2025-08-14T00:00:00"/>
    <x v="6"/>
    <x v="3"/>
    <x v="3"/>
    <x v="2"/>
    <x v="2"/>
    <n v="3"/>
    <n v="915.48"/>
    <n v="25"/>
    <n v="169"/>
    <n v="948.75"/>
    <x v="0"/>
    <n v="2"/>
    <n v="2746.44"/>
    <n v="2771.44"/>
    <x v="0"/>
  </r>
  <r>
    <s v="ORD-11724"/>
    <x v="781"/>
    <d v="2025-08-15T00:00:00"/>
    <x v="2"/>
    <x v="1"/>
    <x v="1"/>
    <x v="0"/>
    <x v="2"/>
    <n v="5"/>
    <n v="62.34"/>
    <n v="12"/>
    <n v="96"/>
    <n v="-46.75"/>
    <x v="0"/>
    <n v="3"/>
    <n v="311.70000000000005"/>
    <n v="323.70000000000005"/>
    <x v="0"/>
  </r>
  <r>
    <s v="ORD-11725"/>
    <x v="782"/>
    <d v="2025-08-15T00:00:00"/>
    <x v="1"/>
    <x v="0"/>
    <x v="0"/>
    <x v="1"/>
    <x v="1"/>
    <n v="13"/>
    <n v="37.46"/>
    <n v="8"/>
    <n v="2"/>
    <n v="34.950000000000003"/>
    <x v="0"/>
    <n v="2"/>
    <n v="486.98"/>
    <n v="494.98"/>
    <x v="2"/>
  </r>
  <r>
    <s v="ORD-11726"/>
    <x v="782"/>
    <d v="2025-08-16T00:00:00"/>
    <x v="1"/>
    <x v="0"/>
    <x v="0"/>
    <x v="1"/>
    <x v="1"/>
    <n v="6"/>
    <n v="35.1"/>
    <n v="8"/>
    <n v="223"/>
    <n v="12.85"/>
    <x v="0"/>
    <n v="3"/>
    <n v="210.60000000000002"/>
    <n v="218.60000000000002"/>
    <x v="0"/>
  </r>
  <r>
    <s v="ORD-11727"/>
    <x v="782"/>
    <d v="2025-08-15T00:00:00"/>
    <x v="4"/>
    <x v="2"/>
    <x v="2"/>
    <x v="1"/>
    <x v="2"/>
    <n v="1"/>
    <n v="425.23"/>
    <n v="75"/>
    <n v="117"/>
    <n v="47.55"/>
    <x v="0"/>
    <n v="2"/>
    <n v="425.23"/>
    <n v="500.23"/>
    <x v="0"/>
  </r>
  <r>
    <s v="ORD-11728"/>
    <x v="782"/>
    <d v="2025-08-18T00:00:00"/>
    <x v="11"/>
    <x v="3"/>
    <x v="3"/>
    <x v="1"/>
    <x v="2"/>
    <n v="2"/>
    <n v="283.95999999999998"/>
    <n v="25"/>
    <n v="144"/>
    <n v="186.27"/>
    <x v="0"/>
    <n v="5"/>
    <n v="567.91999999999996"/>
    <n v="592.91999999999996"/>
    <x v="0"/>
  </r>
  <r>
    <s v="ORD-11729"/>
    <x v="782"/>
    <d v="2025-08-17T00:00:00"/>
    <x v="8"/>
    <x v="2"/>
    <x v="2"/>
    <x v="1"/>
    <x v="1"/>
    <n v="2"/>
    <n v="296.57"/>
    <n v="75"/>
    <n v="381"/>
    <n v="81.13"/>
    <x v="0"/>
    <n v="4"/>
    <n v="593.14"/>
    <n v="668.14"/>
    <x v="0"/>
  </r>
  <r>
    <s v="ORD-11730"/>
    <x v="782"/>
    <d v="2025-08-28T00:00:00"/>
    <x v="5"/>
    <x v="3"/>
    <x v="3"/>
    <x v="2"/>
    <x v="1"/>
    <n v="2"/>
    <n v="883.21"/>
    <n v="25"/>
    <n v="83"/>
    <n v="605.75"/>
    <x v="1"/>
    <n v="15"/>
    <n v="1766.42"/>
    <n v="1791.42"/>
    <x v="0"/>
  </r>
  <r>
    <s v="ORD-11731"/>
    <x v="783"/>
    <d v="2025-08-19T00:00:00"/>
    <x v="5"/>
    <x v="3"/>
    <x v="3"/>
    <x v="2"/>
    <x v="3"/>
    <n v="2"/>
    <n v="808.57"/>
    <n v="37.5"/>
    <n v="245"/>
    <n v="547.25"/>
    <x v="0"/>
    <n v="5"/>
    <n v="1617.14"/>
    <n v="1654.64"/>
    <x v="0"/>
  </r>
  <r>
    <s v="ORD-11732"/>
    <x v="783"/>
    <d v="2025-08-22T00:00:00"/>
    <x v="10"/>
    <x v="0"/>
    <x v="0"/>
    <x v="2"/>
    <x v="1"/>
    <n v="7"/>
    <n v="47.07"/>
    <n v="8"/>
    <n v="371"/>
    <n v="22.36"/>
    <x v="2"/>
    <n v="8"/>
    <n v="329.49"/>
    <n v="337.49"/>
    <x v="0"/>
  </r>
  <r>
    <s v="ORD-11733"/>
    <x v="783"/>
    <d v="2025-08-18T00:00:00"/>
    <x v="12"/>
    <x v="3"/>
    <x v="3"/>
    <x v="1"/>
    <x v="1"/>
    <n v="2"/>
    <n v="1014.42"/>
    <n v="25"/>
    <n v="117"/>
    <n v="697.6"/>
    <x v="0"/>
    <n v="4"/>
    <n v="2028.84"/>
    <n v="2053.84"/>
    <x v="0"/>
  </r>
  <r>
    <s v="ORD-11734"/>
    <x v="783"/>
    <d v="2025-08-19T00:00:00"/>
    <x v="2"/>
    <x v="1"/>
    <x v="1"/>
    <x v="0"/>
    <x v="1"/>
    <n v="1"/>
    <n v="61.63"/>
    <n v="12"/>
    <n v="272"/>
    <n v="18.649999999999999"/>
    <x v="0"/>
    <n v="5"/>
    <n v="61.63"/>
    <n v="73.63"/>
    <x v="0"/>
  </r>
  <r>
    <s v="ORD-11735"/>
    <x v="783"/>
    <d v="2025-08-15T00:00:00"/>
    <x v="5"/>
    <x v="3"/>
    <x v="3"/>
    <x v="2"/>
    <x v="1"/>
    <n v="1"/>
    <n v="1195.05"/>
    <n v="25"/>
    <n v="66"/>
    <n v="405.77"/>
    <x v="0"/>
    <n v="1"/>
    <n v="1195.05"/>
    <n v="1220.05"/>
    <x v="0"/>
  </r>
  <r>
    <s v="ORD-11736"/>
    <x v="784"/>
    <d v="2025-08-20T00:00:00"/>
    <x v="0"/>
    <x v="0"/>
    <x v="0"/>
    <x v="2"/>
    <x v="3"/>
    <n v="10"/>
    <n v="42.26"/>
    <n v="12"/>
    <n v="9"/>
    <n v="27.81"/>
    <x v="0"/>
    <n v="5"/>
    <n v="422.59999999999997"/>
    <n v="434.59999999999997"/>
    <x v="2"/>
  </r>
  <r>
    <s v="ORD-11737"/>
    <x v="784"/>
    <d v="2025-08-16T00:00:00"/>
    <x v="7"/>
    <x v="1"/>
    <x v="1"/>
    <x v="0"/>
    <x v="2"/>
    <n v="5"/>
    <n v="85.76"/>
    <n v="12"/>
    <n v="314"/>
    <n v="165.52"/>
    <x v="0"/>
    <n v="1"/>
    <n v="428.8"/>
    <n v="440.8"/>
    <x v="0"/>
  </r>
  <r>
    <s v="ORD-11738"/>
    <x v="784"/>
    <d v="2025-08-19T00:00:00"/>
    <x v="5"/>
    <x v="3"/>
    <x v="3"/>
    <x v="2"/>
    <x v="0"/>
    <n v="2"/>
    <n v="959.69"/>
    <n v="25"/>
    <n v="78"/>
    <n v="659.29"/>
    <x v="0"/>
    <n v="4"/>
    <n v="1919.38"/>
    <n v="1944.38"/>
    <x v="0"/>
  </r>
  <r>
    <s v="ORD-11739"/>
    <x v="784"/>
    <d v="2025-08-19T00:00:00"/>
    <x v="6"/>
    <x v="3"/>
    <x v="3"/>
    <x v="1"/>
    <x v="2"/>
    <n v="3"/>
    <n v="330.22"/>
    <n v="25"/>
    <n v="199"/>
    <n v="334.23"/>
    <x v="0"/>
    <n v="4"/>
    <n v="990.66000000000008"/>
    <n v="1015.6600000000001"/>
    <x v="0"/>
  </r>
  <r>
    <s v="ORD-11740"/>
    <x v="784"/>
    <d v="2025-08-20T00:00:00"/>
    <x v="7"/>
    <x v="1"/>
    <x v="1"/>
    <x v="0"/>
    <x v="0"/>
    <n v="2"/>
    <n v="43.24"/>
    <n v="12"/>
    <n v="321"/>
    <n v="28.59"/>
    <x v="0"/>
    <n v="5"/>
    <n v="86.48"/>
    <n v="98.48"/>
    <x v="0"/>
  </r>
  <r>
    <s v="ORD-11741"/>
    <x v="784"/>
    <d v="2025-08-19T00:00:00"/>
    <x v="0"/>
    <x v="0"/>
    <x v="0"/>
    <x v="1"/>
    <x v="2"/>
    <n v="14"/>
    <n v="27.96"/>
    <n v="8"/>
    <n v="9"/>
    <n v="27.32"/>
    <x v="0"/>
    <n v="4"/>
    <n v="391.44"/>
    <n v="399.44"/>
    <x v="2"/>
  </r>
  <r>
    <s v="ORD-11742"/>
    <x v="785"/>
    <d v="2025-08-17T00:00:00"/>
    <x v="4"/>
    <x v="2"/>
    <x v="2"/>
    <x v="0"/>
    <x v="0"/>
    <n v="2"/>
    <n v="126.67"/>
    <n v="75"/>
    <n v="335"/>
    <n v="13.17"/>
    <x v="0"/>
    <n v="1"/>
    <n v="253.34"/>
    <n v="328.34000000000003"/>
    <x v="0"/>
  </r>
  <r>
    <s v="ORD-11743"/>
    <x v="785"/>
    <d v="2025-08-21T00:00:00"/>
    <x v="13"/>
    <x v="4"/>
    <x v="4"/>
    <x v="0"/>
    <x v="0"/>
    <n v="2"/>
    <n v="114.03"/>
    <n v="12"/>
    <n v="135"/>
    <n v="96.63"/>
    <x v="0"/>
    <n v="5"/>
    <n v="228.06"/>
    <n v="240.06"/>
    <x v="0"/>
  </r>
  <r>
    <s v="ORD-11744"/>
    <x v="786"/>
    <d v="2025-08-22T00:00:00"/>
    <x v="0"/>
    <x v="0"/>
    <x v="0"/>
    <x v="0"/>
    <x v="1"/>
    <n v="5"/>
    <n v="10.49"/>
    <n v="8"/>
    <n v="324"/>
    <n v="0.2"/>
    <x v="0"/>
    <n v="5"/>
    <n v="52.45"/>
    <n v="60.45"/>
    <x v="0"/>
  </r>
  <r>
    <s v="ORD-11745"/>
    <x v="786"/>
    <d v="2025-08-21T00:00:00"/>
    <x v="0"/>
    <x v="0"/>
    <x v="0"/>
    <x v="2"/>
    <x v="1"/>
    <n v="14"/>
    <n v="13.13"/>
    <n v="8"/>
    <n v="226"/>
    <n v="10.7"/>
    <x v="0"/>
    <n v="4"/>
    <n v="183.82000000000002"/>
    <n v="191.82000000000002"/>
    <x v="0"/>
  </r>
  <r>
    <s v="ORD-11746"/>
    <x v="787"/>
    <d v="2025-08-20T00:00:00"/>
    <x v="0"/>
    <x v="0"/>
    <x v="0"/>
    <x v="0"/>
    <x v="2"/>
    <n v="9"/>
    <n v="33.83"/>
    <n v="8"/>
    <n v="214"/>
    <n v="20.36"/>
    <x v="0"/>
    <n v="2"/>
    <n v="304.46999999999997"/>
    <n v="312.46999999999997"/>
    <x v="0"/>
  </r>
  <r>
    <s v="ORD-11747"/>
    <x v="788"/>
    <d v="2025-08-28T00:00:00"/>
    <x v="11"/>
    <x v="3"/>
    <x v="3"/>
    <x v="2"/>
    <x v="2"/>
    <n v="2"/>
    <n v="576.49"/>
    <n v="25"/>
    <n v="35"/>
    <n v="391.04"/>
    <x v="2"/>
    <n v="9"/>
    <n v="1152.98"/>
    <n v="1177.98"/>
    <x v="1"/>
  </r>
  <r>
    <s v="ORD-11748"/>
    <x v="788"/>
    <d v="2025-08-20T00:00:00"/>
    <x v="9"/>
    <x v="2"/>
    <x v="2"/>
    <x v="0"/>
    <x v="0"/>
    <n v="2"/>
    <n v="382.49"/>
    <n v="75"/>
    <n v="262"/>
    <n v="115.5"/>
    <x v="0"/>
    <n v="1"/>
    <n v="764.98"/>
    <n v="839.98"/>
    <x v="0"/>
  </r>
  <r>
    <s v="ORD-11749"/>
    <x v="788"/>
    <d v="2025-08-22T00:00:00"/>
    <x v="0"/>
    <x v="0"/>
    <x v="0"/>
    <x v="2"/>
    <x v="3"/>
    <n v="6"/>
    <n v="22.48"/>
    <n v="12"/>
    <n v="75"/>
    <n v="4.79"/>
    <x v="0"/>
    <n v="3"/>
    <n v="134.88"/>
    <n v="146.88"/>
    <x v="0"/>
  </r>
  <r>
    <s v="ORD-11750"/>
    <x v="789"/>
    <d v="2025-08-24T00:00:00"/>
    <x v="6"/>
    <x v="3"/>
    <x v="3"/>
    <x v="1"/>
    <x v="1"/>
    <n v="3"/>
    <n v="468.62"/>
    <n v="25"/>
    <n v="359"/>
    <n v="479.55"/>
    <x v="0"/>
    <n v="4"/>
    <n v="1405.8600000000001"/>
    <n v="1430.8600000000001"/>
    <x v="0"/>
  </r>
  <r>
    <s v="ORD-11751"/>
    <x v="790"/>
    <d v="2025-08-26T00:00:00"/>
    <x v="6"/>
    <x v="3"/>
    <x v="3"/>
    <x v="0"/>
    <x v="0"/>
    <n v="3"/>
    <n v="1138.4100000000001"/>
    <n v="25"/>
    <n v="359"/>
    <n v="1182.83"/>
    <x v="0"/>
    <n v="5"/>
    <n v="3415.2300000000005"/>
    <n v="3440.2300000000005"/>
    <x v="0"/>
  </r>
  <r>
    <s v="ORD-11752"/>
    <x v="790"/>
    <d v="2025-08-23T00:00:00"/>
    <x v="3"/>
    <x v="1"/>
    <x v="1"/>
    <x v="0"/>
    <x v="0"/>
    <n v="2"/>
    <n v="105.07"/>
    <n v="12"/>
    <n v="271"/>
    <n v="78.05"/>
    <x v="0"/>
    <n v="2"/>
    <n v="210.14"/>
    <n v="222.14"/>
    <x v="0"/>
  </r>
  <r>
    <s v="ORD-11753"/>
    <x v="790"/>
    <d v="2025-08-22T00:00:00"/>
    <x v="10"/>
    <x v="0"/>
    <x v="0"/>
    <x v="2"/>
    <x v="0"/>
    <n v="8"/>
    <n v="43.2"/>
    <n v="8"/>
    <n v="373"/>
    <n v="23.65"/>
    <x v="0"/>
    <n v="1"/>
    <n v="345.6"/>
    <n v="353.6"/>
    <x v="0"/>
  </r>
  <r>
    <s v="ORD-11754"/>
    <x v="791"/>
    <d v="2025-08-29T00:00:00"/>
    <x v="10"/>
    <x v="0"/>
    <x v="0"/>
    <x v="2"/>
    <x v="3"/>
    <n v="6"/>
    <n v="27.96"/>
    <n v="12"/>
    <n v="320"/>
    <n v="7.42"/>
    <x v="0"/>
    <n v="5"/>
    <n v="167.76"/>
    <n v="179.76"/>
    <x v="0"/>
  </r>
  <r>
    <s v="ORD-11755"/>
    <x v="792"/>
    <d v="2025-08-27T00:00:00"/>
    <x v="11"/>
    <x v="3"/>
    <x v="3"/>
    <x v="0"/>
    <x v="2"/>
    <n v="3"/>
    <n v="231.8"/>
    <n v="25"/>
    <n v="115"/>
    <n v="-104.31"/>
    <x v="0"/>
    <n v="2"/>
    <n v="695.40000000000009"/>
    <n v="720.40000000000009"/>
    <x v="0"/>
  </r>
  <r>
    <s v="ORD-11756"/>
    <x v="792"/>
    <d v="2025-08-27T00:00:00"/>
    <x v="2"/>
    <x v="1"/>
    <x v="1"/>
    <x v="1"/>
    <x v="0"/>
    <n v="3"/>
    <n v="144.5"/>
    <n v="12"/>
    <n v="189"/>
    <n v="167.4"/>
    <x v="0"/>
    <n v="2"/>
    <n v="433.5"/>
    <n v="445.5"/>
    <x v="0"/>
  </r>
  <r>
    <s v="ORD-11757"/>
    <x v="793"/>
    <d v="2025-08-30T00:00:00"/>
    <x v="1"/>
    <x v="0"/>
    <x v="0"/>
    <x v="1"/>
    <x v="0"/>
    <n v="8"/>
    <n v="20.69"/>
    <n v="8"/>
    <n v="220"/>
    <n v="9.24"/>
    <x v="0"/>
    <n v="4"/>
    <n v="165.52"/>
    <n v="173.52"/>
    <x v="0"/>
  </r>
  <r>
    <s v="ORD-11758"/>
    <x v="793"/>
    <d v="2025-08-28T00:00:00"/>
    <x v="1"/>
    <x v="0"/>
    <x v="0"/>
    <x v="0"/>
    <x v="0"/>
    <n v="6"/>
    <n v="17.78"/>
    <n v="8"/>
    <n v="87"/>
    <n v="4.54"/>
    <x v="0"/>
    <n v="2"/>
    <n v="106.68"/>
    <n v="114.68"/>
    <x v="0"/>
  </r>
  <r>
    <s v="ORD-11759"/>
    <x v="793"/>
    <d v="2025-09-06T00:00:00"/>
    <x v="13"/>
    <x v="4"/>
    <x v="4"/>
    <x v="2"/>
    <x v="3"/>
    <n v="1"/>
    <n v="133.13999999999999"/>
    <n v="18"/>
    <n v="202"/>
    <n v="50.91"/>
    <x v="1"/>
    <n v="11"/>
    <n v="133.13999999999999"/>
    <n v="151.13999999999999"/>
    <x v="0"/>
  </r>
  <r>
    <s v="ORD-11760"/>
    <x v="793"/>
    <d v="2025-08-31T00:00:00"/>
    <x v="0"/>
    <x v="0"/>
    <x v="0"/>
    <x v="1"/>
    <x v="0"/>
    <n v="7"/>
    <n v="44.18"/>
    <n v="8"/>
    <n v="206"/>
    <n v="20.74"/>
    <x v="0"/>
    <n v="5"/>
    <n v="309.26"/>
    <n v="317.26"/>
    <x v="0"/>
  </r>
  <r>
    <s v="ORD-11761"/>
    <x v="794"/>
    <d v="2025-08-31T00:00:00"/>
    <x v="10"/>
    <x v="0"/>
    <x v="0"/>
    <x v="1"/>
    <x v="1"/>
    <n v="11"/>
    <n v="36.47"/>
    <n v="8"/>
    <n v="41"/>
    <n v="28.1"/>
    <x v="0"/>
    <n v="4"/>
    <n v="401.16999999999996"/>
    <n v="409.16999999999996"/>
    <x v="1"/>
  </r>
  <r>
    <s v="ORD-11762"/>
    <x v="795"/>
    <d v="2025-09-02T00:00:00"/>
    <x v="10"/>
    <x v="0"/>
    <x v="0"/>
    <x v="0"/>
    <x v="0"/>
    <n v="6"/>
    <n v="42.08"/>
    <n v="8"/>
    <n v="8"/>
    <n v="16.2"/>
    <x v="0"/>
    <n v="5"/>
    <n v="252.48"/>
    <n v="260.48"/>
    <x v="2"/>
  </r>
  <r>
    <s v="ORD-11763"/>
    <x v="795"/>
    <d v="2025-09-13T00:00:00"/>
    <x v="3"/>
    <x v="1"/>
    <x v="1"/>
    <x v="2"/>
    <x v="3"/>
    <n v="4"/>
    <n v="45.58"/>
    <n v="18"/>
    <n v="140"/>
    <n v="63.92"/>
    <x v="1"/>
    <n v="16"/>
    <n v="182.32"/>
    <n v="200.32"/>
    <x v="0"/>
  </r>
  <r>
    <s v="ORD-11764"/>
    <x v="795"/>
    <d v="2025-09-11T00:00:00"/>
    <x v="12"/>
    <x v="3"/>
    <x v="3"/>
    <x v="2"/>
    <x v="3"/>
    <n v="3"/>
    <n v="270.44"/>
    <n v="37.5"/>
    <n v="296"/>
    <n v="265.20999999999998"/>
    <x v="1"/>
    <n v="14"/>
    <n v="811.31999999999994"/>
    <n v="848.81999999999994"/>
    <x v="0"/>
  </r>
  <r>
    <s v="ORD-11765"/>
    <x v="796"/>
    <d v="2025-09-02T00:00:00"/>
    <x v="13"/>
    <x v="4"/>
    <x v="4"/>
    <x v="2"/>
    <x v="3"/>
    <n v="1"/>
    <n v="89.92"/>
    <n v="18"/>
    <n v="391"/>
    <n v="31.46"/>
    <x v="0"/>
    <n v="4"/>
    <n v="89.92"/>
    <n v="107.92"/>
    <x v="0"/>
  </r>
  <r>
    <s v="ORD-11766"/>
    <x v="796"/>
    <d v="2025-08-31T00:00:00"/>
    <x v="9"/>
    <x v="2"/>
    <x v="2"/>
    <x v="1"/>
    <x v="2"/>
    <n v="1"/>
    <n v="270.2"/>
    <n v="75"/>
    <n v="279"/>
    <n v="16.54"/>
    <x v="0"/>
    <n v="2"/>
    <n v="270.2"/>
    <n v="345.2"/>
    <x v="0"/>
  </r>
  <r>
    <s v="ORD-11767"/>
    <x v="796"/>
    <d v="2025-08-30T00:00:00"/>
    <x v="10"/>
    <x v="0"/>
    <x v="0"/>
    <x v="1"/>
    <x v="0"/>
    <n v="5"/>
    <n v="21.42"/>
    <n v="8"/>
    <n v="5"/>
    <n v="4.57"/>
    <x v="0"/>
    <n v="1"/>
    <n v="107.10000000000001"/>
    <n v="115.10000000000001"/>
    <x v="2"/>
  </r>
  <r>
    <s v="ORD-11768"/>
    <x v="797"/>
    <d v="2025-08-31T00:00:00"/>
    <x v="9"/>
    <x v="2"/>
    <x v="2"/>
    <x v="0"/>
    <x v="2"/>
    <n v="2"/>
    <n v="171.91"/>
    <n v="75"/>
    <n v="159"/>
    <n v="31.27"/>
    <x v="0"/>
    <n v="1"/>
    <n v="343.82"/>
    <n v="418.82"/>
    <x v="0"/>
  </r>
  <r>
    <s v="ORD-11769"/>
    <x v="797"/>
    <d v="2025-09-01T00:00:00"/>
    <x v="1"/>
    <x v="0"/>
    <x v="0"/>
    <x v="0"/>
    <x v="1"/>
    <n v="12"/>
    <n v="19.579999999999998"/>
    <n v="8"/>
    <n v="380"/>
    <n v="14.8"/>
    <x v="0"/>
    <n v="2"/>
    <n v="234.95999999999998"/>
    <n v="242.95999999999998"/>
    <x v="0"/>
  </r>
  <r>
    <s v="ORD-11770"/>
    <x v="797"/>
    <d v="2025-09-07T00:00:00"/>
    <x v="8"/>
    <x v="2"/>
    <x v="2"/>
    <x v="2"/>
    <x v="3"/>
    <n v="1"/>
    <n v="133.91"/>
    <n v="112.5"/>
    <n v="20"/>
    <n v="-29.47"/>
    <x v="2"/>
    <n v="8"/>
    <n v="133.91"/>
    <n v="246.41"/>
    <x v="2"/>
  </r>
  <r>
    <s v="ORD-11771"/>
    <x v="798"/>
    <d v="2025-09-05T00:00:00"/>
    <x v="2"/>
    <x v="1"/>
    <x v="1"/>
    <x v="2"/>
    <x v="3"/>
    <n v="1"/>
    <n v="83.82"/>
    <n v="18"/>
    <n v="244"/>
    <n v="24.53"/>
    <x v="0"/>
    <n v="5"/>
    <n v="83.82"/>
    <n v="101.82"/>
    <x v="0"/>
  </r>
  <r>
    <s v="ORD-11772"/>
    <x v="798"/>
    <d v="2025-09-01T00:00:00"/>
    <x v="0"/>
    <x v="0"/>
    <x v="0"/>
    <x v="2"/>
    <x v="3"/>
    <n v="14"/>
    <n v="27.48"/>
    <n v="12"/>
    <n v="30"/>
    <n v="24.78"/>
    <x v="0"/>
    <n v="1"/>
    <n v="384.72"/>
    <n v="396.72"/>
    <x v="1"/>
  </r>
  <r>
    <s v="ORD-11773"/>
    <x v="799"/>
    <d v="2025-09-10T00:00:00"/>
    <x v="10"/>
    <x v="0"/>
    <x v="0"/>
    <x v="2"/>
    <x v="2"/>
    <n v="5"/>
    <n v="32.17"/>
    <n v="8"/>
    <n v="112"/>
    <n v="8.8699999999999992"/>
    <x v="2"/>
    <n v="9"/>
    <n v="160.85000000000002"/>
    <n v="168.85000000000002"/>
    <x v="0"/>
  </r>
  <r>
    <s v="ORD-11774"/>
    <x v="799"/>
    <d v="2025-09-08T00:00:00"/>
    <x v="0"/>
    <x v="0"/>
    <x v="0"/>
    <x v="2"/>
    <x v="2"/>
    <n v="14"/>
    <n v="47.8"/>
    <n v="8"/>
    <n v="368"/>
    <n v="49.53"/>
    <x v="2"/>
    <n v="7"/>
    <n v="669.19999999999993"/>
    <n v="677.19999999999993"/>
    <x v="0"/>
  </r>
  <r>
    <s v="ORD-11775"/>
    <x v="800"/>
    <d v="2025-09-04T00:00:00"/>
    <x v="2"/>
    <x v="1"/>
    <x v="1"/>
    <x v="1"/>
    <x v="2"/>
    <n v="4"/>
    <n v="108.8"/>
    <n v="12"/>
    <n v="396"/>
    <n v="168.08"/>
    <x v="0"/>
    <n v="2"/>
    <n v="435.2"/>
    <n v="447.2"/>
    <x v="0"/>
  </r>
  <r>
    <s v="ORD-11776"/>
    <x v="800"/>
    <d v="2025-09-06T00:00:00"/>
    <x v="1"/>
    <x v="0"/>
    <x v="0"/>
    <x v="0"/>
    <x v="0"/>
    <n v="13"/>
    <n v="15.52"/>
    <n v="8"/>
    <n v="387"/>
    <n v="12.14"/>
    <x v="0"/>
    <n v="4"/>
    <n v="201.76"/>
    <n v="209.76"/>
    <x v="0"/>
  </r>
  <r>
    <s v="ORD-11777"/>
    <x v="801"/>
    <d v="2025-09-07T00:00:00"/>
    <x v="1"/>
    <x v="0"/>
    <x v="0"/>
    <x v="1"/>
    <x v="0"/>
    <n v="8"/>
    <n v="43.15"/>
    <n v="8"/>
    <n v="229"/>
    <n v="-51.78"/>
    <x v="0"/>
    <n v="3"/>
    <n v="345.2"/>
    <n v="353.2"/>
    <x v="0"/>
  </r>
  <r>
    <s v="ORD-11778"/>
    <x v="801"/>
    <d v="2025-09-08T00:00:00"/>
    <x v="1"/>
    <x v="0"/>
    <x v="0"/>
    <x v="2"/>
    <x v="0"/>
    <n v="7"/>
    <n v="21.63"/>
    <n v="8"/>
    <n v="176"/>
    <n v="8.11"/>
    <x v="0"/>
    <n v="4"/>
    <n v="151.41"/>
    <n v="159.41"/>
    <x v="0"/>
  </r>
  <r>
    <s v="ORD-11779"/>
    <x v="801"/>
    <d v="2025-09-09T00:00:00"/>
    <x v="7"/>
    <x v="1"/>
    <x v="1"/>
    <x v="1"/>
    <x v="1"/>
    <n v="4"/>
    <n v="63"/>
    <n v="12"/>
    <n v="210"/>
    <n v="94.79"/>
    <x v="0"/>
    <n v="5"/>
    <n v="252"/>
    <n v="264"/>
    <x v="0"/>
  </r>
  <r>
    <s v="ORD-11780"/>
    <x v="802"/>
    <d v="2025-09-07T00:00:00"/>
    <x v="11"/>
    <x v="3"/>
    <x v="3"/>
    <x v="0"/>
    <x v="1"/>
    <n v="1"/>
    <n v="1188.25"/>
    <n v="25"/>
    <n v="169"/>
    <n v="403.39"/>
    <x v="0"/>
    <n v="1"/>
    <n v="1188.25"/>
    <n v="1213.25"/>
    <x v="0"/>
  </r>
  <r>
    <s v="ORD-11781"/>
    <x v="803"/>
    <d v="2025-09-11T00:00:00"/>
    <x v="8"/>
    <x v="2"/>
    <x v="2"/>
    <x v="2"/>
    <x v="3"/>
    <n v="2"/>
    <n v="483.42"/>
    <n v="112.5"/>
    <n v="307"/>
    <n v="137.12"/>
    <x v="0"/>
    <n v="4"/>
    <n v="966.84"/>
    <n v="1079.3400000000001"/>
    <x v="0"/>
  </r>
  <r>
    <s v="ORD-11782"/>
    <x v="803"/>
    <d v="2025-09-19T00:00:00"/>
    <x v="1"/>
    <x v="0"/>
    <x v="0"/>
    <x v="2"/>
    <x v="3"/>
    <n v="7"/>
    <n v="48.11"/>
    <n v="12"/>
    <n v="59"/>
    <n v="20.94"/>
    <x v="1"/>
    <n v="12"/>
    <n v="336.77"/>
    <n v="348.77"/>
    <x v="0"/>
  </r>
  <r>
    <s v="ORD-11783"/>
    <x v="803"/>
    <d v="2025-09-09T00:00:00"/>
    <x v="6"/>
    <x v="3"/>
    <x v="3"/>
    <x v="2"/>
    <x v="1"/>
    <n v="1"/>
    <n v="269.64999999999998"/>
    <n v="25"/>
    <n v="166"/>
    <n v="81.88"/>
    <x v="0"/>
    <n v="2"/>
    <n v="269.64999999999998"/>
    <n v="294.64999999999998"/>
    <x v="0"/>
  </r>
  <r>
    <s v="ORD-11784"/>
    <x v="804"/>
    <d v="2025-09-11T00:00:00"/>
    <x v="15"/>
    <x v="4"/>
    <x v="4"/>
    <x v="2"/>
    <x v="2"/>
    <n v="3"/>
    <n v="146.35"/>
    <n v="12"/>
    <n v="346"/>
    <n v="191.57"/>
    <x v="0"/>
    <n v="3"/>
    <n v="439.04999999999995"/>
    <n v="451.04999999999995"/>
    <x v="0"/>
  </r>
  <r>
    <s v="ORD-11785"/>
    <x v="804"/>
    <d v="2025-09-20T00:00:00"/>
    <x v="14"/>
    <x v="4"/>
    <x v="4"/>
    <x v="2"/>
    <x v="0"/>
    <n v="2"/>
    <n v="106.55"/>
    <n v="12"/>
    <n v="166"/>
    <n v="89.89"/>
    <x v="1"/>
    <n v="12"/>
    <n v="213.1"/>
    <n v="225.1"/>
    <x v="0"/>
  </r>
  <r>
    <s v="ORD-11786"/>
    <x v="804"/>
    <d v="2025-09-09T00:00:00"/>
    <x v="15"/>
    <x v="4"/>
    <x v="4"/>
    <x v="1"/>
    <x v="1"/>
    <n v="4"/>
    <n v="20.16"/>
    <n v="12"/>
    <n v="155"/>
    <n v="30.29"/>
    <x v="0"/>
    <n v="1"/>
    <n v="80.64"/>
    <n v="92.64"/>
    <x v="0"/>
  </r>
  <r>
    <s v="ORD-11787"/>
    <x v="805"/>
    <d v="2025-09-14T00:00:00"/>
    <x v="14"/>
    <x v="4"/>
    <x v="4"/>
    <x v="2"/>
    <x v="3"/>
    <n v="4"/>
    <n v="26.85"/>
    <n v="18"/>
    <n v="333"/>
    <n v="39.33"/>
    <x v="0"/>
    <n v="5"/>
    <n v="107.4"/>
    <n v="125.4"/>
    <x v="0"/>
  </r>
  <r>
    <s v="ORD-11788"/>
    <x v="805"/>
    <d v="2025-09-13T00:00:00"/>
    <x v="8"/>
    <x v="2"/>
    <x v="2"/>
    <x v="0"/>
    <x v="3"/>
    <n v="2"/>
    <n v="326.64"/>
    <n v="112.5"/>
    <n v="256"/>
    <n v="74.41"/>
    <x v="0"/>
    <n v="4"/>
    <n v="653.28"/>
    <n v="765.78"/>
    <x v="0"/>
  </r>
  <r>
    <s v="ORD-11789"/>
    <x v="805"/>
    <d v="2025-09-10T00:00:00"/>
    <x v="1"/>
    <x v="0"/>
    <x v="0"/>
    <x v="0"/>
    <x v="2"/>
    <n v="5"/>
    <n v="34.729999999999997"/>
    <n v="8"/>
    <n v="160"/>
    <n v="9.89"/>
    <x v="0"/>
    <n v="1"/>
    <n v="173.64999999999998"/>
    <n v="181.64999999999998"/>
    <x v="0"/>
  </r>
  <r>
    <s v="ORD-11790"/>
    <x v="806"/>
    <d v="2025-09-22T00:00:00"/>
    <x v="10"/>
    <x v="0"/>
    <x v="0"/>
    <x v="2"/>
    <x v="3"/>
    <n v="8"/>
    <n v="10.08"/>
    <n v="12"/>
    <n v="74"/>
    <n v="0.45"/>
    <x v="1"/>
    <n v="12"/>
    <n v="80.64"/>
    <n v="92.64"/>
    <x v="0"/>
  </r>
  <r>
    <s v="ORD-11791"/>
    <x v="806"/>
    <d v="2025-09-24T00:00:00"/>
    <x v="14"/>
    <x v="4"/>
    <x v="4"/>
    <x v="2"/>
    <x v="1"/>
    <n v="3"/>
    <n v="37.74"/>
    <n v="12"/>
    <n v="213"/>
    <n v="44.95"/>
    <x v="1"/>
    <n v="14"/>
    <n v="113.22"/>
    <n v="125.22"/>
    <x v="0"/>
  </r>
  <r>
    <s v="ORD-11792"/>
    <x v="806"/>
    <d v="2025-09-13T00:00:00"/>
    <x v="0"/>
    <x v="0"/>
    <x v="0"/>
    <x v="1"/>
    <x v="1"/>
    <n v="7"/>
    <n v="40.83"/>
    <n v="8"/>
    <n v="3"/>
    <n v="18.87"/>
    <x v="0"/>
    <n v="3"/>
    <n v="285.81"/>
    <n v="293.81"/>
    <x v="2"/>
  </r>
  <r>
    <s v="ORD-11793"/>
    <x v="806"/>
    <d v="2025-09-13T00:00:00"/>
    <x v="2"/>
    <x v="1"/>
    <x v="1"/>
    <x v="2"/>
    <x v="0"/>
    <n v="2"/>
    <n v="40.1"/>
    <n v="12"/>
    <n v="113"/>
    <n v="26.08"/>
    <x v="0"/>
    <n v="3"/>
    <n v="80.2"/>
    <n v="92.2"/>
    <x v="0"/>
  </r>
  <r>
    <s v="ORD-11794"/>
    <x v="807"/>
    <d v="2025-09-14T00:00:00"/>
    <x v="7"/>
    <x v="1"/>
    <x v="1"/>
    <x v="1"/>
    <x v="2"/>
    <n v="2"/>
    <n v="78.61"/>
    <n v="12"/>
    <n v="200"/>
    <n v="56.89"/>
    <x v="0"/>
    <n v="3"/>
    <n v="157.22"/>
    <n v="169.22"/>
    <x v="0"/>
  </r>
  <r>
    <s v="ORD-11795"/>
    <x v="807"/>
    <d v="2025-09-13T00:00:00"/>
    <x v="5"/>
    <x v="3"/>
    <x v="3"/>
    <x v="1"/>
    <x v="1"/>
    <n v="3"/>
    <n v="682.09"/>
    <n v="25"/>
    <n v="111"/>
    <n v="703.7"/>
    <x v="0"/>
    <n v="2"/>
    <n v="2046.27"/>
    <n v="2071.27"/>
    <x v="0"/>
  </r>
  <r>
    <s v="ORD-11796"/>
    <x v="807"/>
    <d v="2025-09-14T00:00:00"/>
    <x v="4"/>
    <x v="2"/>
    <x v="2"/>
    <x v="1"/>
    <x v="2"/>
    <n v="1"/>
    <n v="216.94"/>
    <n v="75"/>
    <n v="366"/>
    <n v="5.89"/>
    <x v="0"/>
    <n v="3"/>
    <n v="216.94"/>
    <n v="291.94"/>
    <x v="0"/>
  </r>
  <r>
    <s v="ORD-11797"/>
    <x v="808"/>
    <d v="2025-09-25T00:00:00"/>
    <x v="10"/>
    <x v="0"/>
    <x v="0"/>
    <x v="2"/>
    <x v="1"/>
    <n v="11"/>
    <n v="13.21"/>
    <n v="8"/>
    <n v="380"/>
    <n v="7.62"/>
    <x v="1"/>
    <n v="13"/>
    <n v="145.31"/>
    <n v="153.31"/>
    <x v="0"/>
  </r>
  <r>
    <s v="ORD-11798"/>
    <x v="809"/>
    <d v="2025-09-15T00:00:00"/>
    <x v="4"/>
    <x v="2"/>
    <x v="2"/>
    <x v="2"/>
    <x v="0"/>
    <n v="1"/>
    <n v="273.36"/>
    <n v="75"/>
    <n v="241"/>
    <n v="17.170000000000002"/>
    <x v="0"/>
    <n v="2"/>
    <n v="273.36"/>
    <n v="348.36"/>
    <x v="0"/>
  </r>
  <r>
    <s v="ORD-11799"/>
    <x v="810"/>
    <d v="2025-09-19T00:00:00"/>
    <x v="11"/>
    <x v="3"/>
    <x v="3"/>
    <x v="0"/>
    <x v="0"/>
    <n v="3"/>
    <n v="809.17"/>
    <n v="25"/>
    <n v="228"/>
    <n v="837.13"/>
    <x v="0"/>
    <n v="5"/>
    <n v="2427.5099999999998"/>
    <n v="2452.5099999999998"/>
    <x v="0"/>
  </r>
  <r>
    <s v="ORD-11800"/>
    <x v="810"/>
    <d v="2025-09-17T00:00:00"/>
    <x v="8"/>
    <x v="2"/>
    <x v="2"/>
    <x v="1"/>
    <x v="0"/>
    <n v="2"/>
    <n v="135.94"/>
    <n v="75"/>
    <n v="126"/>
    <n v="16.88"/>
    <x v="0"/>
    <n v="3"/>
    <n v="271.88"/>
    <n v="346.88"/>
    <x v="0"/>
  </r>
  <r>
    <s v="ORD-11801"/>
    <x v="810"/>
    <d v="2025-09-16T00:00:00"/>
    <x v="0"/>
    <x v="0"/>
    <x v="0"/>
    <x v="2"/>
    <x v="0"/>
    <n v="9"/>
    <n v="25.8"/>
    <n v="8"/>
    <n v="26"/>
    <n v="14.58"/>
    <x v="0"/>
    <n v="2"/>
    <n v="232.20000000000002"/>
    <n v="240.20000000000002"/>
    <x v="1"/>
  </r>
  <r>
    <s v="ORD-11802"/>
    <x v="811"/>
    <d v="2025-09-17T00:00:00"/>
    <x v="10"/>
    <x v="0"/>
    <x v="0"/>
    <x v="1"/>
    <x v="0"/>
    <n v="14"/>
    <n v="37.94"/>
    <n v="8"/>
    <n v="88"/>
    <n v="-79.680000000000007"/>
    <x v="0"/>
    <n v="2"/>
    <n v="531.16"/>
    <n v="539.16"/>
    <x v="0"/>
  </r>
  <r>
    <s v="ORD-11803"/>
    <x v="811"/>
    <d v="2025-09-19T00:00:00"/>
    <x v="2"/>
    <x v="1"/>
    <x v="1"/>
    <x v="2"/>
    <x v="2"/>
    <n v="3"/>
    <n v="55.05"/>
    <n v="12"/>
    <n v="157"/>
    <n v="60.06"/>
    <x v="0"/>
    <n v="4"/>
    <n v="165.14999999999998"/>
    <n v="177.14999999999998"/>
    <x v="0"/>
  </r>
  <r>
    <s v="ORD-11804"/>
    <x v="811"/>
    <d v="2025-09-16T00:00:00"/>
    <x v="5"/>
    <x v="3"/>
    <x v="3"/>
    <x v="1"/>
    <x v="2"/>
    <n v="1"/>
    <n v="949.33"/>
    <n v="25"/>
    <n v="381"/>
    <n v="319.77"/>
    <x v="0"/>
    <n v="1"/>
    <n v="949.33"/>
    <n v="974.33"/>
    <x v="0"/>
  </r>
  <r>
    <s v="ORD-11805"/>
    <x v="812"/>
    <d v="2025-09-17T00:00:00"/>
    <x v="5"/>
    <x v="3"/>
    <x v="3"/>
    <x v="1"/>
    <x v="1"/>
    <n v="1"/>
    <n v="992.35"/>
    <n v="25"/>
    <n v="344"/>
    <n v="334.82"/>
    <x v="0"/>
    <n v="1"/>
    <n v="992.35"/>
    <n v="1017.35"/>
    <x v="0"/>
  </r>
  <r>
    <s v="ORD-11806"/>
    <x v="812"/>
    <d v="2025-09-19T00:00:00"/>
    <x v="3"/>
    <x v="1"/>
    <x v="1"/>
    <x v="0"/>
    <x v="1"/>
    <n v="4"/>
    <n v="34.9"/>
    <n v="12"/>
    <n v="71"/>
    <n v="49.85"/>
    <x v="0"/>
    <n v="3"/>
    <n v="139.6"/>
    <n v="151.6"/>
    <x v="0"/>
  </r>
  <r>
    <s v="ORD-11807"/>
    <x v="812"/>
    <d v="2025-09-27T00:00:00"/>
    <x v="9"/>
    <x v="2"/>
    <x v="2"/>
    <x v="2"/>
    <x v="0"/>
    <n v="2"/>
    <n v="191.12"/>
    <n v="75"/>
    <n v="280"/>
    <n v="38.950000000000003"/>
    <x v="1"/>
    <n v="11"/>
    <n v="382.24"/>
    <n v="457.24"/>
    <x v="0"/>
  </r>
  <r>
    <s v="ORD-11808"/>
    <x v="813"/>
    <d v="2025-09-22T00:00:00"/>
    <x v="5"/>
    <x v="3"/>
    <x v="3"/>
    <x v="0"/>
    <x v="1"/>
    <n v="2"/>
    <n v="361.8"/>
    <n v="25"/>
    <n v="212"/>
    <n v="240.76"/>
    <x v="0"/>
    <n v="4"/>
    <n v="723.6"/>
    <n v="748.6"/>
    <x v="0"/>
  </r>
  <r>
    <s v="ORD-11809"/>
    <x v="813"/>
    <d v="2025-09-23T00:00:00"/>
    <x v="8"/>
    <x v="2"/>
    <x v="2"/>
    <x v="1"/>
    <x v="2"/>
    <n v="2"/>
    <n v="207.47"/>
    <n v="75"/>
    <n v="297"/>
    <n v="45.49"/>
    <x v="0"/>
    <n v="5"/>
    <n v="414.94"/>
    <n v="489.94"/>
    <x v="0"/>
  </r>
  <r>
    <s v="ORD-11810"/>
    <x v="814"/>
    <d v="2025-09-24T00:00:00"/>
    <x v="15"/>
    <x v="4"/>
    <x v="4"/>
    <x v="2"/>
    <x v="3"/>
    <n v="1"/>
    <n v="26.88"/>
    <n v="18"/>
    <n v="346"/>
    <n v="3.1"/>
    <x v="0"/>
    <n v="5"/>
    <n v="26.88"/>
    <n v="44.879999999999995"/>
    <x v="0"/>
  </r>
  <r>
    <s v="ORD-11811"/>
    <x v="814"/>
    <d v="2025-09-20T00:00:00"/>
    <x v="10"/>
    <x v="0"/>
    <x v="0"/>
    <x v="0"/>
    <x v="0"/>
    <n v="6"/>
    <n v="23.32"/>
    <n v="8"/>
    <n v="387"/>
    <n v="7.2"/>
    <x v="0"/>
    <n v="1"/>
    <n v="139.92000000000002"/>
    <n v="147.92000000000002"/>
    <x v="0"/>
  </r>
  <r>
    <s v="ORD-11812"/>
    <x v="814"/>
    <d v="2025-09-21T00:00:00"/>
    <x v="9"/>
    <x v="2"/>
    <x v="2"/>
    <x v="2"/>
    <x v="1"/>
    <n v="2"/>
    <n v="490.66"/>
    <n v="75"/>
    <n v="70"/>
    <n v="158.77000000000001"/>
    <x v="0"/>
    <n v="2"/>
    <n v="981.32"/>
    <n v="1056.3200000000002"/>
    <x v="0"/>
  </r>
  <r>
    <s v="ORD-11813"/>
    <x v="814"/>
    <d v="2025-09-23T00:00:00"/>
    <x v="9"/>
    <x v="2"/>
    <x v="2"/>
    <x v="2"/>
    <x v="0"/>
    <n v="1"/>
    <n v="251.55"/>
    <n v="75"/>
    <n v="188"/>
    <n v="12.81"/>
    <x v="0"/>
    <n v="4"/>
    <n v="251.55"/>
    <n v="326.55"/>
    <x v="0"/>
  </r>
  <r>
    <s v="ORD-11814"/>
    <x v="814"/>
    <d v="2025-09-23T00:00:00"/>
    <x v="3"/>
    <x v="1"/>
    <x v="1"/>
    <x v="0"/>
    <x v="0"/>
    <n v="2"/>
    <n v="103.8"/>
    <n v="12"/>
    <n v="37"/>
    <n v="77.040000000000006"/>
    <x v="0"/>
    <n v="4"/>
    <n v="207.6"/>
    <n v="219.6"/>
    <x v="1"/>
  </r>
  <r>
    <s v="ORD-11815"/>
    <x v="815"/>
    <d v="2025-09-23T00:00:00"/>
    <x v="15"/>
    <x v="4"/>
    <x v="4"/>
    <x v="1"/>
    <x v="0"/>
    <n v="1"/>
    <n v="39.19"/>
    <n v="12"/>
    <n v="117"/>
    <n v="11.64"/>
    <x v="0"/>
    <n v="3"/>
    <n v="39.19"/>
    <n v="51.19"/>
    <x v="0"/>
  </r>
  <r>
    <s v="ORD-11816"/>
    <x v="815"/>
    <d v="2025-09-23T00:00:00"/>
    <x v="15"/>
    <x v="4"/>
    <x v="4"/>
    <x v="1"/>
    <x v="2"/>
    <n v="3"/>
    <n v="24.32"/>
    <n v="12"/>
    <n v="115"/>
    <n v="26.83"/>
    <x v="0"/>
    <n v="3"/>
    <n v="72.960000000000008"/>
    <n v="84.960000000000008"/>
    <x v="0"/>
  </r>
  <r>
    <s v="ORD-11817"/>
    <x v="815"/>
    <d v="2025-09-21T00:00:00"/>
    <x v="1"/>
    <x v="0"/>
    <x v="0"/>
    <x v="0"/>
    <x v="2"/>
    <n v="11"/>
    <n v="29.18"/>
    <n v="8"/>
    <n v="3"/>
    <n v="21.68"/>
    <x v="0"/>
    <n v="1"/>
    <n v="320.98"/>
    <n v="328.98"/>
    <x v="2"/>
  </r>
  <r>
    <s v="ORD-11818"/>
    <x v="816"/>
    <d v="2025-10-07T00:00:00"/>
    <x v="6"/>
    <x v="3"/>
    <x v="3"/>
    <x v="2"/>
    <x v="3"/>
    <n v="3"/>
    <n v="298.87"/>
    <n v="37.5"/>
    <n v="360"/>
    <n v="295.06"/>
    <x v="1"/>
    <n v="16"/>
    <n v="896.61"/>
    <n v="934.11"/>
    <x v="0"/>
  </r>
  <r>
    <s v="ORD-11819"/>
    <x v="816"/>
    <d v="2025-09-30T00:00:00"/>
    <x v="11"/>
    <x v="3"/>
    <x v="3"/>
    <x v="2"/>
    <x v="3"/>
    <n v="3"/>
    <n v="334.83"/>
    <n v="37.5"/>
    <n v="350"/>
    <n v="332.82"/>
    <x v="2"/>
    <n v="9"/>
    <n v="1004.49"/>
    <n v="1041.99"/>
    <x v="0"/>
  </r>
  <r>
    <s v="ORD-11820"/>
    <x v="816"/>
    <d v="2025-10-02T00:00:00"/>
    <x v="15"/>
    <x v="4"/>
    <x v="4"/>
    <x v="2"/>
    <x v="3"/>
    <n v="3"/>
    <n v="135.13"/>
    <n v="18"/>
    <n v="347"/>
    <n v="173.42"/>
    <x v="1"/>
    <n v="11"/>
    <n v="405.39"/>
    <n v="423.39"/>
    <x v="0"/>
  </r>
  <r>
    <s v="ORD-11821"/>
    <x v="817"/>
    <d v="2025-09-23T00:00:00"/>
    <x v="7"/>
    <x v="1"/>
    <x v="1"/>
    <x v="2"/>
    <x v="3"/>
    <n v="4"/>
    <n v="135.99"/>
    <n v="18"/>
    <n v="69"/>
    <n v="208.58"/>
    <x v="0"/>
    <n v="1"/>
    <n v="543.96"/>
    <n v="561.96"/>
    <x v="0"/>
  </r>
  <r>
    <s v="ORD-11822"/>
    <x v="818"/>
    <d v="2025-09-27T00:00:00"/>
    <x v="9"/>
    <x v="2"/>
    <x v="2"/>
    <x v="0"/>
    <x v="0"/>
    <n v="2"/>
    <n v="135.44999999999999"/>
    <n v="75"/>
    <n v="291"/>
    <n v="16.68"/>
    <x v="0"/>
    <n v="4"/>
    <n v="270.89999999999998"/>
    <n v="345.9"/>
    <x v="0"/>
  </r>
  <r>
    <s v="ORD-11823"/>
    <x v="818"/>
    <d v="2025-10-01T00:00:00"/>
    <x v="6"/>
    <x v="3"/>
    <x v="3"/>
    <x v="2"/>
    <x v="3"/>
    <n v="3"/>
    <n v="787"/>
    <n v="37.5"/>
    <n v="177"/>
    <n v="807.6"/>
    <x v="2"/>
    <n v="8"/>
    <n v="2361"/>
    <n v="2398.5"/>
    <x v="0"/>
  </r>
  <r>
    <s v="ORD-11824"/>
    <x v="818"/>
    <d v="2025-09-24T00:00:00"/>
    <x v="10"/>
    <x v="0"/>
    <x v="0"/>
    <x v="0"/>
    <x v="2"/>
    <n v="14"/>
    <n v="33.76"/>
    <n v="8"/>
    <n v="27"/>
    <n v="33.81"/>
    <x v="0"/>
    <n v="1"/>
    <n v="472.64"/>
    <n v="480.64"/>
    <x v="1"/>
  </r>
  <r>
    <s v="ORD-11825"/>
    <x v="819"/>
    <d v="2025-09-27T00:00:00"/>
    <x v="11"/>
    <x v="3"/>
    <x v="3"/>
    <x v="0"/>
    <x v="2"/>
    <n v="2"/>
    <n v="462.32"/>
    <n v="25"/>
    <n v="280"/>
    <n v="311.12"/>
    <x v="0"/>
    <n v="3"/>
    <n v="924.64"/>
    <n v="949.64"/>
    <x v="0"/>
  </r>
  <r>
    <s v="ORD-11826"/>
    <x v="820"/>
    <d v="2025-09-27T00:00:00"/>
    <x v="3"/>
    <x v="1"/>
    <x v="1"/>
    <x v="2"/>
    <x v="2"/>
    <n v="2"/>
    <n v="92.96"/>
    <n v="12"/>
    <n v="103"/>
    <n v="68.36"/>
    <x v="0"/>
    <n v="2"/>
    <n v="185.92"/>
    <n v="197.92"/>
    <x v="0"/>
  </r>
  <r>
    <s v="ORD-11827"/>
    <x v="820"/>
    <d v="2025-09-26T00:00:00"/>
    <x v="10"/>
    <x v="0"/>
    <x v="0"/>
    <x v="2"/>
    <x v="3"/>
    <n v="6"/>
    <n v="45.36"/>
    <n v="12"/>
    <n v="79"/>
    <n v="15.77"/>
    <x v="0"/>
    <n v="1"/>
    <n v="272.15999999999997"/>
    <n v="284.15999999999997"/>
    <x v="0"/>
  </r>
  <r>
    <s v="ORD-11828"/>
    <x v="821"/>
    <d v="2025-10-02T00:00:00"/>
    <x v="10"/>
    <x v="0"/>
    <x v="0"/>
    <x v="1"/>
    <x v="0"/>
    <n v="13"/>
    <n v="44"/>
    <n v="8"/>
    <n v="79"/>
    <n v="41.76"/>
    <x v="0"/>
    <n v="5"/>
    <n v="572"/>
    <n v="580"/>
    <x v="0"/>
  </r>
  <r>
    <s v="ORD-11829"/>
    <x v="822"/>
    <d v="2025-10-02T00:00:00"/>
    <x v="5"/>
    <x v="3"/>
    <x v="3"/>
    <x v="0"/>
    <x v="1"/>
    <n v="1"/>
    <n v="913.94"/>
    <n v="25"/>
    <n v="116"/>
    <n v="307.38"/>
    <x v="0"/>
    <n v="3"/>
    <n v="913.94"/>
    <n v="938.94"/>
    <x v="0"/>
  </r>
  <r>
    <s v="ORD-11830"/>
    <x v="822"/>
    <d v="2025-10-13T00:00:00"/>
    <x v="7"/>
    <x v="1"/>
    <x v="1"/>
    <x v="2"/>
    <x v="0"/>
    <n v="5"/>
    <n v="71.14"/>
    <n v="12"/>
    <n v="286"/>
    <n v="136.29"/>
    <x v="1"/>
    <n v="14"/>
    <n v="355.7"/>
    <n v="367.7"/>
    <x v="0"/>
  </r>
  <r>
    <s v="ORD-11831"/>
    <x v="823"/>
    <d v="2025-10-04T00:00:00"/>
    <x v="0"/>
    <x v="0"/>
    <x v="0"/>
    <x v="0"/>
    <x v="2"/>
    <n v="12"/>
    <n v="44.38"/>
    <n v="8"/>
    <n v="7"/>
    <n v="38.61"/>
    <x v="0"/>
    <n v="4"/>
    <n v="532.56000000000006"/>
    <n v="540.56000000000006"/>
    <x v="2"/>
  </r>
  <r>
    <s v="ORD-11832"/>
    <x v="823"/>
    <d v="2025-10-03T00:00:00"/>
    <x v="13"/>
    <x v="4"/>
    <x v="4"/>
    <x v="2"/>
    <x v="1"/>
    <n v="1"/>
    <n v="136.66999999999999"/>
    <n v="12"/>
    <n v="135"/>
    <n v="55.5"/>
    <x v="0"/>
    <n v="3"/>
    <n v="136.66999999999999"/>
    <n v="148.66999999999999"/>
    <x v="0"/>
  </r>
  <r>
    <s v="ORD-11833"/>
    <x v="824"/>
    <d v="2025-10-11T00:00:00"/>
    <x v="0"/>
    <x v="0"/>
    <x v="0"/>
    <x v="2"/>
    <x v="3"/>
    <n v="12"/>
    <n v="39.24"/>
    <n v="12"/>
    <n v="232"/>
    <n v="31.67"/>
    <x v="2"/>
    <n v="10"/>
    <n v="470.88"/>
    <n v="482.88"/>
    <x v="0"/>
  </r>
  <r>
    <s v="ORD-11834"/>
    <x v="824"/>
    <d v="2025-10-06T00:00:00"/>
    <x v="5"/>
    <x v="3"/>
    <x v="3"/>
    <x v="0"/>
    <x v="2"/>
    <n v="1"/>
    <n v="1071.99"/>
    <n v="25"/>
    <n v="92"/>
    <n v="362.7"/>
    <x v="0"/>
    <n v="5"/>
    <n v="1071.99"/>
    <n v="1096.99"/>
    <x v="0"/>
  </r>
  <r>
    <s v="ORD-11835"/>
    <x v="825"/>
    <d v="2025-10-10T00:00:00"/>
    <x v="0"/>
    <x v="0"/>
    <x v="0"/>
    <x v="2"/>
    <x v="1"/>
    <n v="10"/>
    <n v="43.54"/>
    <n v="8"/>
    <n v="7"/>
    <n v="30.83"/>
    <x v="2"/>
    <n v="8"/>
    <n v="435.4"/>
    <n v="443.4"/>
    <x v="2"/>
  </r>
  <r>
    <s v="ORD-11836"/>
    <x v="826"/>
    <d v="2025-10-04T00:00:00"/>
    <x v="12"/>
    <x v="3"/>
    <x v="3"/>
    <x v="0"/>
    <x v="0"/>
    <n v="3"/>
    <n v="675.15"/>
    <n v="25"/>
    <n v="302"/>
    <n v="696.4"/>
    <x v="0"/>
    <n v="1"/>
    <n v="2025.4499999999998"/>
    <n v="2050.4499999999998"/>
    <x v="0"/>
  </r>
  <r>
    <s v="ORD-11837"/>
    <x v="826"/>
    <d v="2025-10-06T00:00:00"/>
    <x v="8"/>
    <x v="2"/>
    <x v="2"/>
    <x v="0"/>
    <x v="1"/>
    <n v="1"/>
    <n v="386.07"/>
    <n v="75"/>
    <n v="121"/>
    <n v="39.71"/>
    <x v="0"/>
    <n v="3"/>
    <n v="386.07"/>
    <n v="461.07"/>
    <x v="0"/>
  </r>
  <r>
    <s v="ORD-11838"/>
    <x v="827"/>
    <d v="2025-10-07T00:00:00"/>
    <x v="15"/>
    <x v="4"/>
    <x v="4"/>
    <x v="2"/>
    <x v="3"/>
    <n v="5"/>
    <n v="141.19"/>
    <n v="18"/>
    <n v="58"/>
    <n v="308.69"/>
    <x v="0"/>
    <n v="3"/>
    <n v="705.95"/>
    <n v="723.95"/>
    <x v="0"/>
  </r>
  <r>
    <s v="ORD-11839"/>
    <x v="827"/>
    <d v="2025-10-06T00:00:00"/>
    <x v="0"/>
    <x v="0"/>
    <x v="0"/>
    <x v="2"/>
    <x v="1"/>
    <n v="10"/>
    <n v="16.760000000000002"/>
    <n v="8"/>
    <n v="234"/>
    <n v="9.41"/>
    <x v="0"/>
    <n v="2"/>
    <n v="167.60000000000002"/>
    <n v="175.60000000000002"/>
    <x v="0"/>
  </r>
  <r>
    <s v="ORD-11840"/>
    <x v="827"/>
    <d v="2025-10-09T00:00:00"/>
    <x v="6"/>
    <x v="3"/>
    <x v="3"/>
    <x v="0"/>
    <x v="3"/>
    <n v="3"/>
    <n v="478.73"/>
    <n v="37.5"/>
    <n v="320"/>
    <n v="483.91"/>
    <x v="0"/>
    <n v="5"/>
    <n v="1436.19"/>
    <n v="1473.69"/>
    <x v="0"/>
  </r>
  <r>
    <s v="ORD-11841"/>
    <x v="828"/>
    <d v="2025-10-06T00:00:00"/>
    <x v="13"/>
    <x v="4"/>
    <x v="4"/>
    <x v="1"/>
    <x v="2"/>
    <n v="3"/>
    <n v="65.19"/>
    <n v="12"/>
    <n v="131"/>
    <n v="82"/>
    <x v="0"/>
    <n v="1"/>
    <n v="195.57"/>
    <n v="207.57"/>
    <x v="0"/>
  </r>
  <r>
    <s v="ORD-11842"/>
    <x v="828"/>
    <d v="2025-10-07T00:00:00"/>
    <x v="3"/>
    <x v="1"/>
    <x v="1"/>
    <x v="0"/>
    <x v="2"/>
    <n v="4"/>
    <n v="148.52000000000001"/>
    <n v="12"/>
    <n v="357"/>
    <n v="231.64"/>
    <x v="0"/>
    <n v="2"/>
    <n v="594.08000000000004"/>
    <n v="606.08000000000004"/>
    <x v="0"/>
  </r>
  <r>
    <s v="ORD-11843"/>
    <x v="828"/>
    <d v="2025-10-06T00:00:00"/>
    <x v="2"/>
    <x v="1"/>
    <x v="1"/>
    <x v="1"/>
    <x v="0"/>
    <n v="1"/>
    <n v="148.75"/>
    <n v="12"/>
    <n v="231"/>
    <n v="53.5"/>
    <x v="0"/>
    <n v="1"/>
    <n v="148.75"/>
    <n v="160.75"/>
    <x v="0"/>
  </r>
  <r>
    <s v="ORD-11844"/>
    <x v="828"/>
    <d v="2025-10-09T00:00:00"/>
    <x v="3"/>
    <x v="1"/>
    <x v="1"/>
    <x v="0"/>
    <x v="0"/>
    <n v="5"/>
    <n v="112.46"/>
    <n v="12"/>
    <n v="99"/>
    <n v="218.92"/>
    <x v="0"/>
    <n v="4"/>
    <n v="562.29999999999995"/>
    <n v="574.29999999999995"/>
    <x v="0"/>
  </r>
  <r>
    <s v="ORD-11845"/>
    <x v="828"/>
    <d v="2025-10-10T00:00:00"/>
    <x v="3"/>
    <x v="1"/>
    <x v="1"/>
    <x v="2"/>
    <x v="2"/>
    <n v="3"/>
    <n v="83.15"/>
    <n v="12"/>
    <n v="94"/>
    <n v="93.78"/>
    <x v="0"/>
    <n v="5"/>
    <n v="249.45000000000002"/>
    <n v="261.45000000000005"/>
    <x v="0"/>
  </r>
  <r>
    <s v="ORD-11846"/>
    <x v="829"/>
    <d v="2025-10-08T00:00:00"/>
    <x v="12"/>
    <x v="3"/>
    <x v="3"/>
    <x v="1"/>
    <x v="1"/>
    <n v="1"/>
    <n v="902.55"/>
    <n v="25"/>
    <n v="236"/>
    <n v="303.39"/>
    <x v="0"/>
    <n v="2"/>
    <n v="902.55"/>
    <n v="927.55"/>
    <x v="0"/>
  </r>
  <r>
    <s v="ORD-11847"/>
    <x v="829"/>
    <d v="2025-10-10T00:00:00"/>
    <x v="15"/>
    <x v="4"/>
    <x v="4"/>
    <x v="2"/>
    <x v="0"/>
    <n v="3"/>
    <n v="149.83000000000001"/>
    <n v="12"/>
    <n v="251"/>
    <n v="196.28"/>
    <x v="0"/>
    <n v="4"/>
    <n v="449.49"/>
    <n v="461.49"/>
    <x v="0"/>
  </r>
  <r>
    <s v="ORD-11848"/>
    <x v="830"/>
    <d v="2025-10-12T00:00:00"/>
    <x v="6"/>
    <x v="3"/>
    <x v="3"/>
    <x v="0"/>
    <x v="0"/>
    <n v="3"/>
    <n v="541.98"/>
    <n v="25"/>
    <n v="20"/>
    <n v="556.58000000000004"/>
    <x v="0"/>
    <n v="5"/>
    <n v="1625.94"/>
    <n v="1650.94"/>
    <x v="2"/>
  </r>
  <r>
    <s v="ORD-11849"/>
    <x v="831"/>
    <d v="2025-10-23T00:00:00"/>
    <x v="12"/>
    <x v="3"/>
    <x v="3"/>
    <x v="2"/>
    <x v="3"/>
    <n v="2"/>
    <n v="1038.19"/>
    <n v="37.5"/>
    <n v="215"/>
    <n v="707.98"/>
    <x v="1"/>
    <n v="15"/>
    <n v="2076.38"/>
    <n v="2113.88"/>
    <x v="0"/>
  </r>
  <r>
    <s v="ORD-11850"/>
    <x v="832"/>
    <d v="2025-10-14T00:00:00"/>
    <x v="14"/>
    <x v="4"/>
    <x v="4"/>
    <x v="2"/>
    <x v="3"/>
    <n v="2"/>
    <n v="123.06"/>
    <n v="18"/>
    <n v="338"/>
    <n v="101.76"/>
    <x v="0"/>
    <n v="5"/>
    <n v="246.12"/>
    <n v="264.12"/>
    <x v="0"/>
  </r>
  <r>
    <s v="ORD-11851"/>
    <x v="832"/>
    <d v="2025-10-11T00:00:00"/>
    <x v="12"/>
    <x v="3"/>
    <x v="3"/>
    <x v="2"/>
    <x v="3"/>
    <n v="1"/>
    <n v="358.7"/>
    <n v="37.5"/>
    <n v="86"/>
    <n v="106.79"/>
    <x v="0"/>
    <n v="2"/>
    <n v="358.7"/>
    <n v="396.2"/>
    <x v="0"/>
  </r>
  <r>
    <s v="ORD-11852"/>
    <x v="832"/>
    <d v="2025-10-21T00:00:00"/>
    <x v="1"/>
    <x v="0"/>
    <x v="0"/>
    <x v="2"/>
    <x v="0"/>
    <n v="8"/>
    <n v="23.34"/>
    <n v="8"/>
    <n v="5"/>
    <n v="10.94"/>
    <x v="1"/>
    <n v="12"/>
    <n v="186.72"/>
    <n v="194.72"/>
    <x v="2"/>
  </r>
  <r>
    <s v="ORD-11853"/>
    <x v="833"/>
    <d v="2025-10-20T00:00:00"/>
    <x v="14"/>
    <x v="4"/>
    <x v="4"/>
    <x v="2"/>
    <x v="3"/>
    <n v="5"/>
    <n v="94.71"/>
    <n v="18"/>
    <n v="284"/>
    <n v="204.1"/>
    <x v="2"/>
    <n v="10"/>
    <n v="473.54999999999995"/>
    <n v="491.54999999999995"/>
    <x v="0"/>
  </r>
  <r>
    <s v="ORD-11854"/>
    <x v="833"/>
    <d v="2025-10-15T00:00:00"/>
    <x v="10"/>
    <x v="0"/>
    <x v="0"/>
    <x v="2"/>
    <x v="2"/>
    <n v="8"/>
    <n v="29.7"/>
    <n v="8"/>
    <n v="302"/>
    <n v="15.01"/>
    <x v="0"/>
    <n v="5"/>
    <n v="237.6"/>
    <n v="245.6"/>
    <x v="0"/>
  </r>
  <r>
    <s v="ORD-11855"/>
    <x v="833"/>
    <d v="2025-10-15T00:00:00"/>
    <x v="0"/>
    <x v="0"/>
    <x v="0"/>
    <x v="2"/>
    <x v="3"/>
    <n v="12"/>
    <n v="32.229999999999997"/>
    <n v="12"/>
    <n v="1"/>
    <n v="24.94"/>
    <x v="0"/>
    <n v="5"/>
    <n v="386.76"/>
    <n v="398.76"/>
    <x v="2"/>
  </r>
  <r>
    <s v="ORD-11856"/>
    <x v="833"/>
    <d v="2025-10-23T00:00:00"/>
    <x v="6"/>
    <x v="3"/>
    <x v="3"/>
    <x v="2"/>
    <x v="1"/>
    <n v="1"/>
    <n v="217.62"/>
    <n v="25"/>
    <n v="95"/>
    <n v="63.67"/>
    <x v="1"/>
    <n v="13"/>
    <n v="217.62"/>
    <n v="242.62"/>
    <x v="0"/>
  </r>
  <r>
    <s v="ORD-11857"/>
    <x v="834"/>
    <d v="2025-10-13T00:00:00"/>
    <x v="6"/>
    <x v="3"/>
    <x v="3"/>
    <x v="2"/>
    <x v="2"/>
    <n v="1"/>
    <n v="225.04"/>
    <n v="25"/>
    <n v="222"/>
    <n v="66.260000000000005"/>
    <x v="0"/>
    <n v="2"/>
    <n v="225.04"/>
    <n v="250.04"/>
    <x v="0"/>
  </r>
  <r>
    <s v="ORD-11858"/>
    <x v="834"/>
    <d v="2025-10-23T00:00:00"/>
    <x v="15"/>
    <x v="4"/>
    <x v="4"/>
    <x v="2"/>
    <x v="3"/>
    <n v="2"/>
    <n v="105.17"/>
    <n v="18"/>
    <n v="221"/>
    <n v="85.66"/>
    <x v="1"/>
    <n v="12"/>
    <n v="210.34"/>
    <n v="228.34"/>
    <x v="0"/>
  </r>
  <r>
    <s v="ORD-11859"/>
    <x v="834"/>
    <d v="2025-10-15T00:00:00"/>
    <x v="14"/>
    <x v="4"/>
    <x v="4"/>
    <x v="2"/>
    <x v="3"/>
    <n v="5"/>
    <n v="73.069999999999993"/>
    <n v="18"/>
    <n v="79"/>
    <n v="155.41"/>
    <x v="0"/>
    <n v="4"/>
    <n v="365.34999999999997"/>
    <n v="383.34999999999997"/>
    <x v="0"/>
  </r>
  <r>
    <s v="ORD-11860"/>
    <x v="835"/>
    <d v="2025-10-13T00:00:00"/>
    <x v="4"/>
    <x v="2"/>
    <x v="2"/>
    <x v="2"/>
    <x v="0"/>
    <n v="1"/>
    <n v="145.87"/>
    <n v="75"/>
    <n v="55"/>
    <n v="-8.33"/>
    <x v="0"/>
    <n v="1"/>
    <n v="145.87"/>
    <n v="220.87"/>
    <x v="0"/>
  </r>
  <r>
    <s v="ORD-11861"/>
    <x v="835"/>
    <d v="2025-10-15T00:00:00"/>
    <x v="4"/>
    <x v="2"/>
    <x v="2"/>
    <x v="1"/>
    <x v="0"/>
    <n v="1"/>
    <n v="282.52"/>
    <n v="75"/>
    <n v="371"/>
    <n v="19"/>
    <x v="0"/>
    <n v="3"/>
    <n v="282.52"/>
    <n v="357.52"/>
    <x v="0"/>
  </r>
  <r>
    <s v="ORD-11862"/>
    <x v="836"/>
    <d v="2025-10-16T00:00:00"/>
    <x v="6"/>
    <x v="3"/>
    <x v="3"/>
    <x v="2"/>
    <x v="3"/>
    <n v="2"/>
    <n v="406.02"/>
    <n v="37.5"/>
    <n v="277"/>
    <n v="265.45999999999998"/>
    <x v="0"/>
    <n v="3"/>
    <n v="812.04"/>
    <n v="849.54"/>
    <x v="0"/>
  </r>
  <r>
    <s v="ORD-11863"/>
    <x v="836"/>
    <d v="2025-10-15T00:00:00"/>
    <x v="9"/>
    <x v="2"/>
    <x v="2"/>
    <x v="0"/>
    <x v="0"/>
    <n v="1"/>
    <n v="436.91"/>
    <n v="75"/>
    <n v="105"/>
    <n v="49.88"/>
    <x v="0"/>
    <n v="2"/>
    <n v="436.91"/>
    <n v="511.91"/>
    <x v="0"/>
  </r>
  <r>
    <s v="ORD-11864"/>
    <x v="836"/>
    <d v="2025-10-22T00:00:00"/>
    <x v="15"/>
    <x v="4"/>
    <x v="4"/>
    <x v="2"/>
    <x v="3"/>
    <n v="4"/>
    <n v="111.06"/>
    <n v="18"/>
    <n v="298"/>
    <n v="190.91"/>
    <x v="2"/>
    <n v="9"/>
    <n v="444.24"/>
    <n v="462.24"/>
    <x v="0"/>
  </r>
  <r>
    <s v="ORD-11865"/>
    <x v="836"/>
    <d v="2025-10-15T00:00:00"/>
    <x v="0"/>
    <x v="0"/>
    <x v="0"/>
    <x v="0"/>
    <x v="2"/>
    <n v="14"/>
    <n v="35.590000000000003"/>
    <n v="8"/>
    <n v="8"/>
    <n v="35.86"/>
    <x v="0"/>
    <n v="2"/>
    <n v="498.26000000000005"/>
    <n v="506.26000000000005"/>
    <x v="2"/>
  </r>
  <r>
    <s v="ORD-11866"/>
    <x v="837"/>
    <d v="2025-10-17T00:00:00"/>
    <x v="13"/>
    <x v="4"/>
    <x v="4"/>
    <x v="2"/>
    <x v="3"/>
    <n v="5"/>
    <n v="45.03"/>
    <n v="18"/>
    <n v="248"/>
    <n v="92.31"/>
    <x v="0"/>
    <n v="3"/>
    <n v="225.15"/>
    <n v="243.15"/>
    <x v="0"/>
  </r>
  <r>
    <s v="ORD-11867"/>
    <x v="838"/>
    <d v="2025-10-20T00:00:00"/>
    <x v="4"/>
    <x v="2"/>
    <x v="2"/>
    <x v="1"/>
    <x v="2"/>
    <n v="1"/>
    <n v="361.94"/>
    <n v="75"/>
    <n v="303"/>
    <n v="34.89"/>
    <x v="0"/>
    <n v="4"/>
    <n v="361.94"/>
    <n v="436.94"/>
    <x v="0"/>
  </r>
  <r>
    <s v="ORD-11868"/>
    <x v="838"/>
    <d v="2025-10-18T00:00:00"/>
    <x v="10"/>
    <x v="0"/>
    <x v="0"/>
    <x v="2"/>
    <x v="3"/>
    <n v="11"/>
    <n v="20.27"/>
    <n v="12"/>
    <n v="176"/>
    <n v="11.84"/>
    <x v="0"/>
    <n v="2"/>
    <n v="222.97"/>
    <n v="234.97"/>
    <x v="0"/>
  </r>
  <r>
    <s v="ORD-11869"/>
    <x v="838"/>
    <d v="2025-10-17T00:00:00"/>
    <x v="15"/>
    <x v="4"/>
    <x v="4"/>
    <x v="0"/>
    <x v="1"/>
    <n v="2"/>
    <n v="134.66999999999999"/>
    <n v="12"/>
    <n v="160"/>
    <n v="115.21"/>
    <x v="0"/>
    <n v="1"/>
    <n v="269.33999999999997"/>
    <n v="281.33999999999997"/>
    <x v="0"/>
  </r>
  <r>
    <s v="ORD-11870"/>
    <x v="839"/>
    <d v="2025-10-31T00:00:00"/>
    <x v="2"/>
    <x v="1"/>
    <x v="1"/>
    <x v="2"/>
    <x v="1"/>
    <n v="5"/>
    <n v="41.92"/>
    <n v="12"/>
    <n v="298"/>
    <n v="77.84"/>
    <x v="1"/>
    <n v="14"/>
    <n v="209.60000000000002"/>
    <n v="221.60000000000002"/>
    <x v="0"/>
  </r>
  <r>
    <s v="ORD-11871"/>
    <x v="839"/>
    <d v="2025-10-20T00:00:00"/>
    <x v="4"/>
    <x v="2"/>
    <x v="2"/>
    <x v="1"/>
    <x v="2"/>
    <n v="1"/>
    <n v="476.38"/>
    <n v="75"/>
    <n v="374"/>
    <n v="57.78"/>
    <x v="0"/>
    <n v="3"/>
    <n v="476.38"/>
    <n v="551.38"/>
    <x v="0"/>
  </r>
  <r>
    <s v="ORD-11872"/>
    <x v="839"/>
    <d v="2025-10-25T00:00:00"/>
    <x v="4"/>
    <x v="2"/>
    <x v="2"/>
    <x v="2"/>
    <x v="3"/>
    <n v="1"/>
    <n v="258.20999999999998"/>
    <n v="112.5"/>
    <n v="155"/>
    <n v="-4.6100000000000003"/>
    <x v="2"/>
    <n v="8"/>
    <n v="258.20999999999998"/>
    <n v="370.71"/>
    <x v="0"/>
  </r>
  <r>
    <s v="ORD-11873"/>
    <x v="840"/>
    <d v="2025-10-23T00:00:00"/>
    <x v="11"/>
    <x v="3"/>
    <x v="3"/>
    <x v="0"/>
    <x v="2"/>
    <n v="3"/>
    <n v="856.47"/>
    <n v="25"/>
    <n v="241"/>
    <n v="886.79"/>
    <x v="0"/>
    <n v="5"/>
    <n v="2569.41"/>
    <n v="2594.41"/>
    <x v="0"/>
  </r>
  <r>
    <s v="ORD-11874"/>
    <x v="840"/>
    <d v="2025-10-19T00:00:00"/>
    <x v="12"/>
    <x v="3"/>
    <x v="3"/>
    <x v="2"/>
    <x v="1"/>
    <n v="3"/>
    <n v="298.02"/>
    <n v="25"/>
    <n v="257"/>
    <n v="300.42"/>
    <x v="0"/>
    <n v="1"/>
    <n v="894.06"/>
    <n v="919.06"/>
    <x v="0"/>
  </r>
  <r>
    <s v="ORD-11875"/>
    <x v="840"/>
    <d v="2025-10-19T00:00:00"/>
    <x v="14"/>
    <x v="4"/>
    <x v="4"/>
    <x v="0"/>
    <x v="3"/>
    <n v="2"/>
    <n v="89.09"/>
    <n v="18"/>
    <n v="279"/>
    <n v="71.180000000000007"/>
    <x v="0"/>
    <n v="1"/>
    <n v="178.18"/>
    <n v="196.18"/>
    <x v="0"/>
  </r>
  <r>
    <s v="ORD-11876"/>
    <x v="841"/>
    <d v="2025-10-20T00:00:00"/>
    <x v="0"/>
    <x v="0"/>
    <x v="0"/>
    <x v="0"/>
    <x v="3"/>
    <n v="11"/>
    <n v="13.06"/>
    <n v="12"/>
    <n v="319"/>
    <n v="-21.56"/>
    <x v="0"/>
    <n v="1"/>
    <n v="143.66"/>
    <n v="155.66"/>
    <x v="0"/>
  </r>
  <r>
    <s v="ORD-11877"/>
    <x v="842"/>
    <d v="2025-10-30T00:00:00"/>
    <x v="4"/>
    <x v="2"/>
    <x v="2"/>
    <x v="2"/>
    <x v="0"/>
    <n v="2"/>
    <n v="436.97"/>
    <n v="75"/>
    <n v="111"/>
    <n v="137.29"/>
    <x v="2"/>
    <n v="9"/>
    <n v="873.94"/>
    <n v="948.94"/>
    <x v="0"/>
  </r>
  <r>
    <s v="ORD-11878"/>
    <x v="842"/>
    <d v="2025-10-29T00:00:00"/>
    <x v="0"/>
    <x v="0"/>
    <x v="0"/>
    <x v="2"/>
    <x v="3"/>
    <n v="11"/>
    <n v="28.08"/>
    <n v="12"/>
    <n v="8"/>
    <n v="18.71"/>
    <x v="2"/>
    <n v="8"/>
    <n v="308.88"/>
    <n v="320.88"/>
    <x v="2"/>
  </r>
  <r>
    <s v="ORD-11879"/>
    <x v="842"/>
    <d v="2025-10-24T00:00:00"/>
    <x v="11"/>
    <x v="3"/>
    <x v="3"/>
    <x v="0"/>
    <x v="1"/>
    <n v="2"/>
    <n v="938.55"/>
    <n v="25"/>
    <n v="307"/>
    <n v="644.48"/>
    <x v="0"/>
    <n v="3"/>
    <n v="1877.1"/>
    <n v="1902.1"/>
    <x v="0"/>
  </r>
  <r>
    <s v="ORD-11880"/>
    <x v="842"/>
    <d v="2025-10-25T00:00:00"/>
    <x v="9"/>
    <x v="2"/>
    <x v="2"/>
    <x v="2"/>
    <x v="3"/>
    <n v="1"/>
    <n v="448.37"/>
    <n v="112.5"/>
    <n v="117"/>
    <n v="33.42"/>
    <x v="0"/>
    <n v="4"/>
    <n v="448.37"/>
    <n v="560.87"/>
    <x v="0"/>
  </r>
  <r>
    <s v="ORD-11881"/>
    <x v="843"/>
    <d v="2025-10-26T00:00:00"/>
    <x v="15"/>
    <x v="4"/>
    <x v="4"/>
    <x v="2"/>
    <x v="3"/>
    <n v="5"/>
    <n v="97.33"/>
    <n v="18"/>
    <n v="140"/>
    <n v="-73"/>
    <x v="0"/>
    <n v="4"/>
    <n v="486.65"/>
    <n v="504.65"/>
    <x v="0"/>
  </r>
  <r>
    <s v="ORD-11882"/>
    <x v="844"/>
    <d v="2025-10-26T00:00:00"/>
    <x v="8"/>
    <x v="2"/>
    <x v="2"/>
    <x v="0"/>
    <x v="3"/>
    <n v="2"/>
    <n v="259.36"/>
    <n v="112.5"/>
    <n v="193"/>
    <n v="47.49"/>
    <x v="0"/>
    <n v="3"/>
    <n v="518.72"/>
    <n v="631.22"/>
    <x v="0"/>
  </r>
  <r>
    <s v="ORD-11883"/>
    <x v="844"/>
    <d v="2025-11-06T00:00:00"/>
    <x v="2"/>
    <x v="1"/>
    <x v="1"/>
    <x v="2"/>
    <x v="3"/>
    <n v="1"/>
    <n v="88.35"/>
    <n v="18"/>
    <n v="286"/>
    <n v="26.34"/>
    <x v="1"/>
    <n v="14"/>
    <n v="88.35"/>
    <n v="106.35"/>
    <x v="0"/>
  </r>
  <r>
    <s v="ORD-11884"/>
    <x v="845"/>
    <d v="2025-10-28T00:00:00"/>
    <x v="9"/>
    <x v="2"/>
    <x v="2"/>
    <x v="0"/>
    <x v="1"/>
    <n v="1"/>
    <n v="376.39"/>
    <n v="75"/>
    <n v="365"/>
    <n v="37.78"/>
    <x v="0"/>
    <n v="3"/>
    <n v="376.39"/>
    <n v="451.39"/>
    <x v="0"/>
  </r>
  <r>
    <s v="ORD-11885"/>
    <x v="845"/>
    <d v="2025-10-27T00:00:00"/>
    <x v="1"/>
    <x v="0"/>
    <x v="0"/>
    <x v="0"/>
    <x v="0"/>
    <n v="8"/>
    <n v="20.12"/>
    <n v="8"/>
    <n v="240"/>
    <n v="8.8800000000000008"/>
    <x v="0"/>
    <n v="2"/>
    <n v="160.96"/>
    <n v="168.96"/>
    <x v="0"/>
  </r>
  <r>
    <s v="ORD-11886"/>
    <x v="845"/>
    <d v="2025-10-28T00:00:00"/>
    <x v="11"/>
    <x v="3"/>
    <x v="3"/>
    <x v="2"/>
    <x v="1"/>
    <n v="1"/>
    <n v="1156.5899999999999"/>
    <n v="25"/>
    <n v="379"/>
    <n v="392.31"/>
    <x v="0"/>
    <n v="3"/>
    <n v="1156.5899999999999"/>
    <n v="1181.5899999999999"/>
    <x v="0"/>
  </r>
  <r>
    <s v="ORD-11887"/>
    <x v="846"/>
    <d v="2025-10-31T00:00:00"/>
    <x v="12"/>
    <x v="3"/>
    <x v="3"/>
    <x v="0"/>
    <x v="3"/>
    <n v="2"/>
    <n v="772.55"/>
    <n v="37.5"/>
    <n v="74"/>
    <n v="522.04"/>
    <x v="0"/>
    <n v="4"/>
    <n v="1545.1"/>
    <n v="1582.6"/>
    <x v="0"/>
  </r>
  <r>
    <s v="ORD-11888"/>
    <x v="846"/>
    <d v="2025-10-29T00:00:00"/>
    <x v="0"/>
    <x v="0"/>
    <x v="0"/>
    <x v="0"/>
    <x v="2"/>
    <n v="9"/>
    <n v="37.380000000000003"/>
    <n v="8"/>
    <n v="182"/>
    <n v="22.91"/>
    <x v="0"/>
    <n v="2"/>
    <n v="336.42"/>
    <n v="344.42"/>
    <x v="0"/>
  </r>
  <r>
    <s v="ORD-11889"/>
    <x v="846"/>
    <d v="2025-11-01T00:00:00"/>
    <x v="15"/>
    <x v="4"/>
    <x v="4"/>
    <x v="0"/>
    <x v="1"/>
    <n v="3"/>
    <n v="123.22"/>
    <n v="12"/>
    <n v="212"/>
    <n v="160.35"/>
    <x v="0"/>
    <n v="5"/>
    <n v="369.65999999999997"/>
    <n v="381.65999999999997"/>
    <x v="0"/>
  </r>
  <r>
    <s v="ORD-11890"/>
    <x v="847"/>
    <d v="2025-10-30T00:00:00"/>
    <x v="1"/>
    <x v="0"/>
    <x v="0"/>
    <x v="1"/>
    <x v="0"/>
    <n v="12"/>
    <n v="46.03"/>
    <n v="8"/>
    <n v="184"/>
    <n v="40.19"/>
    <x v="0"/>
    <n v="2"/>
    <n v="552.36"/>
    <n v="560.36"/>
    <x v="0"/>
  </r>
  <r>
    <s v="ORD-11891"/>
    <x v="847"/>
    <d v="2025-11-01T00:00:00"/>
    <x v="12"/>
    <x v="3"/>
    <x v="3"/>
    <x v="2"/>
    <x v="1"/>
    <n v="3"/>
    <n v="667.78"/>
    <n v="25"/>
    <n v="143"/>
    <n v="688.67"/>
    <x v="0"/>
    <n v="4"/>
    <n v="2003.34"/>
    <n v="2028.34"/>
    <x v="0"/>
  </r>
  <r>
    <s v="ORD-11892"/>
    <x v="847"/>
    <d v="2025-11-12T00:00:00"/>
    <x v="14"/>
    <x v="4"/>
    <x v="4"/>
    <x v="2"/>
    <x v="3"/>
    <n v="5"/>
    <n v="34.44"/>
    <n v="18"/>
    <n v="75"/>
    <n v="68.48"/>
    <x v="1"/>
    <n v="15"/>
    <n v="172.2"/>
    <n v="190.2"/>
    <x v="0"/>
  </r>
  <r>
    <s v="ORD-11893"/>
    <x v="847"/>
    <d v="2025-10-30T00:00:00"/>
    <x v="2"/>
    <x v="1"/>
    <x v="1"/>
    <x v="0"/>
    <x v="3"/>
    <n v="5"/>
    <n v="60.82"/>
    <n v="18"/>
    <n v="326"/>
    <n v="112.64"/>
    <x v="0"/>
    <n v="2"/>
    <n v="304.10000000000002"/>
    <n v="322.10000000000002"/>
    <x v="0"/>
  </r>
  <r>
    <s v="ORD-11894"/>
    <x v="848"/>
    <d v="2025-10-30T00:00:00"/>
    <x v="11"/>
    <x v="3"/>
    <x v="3"/>
    <x v="2"/>
    <x v="3"/>
    <n v="1"/>
    <n v="522.47"/>
    <n v="37.5"/>
    <n v="173"/>
    <n v="164.11"/>
    <x v="0"/>
    <n v="1"/>
    <n v="522.47"/>
    <n v="559.97"/>
    <x v="0"/>
  </r>
  <r>
    <s v="ORD-11895"/>
    <x v="849"/>
    <d v="2025-11-13T00:00:00"/>
    <x v="5"/>
    <x v="3"/>
    <x v="3"/>
    <x v="2"/>
    <x v="3"/>
    <n v="3"/>
    <n v="660.7"/>
    <n v="37.5"/>
    <n v="281"/>
    <n v="674.98"/>
    <x v="1"/>
    <n v="14"/>
    <n v="1982.1000000000001"/>
    <n v="2019.6000000000001"/>
    <x v="0"/>
  </r>
  <r>
    <s v="ORD-11896"/>
    <x v="849"/>
    <d v="2025-11-01T00:00:00"/>
    <x v="13"/>
    <x v="4"/>
    <x v="4"/>
    <x v="2"/>
    <x v="1"/>
    <n v="4"/>
    <n v="67.510000000000005"/>
    <n v="12"/>
    <n v="26"/>
    <n v="115.51"/>
    <x v="0"/>
    <n v="2"/>
    <n v="270.04000000000002"/>
    <n v="282.04000000000002"/>
    <x v="1"/>
  </r>
  <r>
    <s v="ORD-11897"/>
    <x v="850"/>
    <d v="2025-11-03T00:00:00"/>
    <x v="10"/>
    <x v="0"/>
    <x v="0"/>
    <x v="0"/>
    <x v="1"/>
    <n v="5"/>
    <n v="39.24"/>
    <n v="8"/>
    <n v="8"/>
    <n v="11.7"/>
    <x v="0"/>
    <n v="2"/>
    <n v="196.20000000000002"/>
    <n v="204.20000000000002"/>
    <x v="2"/>
  </r>
  <r>
    <s v="ORD-11898"/>
    <x v="850"/>
    <d v="2025-11-16T00:00:00"/>
    <x v="5"/>
    <x v="3"/>
    <x v="3"/>
    <x v="2"/>
    <x v="2"/>
    <n v="2"/>
    <n v="294.98"/>
    <n v="25"/>
    <n v="343"/>
    <n v="193.99"/>
    <x v="1"/>
    <n v="15"/>
    <n v="589.96"/>
    <n v="614.96"/>
    <x v="0"/>
  </r>
  <r>
    <s v="ORD-11899"/>
    <x v="850"/>
    <d v="2025-11-06T00:00:00"/>
    <x v="1"/>
    <x v="0"/>
    <x v="0"/>
    <x v="2"/>
    <x v="0"/>
    <n v="12"/>
    <n v="36.4"/>
    <n v="8"/>
    <n v="267"/>
    <n v="30.95"/>
    <x v="0"/>
    <n v="5"/>
    <n v="436.79999999999995"/>
    <n v="444.79999999999995"/>
    <x v="0"/>
  </r>
  <r>
    <s v="ORD-11900"/>
    <x v="850"/>
    <d v="2025-11-05T00:00:00"/>
    <x v="1"/>
    <x v="0"/>
    <x v="0"/>
    <x v="2"/>
    <x v="3"/>
    <n v="11"/>
    <n v="36.83"/>
    <n v="12"/>
    <n v="116"/>
    <n v="26.41"/>
    <x v="0"/>
    <n v="4"/>
    <n v="405.13"/>
    <n v="417.13"/>
    <x v="0"/>
  </r>
  <r>
    <s v="ORD-11901"/>
    <x v="850"/>
    <d v="2025-11-05T00:00:00"/>
    <x v="9"/>
    <x v="2"/>
    <x v="2"/>
    <x v="0"/>
    <x v="1"/>
    <n v="2"/>
    <n v="273.11"/>
    <n v="75"/>
    <n v="233"/>
    <n v="71.739999999999995"/>
    <x v="0"/>
    <n v="4"/>
    <n v="546.22"/>
    <n v="621.22"/>
    <x v="0"/>
  </r>
  <r>
    <s v="ORD-11902"/>
    <x v="851"/>
    <d v="2025-11-09T00:00:00"/>
    <x v="15"/>
    <x v="4"/>
    <x v="4"/>
    <x v="2"/>
    <x v="3"/>
    <n v="1"/>
    <n v="30.01"/>
    <n v="18"/>
    <n v="329"/>
    <n v="4.5"/>
    <x v="2"/>
    <n v="7"/>
    <n v="30.01"/>
    <n v="48.010000000000005"/>
    <x v="0"/>
  </r>
  <r>
    <s v="ORD-11903"/>
    <x v="852"/>
    <d v="2025-11-09T00:00:00"/>
    <x v="14"/>
    <x v="4"/>
    <x v="4"/>
    <x v="0"/>
    <x v="1"/>
    <n v="4"/>
    <n v="43.07"/>
    <n v="12"/>
    <n v="58"/>
    <n v="71.52"/>
    <x v="0"/>
    <n v="5"/>
    <n v="172.28"/>
    <n v="184.28"/>
    <x v="0"/>
  </r>
  <r>
    <s v="ORD-11904"/>
    <x v="852"/>
    <d v="2025-11-05T00:00:00"/>
    <x v="9"/>
    <x v="2"/>
    <x v="2"/>
    <x v="0"/>
    <x v="1"/>
    <n v="2"/>
    <n v="196.13"/>
    <n v="75"/>
    <n v="48"/>
    <n v="40.950000000000003"/>
    <x v="0"/>
    <n v="1"/>
    <n v="392.26"/>
    <n v="467.26"/>
    <x v="1"/>
  </r>
  <r>
    <s v="ORD-11905"/>
    <x v="852"/>
    <d v="2025-11-07T00:00:00"/>
    <x v="3"/>
    <x v="1"/>
    <x v="1"/>
    <x v="0"/>
    <x v="3"/>
    <n v="4"/>
    <n v="135.78"/>
    <n v="18"/>
    <n v="120"/>
    <n v="208.25"/>
    <x v="0"/>
    <n v="3"/>
    <n v="543.12"/>
    <n v="561.12"/>
    <x v="0"/>
  </r>
  <r>
    <s v="ORD-11906"/>
    <x v="853"/>
    <d v="2025-11-07T00:00:00"/>
    <x v="11"/>
    <x v="3"/>
    <x v="3"/>
    <x v="2"/>
    <x v="3"/>
    <n v="1"/>
    <n v="394.32"/>
    <n v="37.5"/>
    <n v="268"/>
    <n v="119.26"/>
    <x v="0"/>
    <n v="2"/>
    <n v="394.32"/>
    <n v="431.82"/>
    <x v="0"/>
  </r>
  <r>
    <s v="ORD-11907"/>
    <x v="853"/>
    <d v="2025-11-06T00:00:00"/>
    <x v="10"/>
    <x v="0"/>
    <x v="0"/>
    <x v="2"/>
    <x v="3"/>
    <n v="10"/>
    <n v="34.54"/>
    <n v="12"/>
    <n v="126"/>
    <n v="-51.81"/>
    <x v="0"/>
    <n v="1"/>
    <n v="345.4"/>
    <n v="357.4"/>
    <x v="0"/>
  </r>
  <r>
    <s v="ORD-11908"/>
    <x v="854"/>
    <d v="2025-11-18T00:00:00"/>
    <x v="4"/>
    <x v="2"/>
    <x v="2"/>
    <x v="2"/>
    <x v="3"/>
    <n v="2"/>
    <n v="294.51"/>
    <n v="112.5"/>
    <n v="76"/>
    <n v="61.56"/>
    <x v="1"/>
    <n v="12"/>
    <n v="589.02"/>
    <n v="701.52"/>
    <x v="0"/>
  </r>
  <r>
    <s v="ORD-11909"/>
    <x v="854"/>
    <d v="2025-11-10T00:00:00"/>
    <x v="13"/>
    <x v="4"/>
    <x v="4"/>
    <x v="2"/>
    <x v="3"/>
    <n v="4"/>
    <n v="113.18"/>
    <n v="18"/>
    <n v="181"/>
    <n v="194.72"/>
    <x v="0"/>
    <n v="4"/>
    <n v="452.72"/>
    <n v="470.72"/>
    <x v="0"/>
  </r>
  <r>
    <s v="ORD-11910"/>
    <x v="854"/>
    <d v="2025-11-23T00:00:00"/>
    <x v="3"/>
    <x v="1"/>
    <x v="1"/>
    <x v="2"/>
    <x v="3"/>
    <n v="2"/>
    <n v="57.77"/>
    <n v="18"/>
    <n v="330"/>
    <n v="37.21"/>
    <x v="1"/>
    <n v="17"/>
    <n v="115.54"/>
    <n v="133.54000000000002"/>
    <x v="0"/>
  </r>
  <r>
    <s v="ORD-11911"/>
    <x v="854"/>
    <d v="2025-11-10T00:00:00"/>
    <x v="6"/>
    <x v="3"/>
    <x v="3"/>
    <x v="2"/>
    <x v="3"/>
    <n v="3"/>
    <n v="477.29"/>
    <n v="37.5"/>
    <n v="173"/>
    <n v="482.41"/>
    <x v="0"/>
    <n v="4"/>
    <n v="1431.8700000000001"/>
    <n v="1469.3700000000001"/>
    <x v="0"/>
  </r>
  <r>
    <s v="ORD-11912"/>
    <x v="854"/>
    <d v="2025-11-10T00:00:00"/>
    <x v="0"/>
    <x v="0"/>
    <x v="0"/>
    <x v="0"/>
    <x v="1"/>
    <n v="9"/>
    <n v="27"/>
    <n v="8"/>
    <n v="339"/>
    <n v="15.44"/>
    <x v="0"/>
    <n v="4"/>
    <n v="243"/>
    <n v="251"/>
    <x v="0"/>
  </r>
  <r>
    <s v="ORD-11913"/>
    <x v="855"/>
    <d v="2025-11-17T00:00:00"/>
    <x v="14"/>
    <x v="4"/>
    <x v="4"/>
    <x v="2"/>
    <x v="2"/>
    <n v="5"/>
    <n v="42.41"/>
    <n v="12"/>
    <n v="342"/>
    <n v="89.43"/>
    <x v="2"/>
    <n v="9"/>
    <n v="212.04999999999998"/>
    <n v="224.04999999999998"/>
    <x v="0"/>
  </r>
  <r>
    <s v="ORD-11914"/>
    <x v="855"/>
    <d v="2025-11-09T00:00:00"/>
    <x v="6"/>
    <x v="3"/>
    <x v="3"/>
    <x v="2"/>
    <x v="3"/>
    <n v="1"/>
    <n v="1150.6400000000001"/>
    <n v="37.5"/>
    <n v="85"/>
    <n v="383.97"/>
    <x v="0"/>
    <n v="1"/>
    <n v="1150.6400000000001"/>
    <n v="1188.1400000000001"/>
    <x v="0"/>
  </r>
  <r>
    <s v="ORD-11915"/>
    <x v="856"/>
    <d v="2025-11-14T00:00:00"/>
    <x v="6"/>
    <x v="3"/>
    <x v="3"/>
    <x v="2"/>
    <x v="2"/>
    <n v="1"/>
    <n v="331.59"/>
    <n v="25"/>
    <n v="332"/>
    <n v="103.56"/>
    <x v="0"/>
    <n v="5"/>
    <n v="331.59"/>
    <n v="356.59"/>
    <x v="0"/>
  </r>
  <r>
    <s v="ORD-11916"/>
    <x v="856"/>
    <d v="2025-11-13T00:00:00"/>
    <x v="6"/>
    <x v="3"/>
    <x v="3"/>
    <x v="1"/>
    <x v="1"/>
    <n v="1"/>
    <n v="829.91"/>
    <n v="25"/>
    <n v="169"/>
    <n v="277.97000000000003"/>
    <x v="0"/>
    <n v="4"/>
    <n v="829.91"/>
    <n v="854.91"/>
    <x v="0"/>
  </r>
  <r>
    <s v="ORD-11917"/>
    <x v="857"/>
    <d v="2025-11-14T00:00:00"/>
    <x v="6"/>
    <x v="3"/>
    <x v="3"/>
    <x v="0"/>
    <x v="2"/>
    <n v="2"/>
    <n v="854.58"/>
    <n v="25"/>
    <n v="233"/>
    <n v="585.70000000000005"/>
    <x v="0"/>
    <n v="4"/>
    <n v="1709.16"/>
    <n v="1734.16"/>
    <x v="0"/>
  </r>
  <r>
    <s v="ORD-11918"/>
    <x v="858"/>
    <d v="2025-11-15T00:00:00"/>
    <x v="4"/>
    <x v="2"/>
    <x v="2"/>
    <x v="0"/>
    <x v="0"/>
    <n v="2"/>
    <n v="287.20999999999998"/>
    <n v="75"/>
    <n v="244"/>
    <n v="77.39"/>
    <x v="0"/>
    <n v="4"/>
    <n v="574.41999999999996"/>
    <n v="649.41999999999996"/>
    <x v="0"/>
  </r>
  <r>
    <s v="ORD-11919"/>
    <x v="858"/>
    <d v="2025-11-12T00:00:00"/>
    <x v="1"/>
    <x v="0"/>
    <x v="0"/>
    <x v="1"/>
    <x v="1"/>
    <n v="7"/>
    <n v="41.9"/>
    <n v="8"/>
    <n v="304"/>
    <n v="19.46"/>
    <x v="0"/>
    <n v="1"/>
    <n v="293.3"/>
    <n v="301.3"/>
    <x v="0"/>
  </r>
  <r>
    <s v="ORD-11920"/>
    <x v="859"/>
    <d v="2025-11-13T00:00:00"/>
    <x v="0"/>
    <x v="0"/>
    <x v="0"/>
    <x v="2"/>
    <x v="2"/>
    <n v="7"/>
    <n v="36.31"/>
    <n v="8"/>
    <n v="46"/>
    <n v="16.34"/>
    <x v="0"/>
    <n v="1"/>
    <n v="254.17000000000002"/>
    <n v="262.17"/>
    <x v="1"/>
  </r>
  <r>
    <s v="ORD-11921"/>
    <x v="859"/>
    <d v="2025-11-27T00:00:00"/>
    <x v="1"/>
    <x v="0"/>
    <x v="0"/>
    <x v="2"/>
    <x v="3"/>
    <n v="12"/>
    <n v="40.03"/>
    <n v="12"/>
    <n v="284"/>
    <n v="32.43"/>
    <x v="1"/>
    <n v="15"/>
    <n v="480.36"/>
    <n v="492.36"/>
    <x v="0"/>
  </r>
  <r>
    <s v="ORD-11922"/>
    <x v="860"/>
    <d v="2025-11-17T00:00:00"/>
    <x v="10"/>
    <x v="0"/>
    <x v="0"/>
    <x v="0"/>
    <x v="1"/>
    <n v="7"/>
    <n v="20.25"/>
    <n v="8"/>
    <n v="89"/>
    <n v="7.34"/>
    <x v="0"/>
    <n v="3"/>
    <n v="141.75"/>
    <n v="149.75"/>
    <x v="0"/>
  </r>
  <r>
    <s v="ORD-11923"/>
    <x v="860"/>
    <d v="2025-11-15T00:00:00"/>
    <x v="1"/>
    <x v="0"/>
    <x v="0"/>
    <x v="2"/>
    <x v="3"/>
    <n v="5"/>
    <n v="23.45"/>
    <n v="12"/>
    <n v="36"/>
    <n v="-17.59"/>
    <x v="0"/>
    <n v="1"/>
    <n v="117.25"/>
    <n v="129.25"/>
    <x v="1"/>
  </r>
  <r>
    <s v="ORD-11924"/>
    <x v="861"/>
    <d v="2025-11-19T00:00:00"/>
    <x v="6"/>
    <x v="3"/>
    <x v="3"/>
    <x v="2"/>
    <x v="3"/>
    <n v="1"/>
    <n v="533.95000000000005"/>
    <n v="37.5"/>
    <n v="132"/>
    <n v="168.13"/>
    <x v="0"/>
    <n v="4"/>
    <n v="533.95000000000005"/>
    <n v="571.45000000000005"/>
    <x v="0"/>
  </r>
  <r>
    <s v="ORD-11925"/>
    <x v="861"/>
    <d v="2025-11-20T00:00:00"/>
    <x v="6"/>
    <x v="3"/>
    <x v="3"/>
    <x v="1"/>
    <x v="0"/>
    <n v="3"/>
    <n v="1131.31"/>
    <n v="25"/>
    <n v="158"/>
    <n v="1175.3699999999999"/>
    <x v="0"/>
    <n v="5"/>
    <n v="3393.93"/>
    <n v="3418.93"/>
    <x v="0"/>
  </r>
  <r>
    <s v="ORD-11926"/>
    <x v="861"/>
    <d v="2025-11-28T00:00:00"/>
    <x v="5"/>
    <x v="3"/>
    <x v="3"/>
    <x v="2"/>
    <x v="0"/>
    <n v="2"/>
    <n v="859.06"/>
    <n v="25"/>
    <n v="375"/>
    <n v="588.84"/>
    <x v="1"/>
    <n v="13"/>
    <n v="1718.12"/>
    <n v="1743.12"/>
    <x v="0"/>
  </r>
  <r>
    <s v="ORD-11927"/>
    <x v="862"/>
    <d v="2025-11-20T00:00:00"/>
    <x v="1"/>
    <x v="0"/>
    <x v="0"/>
    <x v="0"/>
    <x v="3"/>
    <n v="5"/>
    <n v="34.130000000000003"/>
    <n v="12"/>
    <n v="373"/>
    <n v="7.65"/>
    <x v="0"/>
    <n v="4"/>
    <n v="170.65"/>
    <n v="182.65"/>
    <x v="0"/>
  </r>
  <r>
    <s v="ORD-11928"/>
    <x v="863"/>
    <d v="2025-11-21T00:00:00"/>
    <x v="7"/>
    <x v="1"/>
    <x v="1"/>
    <x v="1"/>
    <x v="2"/>
    <n v="3"/>
    <n v="93.31"/>
    <n v="12"/>
    <n v="190"/>
    <n v="105.98"/>
    <x v="0"/>
    <n v="4"/>
    <n v="279.93"/>
    <n v="291.93"/>
    <x v="0"/>
  </r>
  <r>
    <s v="ORD-11929"/>
    <x v="863"/>
    <d v="2025-11-18T00:00:00"/>
    <x v="11"/>
    <x v="3"/>
    <x v="3"/>
    <x v="2"/>
    <x v="2"/>
    <n v="1"/>
    <n v="283.63"/>
    <n v="25"/>
    <n v="115"/>
    <n v="86.77"/>
    <x v="0"/>
    <n v="1"/>
    <n v="283.63"/>
    <n v="308.63"/>
    <x v="0"/>
  </r>
  <r>
    <s v="ORD-11930"/>
    <x v="864"/>
    <d v="2025-11-27T00:00:00"/>
    <x v="11"/>
    <x v="3"/>
    <x v="3"/>
    <x v="2"/>
    <x v="2"/>
    <n v="1"/>
    <n v="1162.79"/>
    <n v="25"/>
    <n v="384"/>
    <n v="394.48"/>
    <x v="2"/>
    <n v="9"/>
    <n v="1162.79"/>
    <n v="1187.79"/>
    <x v="0"/>
  </r>
  <r>
    <s v="ORD-11931"/>
    <x v="865"/>
    <d v="2025-11-24T00:00:00"/>
    <x v="2"/>
    <x v="1"/>
    <x v="1"/>
    <x v="0"/>
    <x v="0"/>
    <n v="4"/>
    <n v="63.8"/>
    <n v="12"/>
    <n v="394"/>
    <n v="96.08"/>
    <x v="0"/>
    <n v="4"/>
    <n v="255.2"/>
    <n v="267.2"/>
    <x v="0"/>
  </r>
  <r>
    <s v="ORD-11932"/>
    <x v="866"/>
    <d v="2025-11-23T00:00:00"/>
    <x v="10"/>
    <x v="0"/>
    <x v="0"/>
    <x v="1"/>
    <x v="1"/>
    <n v="5"/>
    <n v="13.39"/>
    <n v="8"/>
    <n v="105"/>
    <n v="1.36"/>
    <x v="0"/>
    <n v="1"/>
    <n v="66.95"/>
    <n v="74.95"/>
    <x v="0"/>
  </r>
  <r>
    <s v="ORD-11933"/>
    <x v="866"/>
    <d v="2025-12-04T00:00:00"/>
    <x v="13"/>
    <x v="4"/>
    <x v="4"/>
    <x v="2"/>
    <x v="3"/>
    <n v="5"/>
    <n v="137.05000000000001"/>
    <n v="18"/>
    <n v="111"/>
    <n v="299.37"/>
    <x v="1"/>
    <n v="12"/>
    <n v="685.25"/>
    <n v="703.25"/>
    <x v="0"/>
  </r>
  <r>
    <s v="ORD-11934"/>
    <x v="866"/>
    <d v="2025-11-27T00:00:00"/>
    <x v="3"/>
    <x v="1"/>
    <x v="1"/>
    <x v="2"/>
    <x v="1"/>
    <n v="3"/>
    <n v="30.33"/>
    <n v="12"/>
    <n v="294"/>
    <n v="30.4"/>
    <x v="0"/>
    <n v="5"/>
    <n v="90.99"/>
    <n v="102.99"/>
    <x v="0"/>
  </r>
  <r>
    <s v="ORD-11935"/>
    <x v="867"/>
    <d v="2025-11-26T00:00:00"/>
    <x v="2"/>
    <x v="1"/>
    <x v="1"/>
    <x v="2"/>
    <x v="3"/>
    <n v="5"/>
    <n v="37.6"/>
    <n v="18"/>
    <n v="360"/>
    <n v="66.2"/>
    <x v="0"/>
    <n v="2"/>
    <n v="188"/>
    <n v="206"/>
    <x v="0"/>
  </r>
  <r>
    <s v="ORD-11936"/>
    <x v="868"/>
    <d v="2025-11-26T00:00:00"/>
    <x v="4"/>
    <x v="2"/>
    <x v="2"/>
    <x v="2"/>
    <x v="3"/>
    <n v="1"/>
    <n v="340.29"/>
    <n v="112.5"/>
    <n v="282"/>
    <n v="11.81"/>
    <x v="0"/>
    <n v="1"/>
    <n v="340.29"/>
    <n v="452.79"/>
    <x v="0"/>
  </r>
  <r>
    <s v="ORD-11937"/>
    <x v="869"/>
    <d v="2025-11-30T00:00:00"/>
    <x v="4"/>
    <x v="2"/>
    <x v="2"/>
    <x v="0"/>
    <x v="1"/>
    <n v="1"/>
    <n v="381.1"/>
    <n v="75"/>
    <n v="296"/>
    <n v="38.72"/>
    <x v="0"/>
    <n v="4"/>
    <n v="381.1"/>
    <n v="456.1"/>
    <x v="0"/>
  </r>
  <r>
    <s v="ORD-11938"/>
    <x v="869"/>
    <d v="2025-11-28T00:00:00"/>
    <x v="2"/>
    <x v="1"/>
    <x v="1"/>
    <x v="2"/>
    <x v="0"/>
    <n v="4"/>
    <n v="59.75"/>
    <n v="12"/>
    <n v="307"/>
    <n v="89.59"/>
    <x v="0"/>
    <n v="2"/>
    <n v="239"/>
    <n v="251"/>
    <x v="0"/>
  </r>
  <r>
    <s v="ORD-11939"/>
    <x v="870"/>
    <d v="2025-12-01T00:00:00"/>
    <x v="0"/>
    <x v="0"/>
    <x v="0"/>
    <x v="1"/>
    <x v="0"/>
    <n v="6"/>
    <n v="49.58"/>
    <n v="8"/>
    <n v="90"/>
    <n v="19.8"/>
    <x v="0"/>
    <n v="3"/>
    <n v="297.48"/>
    <n v="305.48"/>
    <x v="0"/>
  </r>
  <r>
    <s v="ORD-11940"/>
    <x v="870"/>
    <d v="2025-12-03T00:00:00"/>
    <x v="10"/>
    <x v="0"/>
    <x v="0"/>
    <x v="0"/>
    <x v="1"/>
    <n v="8"/>
    <n v="40.79"/>
    <n v="8"/>
    <n v="3"/>
    <n v="22.11"/>
    <x v="0"/>
    <n v="5"/>
    <n v="326.32"/>
    <n v="334.32"/>
    <x v="2"/>
  </r>
  <r>
    <s v="ORD-11941"/>
    <x v="870"/>
    <d v="2025-12-13T00:00:00"/>
    <x v="7"/>
    <x v="1"/>
    <x v="1"/>
    <x v="2"/>
    <x v="2"/>
    <n v="4"/>
    <n v="124.71"/>
    <n v="12"/>
    <n v="233"/>
    <n v="193.54"/>
    <x v="1"/>
    <n v="15"/>
    <n v="498.84"/>
    <n v="510.84"/>
    <x v="0"/>
  </r>
  <r>
    <s v="ORD-11942"/>
    <x v="870"/>
    <d v="2025-11-29T00:00:00"/>
    <x v="10"/>
    <x v="0"/>
    <x v="0"/>
    <x v="2"/>
    <x v="2"/>
    <n v="13"/>
    <n v="48.22"/>
    <n v="8"/>
    <n v="125"/>
    <n v="46.15"/>
    <x v="0"/>
    <n v="1"/>
    <n v="626.86"/>
    <n v="634.86"/>
    <x v="0"/>
  </r>
  <r>
    <s v="ORD-11943"/>
    <x v="870"/>
    <d v="2025-12-01T00:00:00"/>
    <x v="10"/>
    <x v="0"/>
    <x v="0"/>
    <x v="2"/>
    <x v="3"/>
    <n v="9"/>
    <n v="26.18"/>
    <n v="12"/>
    <n v="351"/>
    <n v="12.85"/>
    <x v="0"/>
    <n v="3"/>
    <n v="235.62"/>
    <n v="247.62"/>
    <x v="0"/>
  </r>
  <r>
    <s v="ORD-11944"/>
    <x v="870"/>
    <d v="2025-11-29T00:00:00"/>
    <x v="8"/>
    <x v="2"/>
    <x v="2"/>
    <x v="1"/>
    <x v="1"/>
    <n v="2"/>
    <n v="193.63"/>
    <n v="75"/>
    <n v="207"/>
    <n v="39.950000000000003"/>
    <x v="0"/>
    <n v="1"/>
    <n v="387.26"/>
    <n v="462.26"/>
    <x v="0"/>
  </r>
  <r>
    <s v="ORD-11945"/>
    <x v="870"/>
    <d v="2025-12-01T00:00:00"/>
    <x v="14"/>
    <x v="4"/>
    <x v="4"/>
    <x v="2"/>
    <x v="1"/>
    <n v="3"/>
    <n v="26.52"/>
    <n v="12"/>
    <n v="22"/>
    <n v="29.81"/>
    <x v="0"/>
    <n v="3"/>
    <n v="79.56"/>
    <n v="91.56"/>
    <x v="1"/>
  </r>
  <r>
    <s v="ORD-11946"/>
    <x v="870"/>
    <d v="2025-12-02T00:00:00"/>
    <x v="7"/>
    <x v="1"/>
    <x v="1"/>
    <x v="0"/>
    <x v="3"/>
    <n v="5"/>
    <n v="141.46"/>
    <n v="18"/>
    <n v="390"/>
    <n v="273.92"/>
    <x v="0"/>
    <n v="4"/>
    <n v="707.30000000000007"/>
    <n v="725.30000000000007"/>
    <x v="0"/>
  </r>
  <r>
    <s v="ORD-11947"/>
    <x v="871"/>
    <d v="2025-12-02T00:00:00"/>
    <x v="9"/>
    <x v="2"/>
    <x v="2"/>
    <x v="0"/>
    <x v="3"/>
    <n v="1"/>
    <n v="244.19"/>
    <n v="112.5"/>
    <n v="250"/>
    <n v="-7.41"/>
    <x v="0"/>
    <n v="3"/>
    <n v="244.19"/>
    <n v="356.69"/>
    <x v="0"/>
  </r>
  <r>
    <s v="ORD-11948"/>
    <x v="871"/>
    <d v="2025-11-30T00:00:00"/>
    <x v="12"/>
    <x v="3"/>
    <x v="3"/>
    <x v="2"/>
    <x v="3"/>
    <n v="1"/>
    <n v="230.98"/>
    <n v="37.5"/>
    <n v="278"/>
    <n v="62.09"/>
    <x v="0"/>
    <n v="1"/>
    <n v="230.98"/>
    <n v="268.48"/>
    <x v="0"/>
  </r>
  <r>
    <s v="ORD-11949"/>
    <x v="871"/>
    <d v="2025-12-03T00:00:00"/>
    <x v="1"/>
    <x v="0"/>
    <x v="0"/>
    <x v="1"/>
    <x v="1"/>
    <n v="8"/>
    <n v="21.82"/>
    <n v="8"/>
    <n v="389"/>
    <n v="9.9600000000000009"/>
    <x v="0"/>
    <n v="4"/>
    <n v="174.56"/>
    <n v="182.56"/>
    <x v="0"/>
  </r>
  <r>
    <s v="ORD-11950"/>
    <x v="872"/>
    <d v="2025-12-03T00:00:00"/>
    <x v="9"/>
    <x v="2"/>
    <x v="2"/>
    <x v="1"/>
    <x v="0"/>
    <n v="2"/>
    <n v="163.04"/>
    <n v="75"/>
    <n v="218"/>
    <n v="27.71"/>
    <x v="0"/>
    <n v="3"/>
    <n v="326.08"/>
    <n v="401.08"/>
    <x v="0"/>
  </r>
  <r>
    <s v="ORD-11951"/>
    <x v="873"/>
    <d v="2025-12-12T00:00:00"/>
    <x v="8"/>
    <x v="2"/>
    <x v="2"/>
    <x v="2"/>
    <x v="3"/>
    <n v="1"/>
    <n v="379.66"/>
    <n v="112.5"/>
    <n v="213"/>
    <n v="19.68"/>
    <x v="1"/>
    <n v="11"/>
    <n v="379.66"/>
    <n v="492.16"/>
    <x v="0"/>
  </r>
  <r>
    <s v="ORD-11952"/>
    <x v="873"/>
    <d v="2025-12-06T00:00:00"/>
    <x v="2"/>
    <x v="1"/>
    <x v="1"/>
    <x v="2"/>
    <x v="3"/>
    <n v="3"/>
    <n v="88.99"/>
    <n v="18"/>
    <n v="130"/>
    <n v="97.79"/>
    <x v="0"/>
    <n v="5"/>
    <n v="266.96999999999997"/>
    <n v="284.96999999999997"/>
    <x v="0"/>
  </r>
  <r>
    <s v="ORD-11953"/>
    <x v="874"/>
    <d v="2025-12-05T00:00:00"/>
    <x v="10"/>
    <x v="0"/>
    <x v="0"/>
    <x v="1"/>
    <x v="1"/>
    <n v="6"/>
    <n v="25.08"/>
    <n v="8"/>
    <n v="369"/>
    <n v="8.0399999999999991"/>
    <x v="0"/>
    <n v="3"/>
    <n v="150.47999999999999"/>
    <n v="158.47999999999999"/>
    <x v="0"/>
  </r>
  <r>
    <s v="ORD-11954"/>
    <x v="875"/>
    <d v="2025-12-05T00:00:00"/>
    <x v="2"/>
    <x v="1"/>
    <x v="1"/>
    <x v="1"/>
    <x v="2"/>
    <n v="2"/>
    <n v="34.380000000000003"/>
    <n v="12"/>
    <n v="396"/>
    <n v="21.5"/>
    <x v="0"/>
    <n v="2"/>
    <n v="68.760000000000005"/>
    <n v="80.760000000000005"/>
    <x v="0"/>
  </r>
  <r>
    <s v="ORD-11955"/>
    <x v="875"/>
    <d v="2025-12-20T00:00:00"/>
    <x v="9"/>
    <x v="2"/>
    <x v="2"/>
    <x v="2"/>
    <x v="1"/>
    <n v="2"/>
    <n v="430.87"/>
    <n v="75"/>
    <n v="349"/>
    <n v="134.85"/>
    <x v="1"/>
    <n v="17"/>
    <n v="861.74"/>
    <n v="936.74"/>
    <x v="0"/>
  </r>
  <r>
    <s v="ORD-11956"/>
    <x v="876"/>
    <d v="2025-12-10T00:00:00"/>
    <x v="9"/>
    <x v="2"/>
    <x v="2"/>
    <x v="2"/>
    <x v="2"/>
    <n v="2"/>
    <n v="247.21"/>
    <n v="75"/>
    <n v="340"/>
    <n v="61.38"/>
    <x v="0"/>
    <n v="5"/>
    <n v="494.42"/>
    <n v="569.42000000000007"/>
    <x v="0"/>
  </r>
  <r>
    <s v="ORD-11957"/>
    <x v="876"/>
    <d v="2025-12-20T00:00:00"/>
    <x v="10"/>
    <x v="0"/>
    <x v="0"/>
    <x v="2"/>
    <x v="1"/>
    <n v="7"/>
    <n v="43.57"/>
    <n v="8"/>
    <n v="9"/>
    <n v="20.399999999999999"/>
    <x v="1"/>
    <n v="15"/>
    <n v="304.99"/>
    <n v="312.99"/>
    <x v="2"/>
  </r>
  <r>
    <s v="ORD-11958"/>
    <x v="876"/>
    <d v="2025-12-09T00:00:00"/>
    <x v="12"/>
    <x v="3"/>
    <x v="3"/>
    <x v="2"/>
    <x v="0"/>
    <n v="2"/>
    <n v="363.64"/>
    <n v="25"/>
    <n v="53"/>
    <n v="242.04"/>
    <x v="0"/>
    <n v="4"/>
    <n v="727.28"/>
    <n v="752.28"/>
    <x v="0"/>
  </r>
  <r>
    <s v="ORD-11959"/>
    <x v="876"/>
    <d v="2025-12-10T00:00:00"/>
    <x v="9"/>
    <x v="2"/>
    <x v="2"/>
    <x v="1"/>
    <x v="1"/>
    <n v="1"/>
    <n v="405.11"/>
    <n v="75"/>
    <n v="320"/>
    <n v="43.52"/>
    <x v="0"/>
    <n v="5"/>
    <n v="405.11"/>
    <n v="480.11"/>
    <x v="0"/>
  </r>
  <r>
    <s v="ORD-11960"/>
    <x v="877"/>
    <d v="2025-12-10T00:00:00"/>
    <x v="6"/>
    <x v="3"/>
    <x v="3"/>
    <x v="1"/>
    <x v="1"/>
    <n v="1"/>
    <n v="291.55"/>
    <n v="25"/>
    <n v="231"/>
    <n v="89.54"/>
    <x v="0"/>
    <n v="4"/>
    <n v="291.55"/>
    <n v="316.55"/>
    <x v="0"/>
  </r>
  <r>
    <s v="ORD-11961"/>
    <x v="877"/>
    <d v="2025-12-07T00:00:00"/>
    <x v="11"/>
    <x v="3"/>
    <x v="3"/>
    <x v="1"/>
    <x v="0"/>
    <n v="3"/>
    <n v="750.5"/>
    <n v="25"/>
    <n v="256"/>
    <n v="-337.73"/>
    <x v="0"/>
    <n v="1"/>
    <n v="2251.5"/>
    <n v="2276.5"/>
    <x v="0"/>
  </r>
  <r>
    <s v="ORD-11962"/>
    <x v="878"/>
    <d v="2025-12-11T00:00:00"/>
    <x v="4"/>
    <x v="2"/>
    <x v="2"/>
    <x v="2"/>
    <x v="3"/>
    <n v="1"/>
    <n v="397.33"/>
    <n v="112.5"/>
    <n v="305"/>
    <n v="23.22"/>
    <x v="0"/>
    <n v="4"/>
    <n v="397.33"/>
    <n v="509.83"/>
    <x v="0"/>
  </r>
  <r>
    <s v="ORD-11963"/>
    <x v="879"/>
    <d v="2025-12-11T00:00:00"/>
    <x v="11"/>
    <x v="3"/>
    <x v="3"/>
    <x v="1"/>
    <x v="0"/>
    <n v="1"/>
    <n v="1016.68"/>
    <n v="25"/>
    <n v="116"/>
    <n v="343.34"/>
    <x v="0"/>
    <n v="3"/>
    <n v="1016.68"/>
    <n v="1041.6799999999998"/>
    <x v="0"/>
  </r>
  <r>
    <s v="ORD-11964"/>
    <x v="879"/>
    <d v="2025-12-13T00:00:00"/>
    <x v="0"/>
    <x v="0"/>
    <x v="0"/>
    <x v="0"/>
    <x v="2"/>
    <n v="9"/>
    <n v="38.53"/>
    <n v="8"/>
    <n v="200"/>
    <n v="23.74"/>
    <x v="0"/>
    <n v="5"/>
    <n v="346.77"/>
    <n v="354.77"/>
    <x v="0"/>
  </r>
  <r>
    <s v="ORD-11965"/>
    <x v="879"/>
    <d v="2025-12-13T00:00:00"/>
    <x v="14"/>
    <x v="4"/>
    <x v="4"/>
    <x v="1"/>
    <x v="1"/>
    <n v="3"/>
    <n v="124.85"/>
    <n v="12"/>
    <n v="153"/>
    <n v="162.55000000000001"/>
    <x v="0"/>
    <n v="5"/>
    <n v="374.54999999999995"/>
    <n v="386.54999999999995"/>
    <x v="0"/>
  </r>
  <r>
    <s v="ORD-11966"/>
    <x v="880"/>
    <d v="2025-12-11T00:00:00"/>
    <x v="5"/>
    <x v="3"/>
    <x v="3"/>
    <x v="2"/>
    <x v="1"/>
    <n v="2"/>
    <n v="202.79"/>
    <n v="25"/>
    <n v="71"/>
    <n v="129.46"/>
    <x v="0"/>
    <n v="1"/>
    <n v="405.58"/>
    <n v="430.58"/>
    <x v="0"/>
  </r>
  <r>
    <s v="ORD-11967"/>
    <x v="880"/>
    <d v="2025-12-25T00:00:00"/>
    <x v="13"/>
    <x v="4"/>
    <x v="4"/>
    <x v="2"/>
    <x v="0"/>
    <n v="2"/>
    <n v="121.05"/>
    <n v="12"/>
    <n v="100"/>
    <n v="102.94"/>
    <x v="1"/>
    <n v="15"/>
    <n v="242.1"/>
    <n v="254.1"/>
    <x v="0"/>
  </r>
  <r>
    <s v="ORD-11968"/>
    <x v="881"/>
    <d v="2025-12-22T00:00:00"/>
    <x v="15"/>
    <x v="4"/>
    <x v="4"/>
    <x v="2"/>
    <x v="3"/>
    <n v="2"/>
    <n v="80.52"/>
    <n v="18"/>
    <n v="148"/>
    <n v="63.46"/>
    <x v="2"/>
    <n v="10"/>
    <n v="161.04"/>
    <n v="179.04"/>
    <x v="0"/>
  </r>
  <r>
    <s v="ORD-11969"/>
    <x v="881"/>
    <d v="2025-12-19T00:00:00"/>
    <x v="6"/>
    <x v="3"/>
    <x v="3"/>
    <x v="2"/>
    <x v="2"/>
    <n v="3"/>
    <n v="475.08"/>
    <n v="25"/>
    <n v="211"/>
    <n v="486.33"/>
    <x v="2"/>
    <n v="7"/>
    <n v="1425.24"/>
    <n v="1450.24"/>
    <x v="0"/>
  </r>
  <r>
    <s v="ORD-11970"/>
    <x v="881"/>
    <d v="2025-12-15T00:00:00"/>
    <x v="9"/>
    <x v="2"/>
    <x v="2"/>
    <x v="0"/>
    <x v="3"/>
    <n v="1"/>
    <n v="350.36"/>
    <n v="112.5"/>
    <n v="164"/>
    <n v="13.82"/>
    <x v="0"/>
    <n v="3"/>
    <n v="350.36"/>
    <n v="462.86"/>
    <x v="0"/>
  </r>
  <r>
    <s v="ORD-11971"/>
    <x v="881"/>
    <d v="2025-12-17T00:00:00"/>
    <x v="4"/>
    <x v="2"/>
    <x v="2"/>
    <x v="0"/>
    <x v="1"/>
    <n v="1"/>
    <n v="224.87"/>
    <n v="75"/>
    <n v="174"/>
    <n v="7.47"/>
    <x v="0"/>
    <n v="5"/>
    <n v="224.87"/>
    <n v="299.87"/>
    <x v="0"/>
  </r>
  <r>
    <s v="ORD-11972"/>
    <x v="881"/>
    <d v="2025-12-13T00:00:00"/>
    <x v="0"/>
    <x v="0"/>
    <x v="0"/>
    <x v="1"/>
    <x v="2"/>
    <n v="13"/>
    <n v="17.7"/>
    <n v="8"/>
    <n v="7"/>
    <n v="-34.51"/>
    <x v="0"/>
    <n v="1"/>
    <n v="230.1"/>
    <n v="238.1"/>
    <x v="2"/>
  </r>
  <r>
    <s v="ORD-11973"/>
    <x v="882"/>
    <d v="2025-12-15T00:00:00"/>
    <x v="11"/>
    <x v="3"/>
    <x v="3"/>
    <x v="2"/>
    <x v="3"/>
    <n v="1"/>
    <n v="977.23"/>
    <n v="37.5"/>
    <n v="113"/>
    <n v="323.27999999999997"/>
    <x v="0"/>
    <n v="2"/>
    <n v="977.23"/>
    <n v="1014.73"/>
    <x v="0"/>
  </r>
  <r>
    <s v="ORD-11974"/>
    <x v="882"/>
    <d v="2025-12-15T00:00:00"/>
    <x v="11"/>
    <x v="3"/>
    <x v="3"/>
    <x v="2"/>
    <x v="3"/>
    <n v="3"/>
    <n v="1178"/>
    <n v="37.5"/>
    <n v="301"/>
    <n v="1218.1500000000001"/>
    <x v="0"/>
    <n v="2"/>
    <n v="3534"/>
    <n v="3571.5"/>
    <x v="0"/>
  </r>
  <r>
    <s v="ORD-11975"/>
    <x v="882"/>
    <d v="2025-12-16T00:00:00"/>
    <x v="0"/>
    <x v="0"/>
    <x v="0"/>
    <x v="1"/>
    <x v="0"/>
    <n v="9"/>
    <n v="11.52"/>
    <n v="8"/>
    <n v="145"/>
    <n v="4.29"/>
    <x v="0"/>
    <n v="3"/>
    <n v="103.67999999999999"/>
    <n v="111.67999999999999"/>
    <x v="0"/>
  </r>
  <r>
    <s v="ORD-11976"/>
    <x v="883"/>
    <d v="2025-12-25T00:00:00"/>
    <x v="3"/>
    <x v="1"/>
    <x v="1"/>
    <x v="2"/>
    <x v="0"/>
    <n v="1"/>
    <n v="53.47"/>
    <n v="12"/>
    <n v="259"/>
    <n v="15.39"/>
    <x v="2"/>
    <n v="10"/>
    <n v="53.47"/>
    <n v="65.47"/>
    <x v="0"/>
  </r>
  <r>
    <s v="ORD-11977"/>
    <x v="883"/>
    <d v="2025-12-16T00:00:00"/>
    <x v="15"/>
    <x v="4"/>
    <x v="4"/>
    <x v="0"/>
    <x v="1"/>
    <n v="2"/>
    <n v="111.72"/>
    <n v="12"/>
    <n v="381"/>
    <n v="94.55"/>
    <x v="0"/>
    <n v="1"/>
    <n v="223.44"/>
    <n v="235.44"/>
    <x v="0"/>
  </r>
  <r>
    <s v="ORD-11978"/>
    <x v="884"/>
    <d v="2025-12-18T00:00:00"/>
    <x v="2"/>
    <x v="1"/>
    <x v="1"/>
    <x v="2"/>
    <x v="3"/>
    <n v="4"/>
    <n v="134.41"/>
    <n v="18"/>
    <n v="147"/>
    <n v="206.06"/>
    <x v="0"/>
    <n v="1"/>
    <n v="537.64"/>
    <n v="555.64"/>
    <x v="0"/>
  </r>
  <r>
    <s v="ORD-11979"/>
    <x v="884"/>
    <d v="2025-12-26T00:00:00"/>
    <x v="6"/>
    <x v="3"/>
    <x v="3"/>
    <x v="2"/>
    <x v="3"/>
    <n v="1"/>
    <n v="1153.9000000000001"/>
    <n v="37.5"/>
    <n v="46"/>
    <n v="385.12"/>
    <x v="2"/>
    <n v="9"/>
    <n v="1153.9000000000001"/>
    <n v="1191.4000000000001"/>
    <x v="1"/>
  </r>
  <r>
    <s v="ORD-11980"/>
    <x v="884"/>
    <d v="2025-12-22T00:00:00"/>
    <x v="7"/>
    <x v="1"/>
    <x v="1"/>
    <x v="1"/>
    <x v="2"/>
    <n v="2"/>
    <n v="107.77"/>
    <n v="12"/>
    <n v="369"/>
    <n v="80.22"/>
    <x v="0"/>
    <n v="5"/>
    <n v="215.54"/>
    <n v="227.54"/>
    <x v="0"/>
  </r>
  <r>
    <s v="ORD-11981"/>
    <x v="885"/>
    <d v="2025-12-20T00:00:00"/>
    <x v="0"/>
    <x v="0"/>
    <x v="0"/>
    <x v="0"/>
    <x v="3"/>
    <n v="6"/>
    <n v="20.99"/>
    <n v="12"/>
    <n v="171"/>
    <n v="4.08"/>
    <x v="0"/>
    <n v="2"/>
    <n v="125.94"/>
    <n v="137.94"/>
    <x v="0"/>
  </r>
  <r>
    <s v="ORD-11982"/>
    <x v="885"/>
    <d v="2025-12-19T00:00:00"/>
    <x v="11"/>
    <x v="3"/>
    <x v="3"/>
    <x v="0"/>
    <x v="1"/>
    <n v="2"/>
    <n v="637.47"/>
    <n v="25"/>
    <n v="386"/>
    <n v="433.73"/>
    <x v="0"/>
    <n v="1"/>
    <n v="1274.94"/>
    <n v="1299.94"/>
    <x v="0"/>
  </r>
  <r>
    <s v="ORD-11983"/>
    <x v="885"/>
    <d v="2025-12-23T00:00:00"/>
    <x v="10"/>
    <x v="0"/>
    <x v="0"/>
    <x v="0"/>
    <x v="0"/>
    <n v="6"/>
    <n v="16.47"/>
    <n v="8"/>
    <n v="190"/>
    <n v="3.9"/>
    <x v="0"/>
    <n v="5"/>
    <n v="98.82"/>
    <n v="106.82"/>
    <x v="0"/>
  </r>
  <r>
    <s v="ORD-11984"/>
    <x v="886"/>
    <d v="2025-12-31T00:00:00"/>
    <x v="8"/>
    <x v="2"/>
    <x v="2"/>
    <x v="2"/>
    <x v="2"/>
    <n v="2"/>
    <n v="201.5"/>
    <n v="75"/>
    <n v="41"/>
    <n v="43.1"/>
    <x v="1"/>
    <n v="12"/>
    <n v="403"/>
    <n v="478"/>
    <x v="1"/>
  </r>
  <r>
    <s v="ORD-11985"/>
    <x v="886"/>
    <d v="2025-12-23T00:00:00"/>
    <x v="3"/>
    <x v="1"/>
    <x v="1"/>
    <x v="0"/>
    <x v="0"/>
    <n v="4"/>
    <n v="106.74"/>
    <n v="12"/>
    <n v="250"/>
    <n v="164.79"/>
    <x v="0"/>
    <n v="4"/>
    <n v="426.96"/>
    <n v="438.96"/>
    <x v="0"/>
  </r>
  <r>
    <s v="ORD-11986"/>
    <x v="886"/>
    <d v="2025-12-23T00:00:00"/>
    <x v="2"/>
    <x v="1"/>
    <x v="1"/>
    <x v="0"/>
    <x v="1"/>
    <n v="2"/>
    <n v="34.5"/>
    <n v="12"/>
    <n v="210"/>
    <n v="21.6"/>
    <x v="0"/>
    <n v="4"/>
    <n v="69"/>
    <n v="81"/>
    <x v="0"/>
  </r>
  <r>
    <s v="ORD-11987"/>
    <x v="887"/>
    <d v="2025-12-23T00:00:00"/>
    <x v="1"/>
    <x v="0"/>
    <x v="0"/>
    <x v="2"/>
    <x v="3"/>
    <n v="10"/>
    <n v="32.549999999999997"/>
    <n v="12"/>
    <n v="262"/>
    <n v="20.04"/>
    <x v="0"/>
    <n v="2"/>
    <n v="325.5"/>
    <n v="337.5"/>
    <x v="0"/>
  </r>
  <r>
    <s v="ORD-11988"/>
    <x v="888"/>
    <d v="2026-01-04T00:00:00"/>
    <x v="6"/>
    <x v="3"/>
    <x v="3"/>
    <x v="2"/>
    <x v="0"/>
    <n v="2"/>
    <n v="507.86"/>
    <n v="25"/>
    <n v="238"/>
    <n v="343.01"/>
    <x v="1"/>
    <n v="13"/>
    <n v="1015.72"/>
    <n v="1040.72"/>
    <x v="0"/>
  </r>
  <r>
    <s v="ORD-11989"/>
    <x v="888"/>
    <d v="2025-12-27T00:00:00"/>
    <x v="7"/>
    <x v="1"/>
    <x v="1"/>
    <x v="2"/>
    <x v="1"/>
    <n v="5"/>
    <n v="126.2"/>
    <n v="12"/>
    <n v="203"/>
    <n v="246.4"/>
    <x v="0"/>
    <n v="5"/>
    <n v="631"/>
    <n v="643"/>
    <x v="0"/>
  </r>
  <r>
    <s v="ORD-11990"/>
    <x v="888"/>
    <d v="2025-12-23T00:00:00"/>
    <x v="1"/>
    <x v="0"/>
    <x v="0"/>
    <x v="2"/>
    <x v="3"/>
    <n v="7"/>
    <n v="40.51"/>
    <n v="12"/>
    <n v="257"/>
    <n v="-42.53"/>
    <x v="0"/>
    <n v="1"/>
    <n v="283.57"/>
    <n v="295.57"/>
    <x v="0"/>
  </r>
  <r>
    <s v="ORD-11991"/>
    <x v="889"/>
    <d v="2025-12-25T00:00:00"/>
    <x v="12"/>
    <x v="3"/>
    <x v="3"/>
    <x v="1"/>
    <x v="0"/>
    <n v="3"/>
    <n v="256.83999999999997"/>
    <n v="25"/>
    <n v="106"/>
    <n v="257.18"/>
    <x v="0"/>
    <n v="2"/>
    <n v="770.52"/>
    <n v="795.52"/>
    <x v="0"/>
  </r>
  <r>
    <s v="ORD-11992"/>
    <x v="890"/>
    <d v="2025-12-26T00:00:00"/>
    <x v="13"/>
    <x v="4"/>
    <x v="4"/>
    <x v="0"/>
    <x v="3"/>
    <n v="2"/>
    <n v="82.99"/>
    <n v="18"/>
    <n v="109"/>
    <n v="65.69"/>
    <x v="0"/>
    <n v="2"/>
    <n v="165.98"/>
    <n v="183.98"/>
    <x v="0"/>
  </r>
  <r>
    <s v="ORD-11993"/>
    <x v="890"/>
    <d v="2025-12-28T00:00:00"/>
    <x v="13"/>
    <x v="4"/>
    <x v="4"/>
    <x v="0"/>
    <x v="3"/>
    <n v="5"/>
    <n v="119.6"/>
    <n v="18"/>
    <n v="62"/>
    <n v="-89.7"/>
    <x v="0"/>
    <n v="4"/>
    <n v="598"/>
    <n v="616"/>
    <x v="0"/>
  </r>
  <r>
    <s v="ORD-11994"/>
    <x v="891"/>
    <d v="2025-12-29T00:00:00"/>
    <x v="7"/>
    <x v="1"/>
    <x v="1"/>
    <x v="1"/>
    <x v="0"/>
    <n v="3"/>
    <n v="30.47"/>
    <n v="12"/>
    <n v="115"/>
    <n v="30.56"/>
    <x v="0"/>
    <n v="3"/>
    <n v="91.41"/>
    <n v="103.41"/>
    <x v="0"/>
  </r>
  <r>
    <s v="ORD-11995"/>
    <x v="892"/>
    <d v="2026-01-02T00:00:00"/>
    <x v="7"/>
    <x v="1"/>
    <x v="1"/>
    <x v="1"/>
    <x v="1"/>
    <n v="5"/>
    <n v="61.75"/>
    <n v="12"/>
    <n v="188"/>
    <n v="117.5"/>
    <x v="0"/>
    <n v="5"/>
    <n v="308.75"/>
    <n v="320.75"/>
    <x v="0"/>
  </r>
  <r>
    <s v="ORD-11996"/>
    <x v="892"/>
    <d v="2025-12-30T00:00:00"/>
    <x v="13"/>
    <x v="4"/>
    <x v="4"/>
    <x v="2"/>
    <x v="3"/>
    <n v="2"/>
    <n v="70.650000000000006"/>
    <n v="18"/>
    <n v="184"/>
    <n v="-21.19"/>
    <x v="0"/>
    <n v="2"/>
    <n v="141.30000000000001"/>
    <n v="159.30000000000001"/>
    <x v="0"/>
  </r>
  <r>
    <s v="ORD-11997"/>
    <x v="892"/>
    <d v="2025-12-29T00:00:00"/>
    <x v="0"/>
    <x v="0"/>
    <x v="0"/>
    <x v="1"/>
    <x v="2"/>
    <n v="12"/>
    <n v="25.47"/>
    <n v="8"/>
    <n v="192"/>
    <n v="20.45"/>
    <x v="0"/>
    <n v="1"/>
    <n v="305.64"/>
    <n v="313.64"/>
    <x v="0"/>
  </r>
  <r>
    <s v="ORD-11998"/>
    <x v="893"/>
    <d v="2025-12-31T00:00:00"/>
    <x v="14"/>
    <x v="4"/>
    <x v="4"/>
    <x v="0"/>
    <x v="3"/>
    <n v="3"/>
    <n v="62.48"/>
    <n v="18"/>
    <n v="356"/>
    <n v="75.349999999999994"/>
    <x v="0"/>
    <n v="2"/>
    <n v="187.44"/>
    <n v="205.44"/>
    <x v="0"/>
  </r>
  <r>
    <s v="ORD-11999"/>
    <x v="893"/>
    <d v="2025-12-30T00:00:00"/>
    <x v="1"/>
    <x v="0"/>
    <x v="0"/>
    <x v="0"/>
    <x v="3"/>
    <n v="6"/>
    <n v="34.31"/>
    <n v="12"/>
    <n v="151"/>
    <n v="10.47"/>
    <x v="0"/>
    <n v="1"/>
    <n v="205.86"/>
    <n v="217.8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F41CD-860A-4F1B-8386-1B9BD8BDBF7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M7" firstHeaderRow="0"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axis="axisRow" showAll="0">
      <items count="4">
        <item x="0"/>
        <item x="2"/>
        <item x="1"/>
        <item t="default"/>
      </items>
    </pivotField>
    <pivotField showAll="0">
      <items count="5">
        <item x="1"/>
        <item x="3"/>
        <item x="0"/>
        <item x="2"/>
        <item t="default"/>
      </items>
    </pivotField>
    <pivotField showAll="0"/>
    <pivotField showAll="0"/>
    <pivotField showAll="0"/>
    <pivotField dataField="1"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Fields count="1">
    <field x="-2"/>
  </colFields>
  <colItems count="2">
    <i>
      <x/>
    </i>
    <i i="1">
      <x v="1"/>
    </i>
  </colItems>
  <dataFields count="2">
    <dataField name="Sum of Inventory_Level" fld="11" baseField="0" baseItem="0"/>
    <dataField name="Sum of total_revenue" fld="15"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EF65A7-EBD0-4449-A5DA-2BE4D2A0EB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axis="axisRow" showAll="0">
      <items count="6">
        <item x="4"/>
        <item x="1"/>
        <item x="3"/>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total_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CE77E9-007D-4C97-9EF8-98C5873FC2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F10" firstHeaderRow="1"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showAll="0">
      <items count="4">
        <item x="0"/>
        <item x="2"/>
        <item x="1"/>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Sum of total_revenue" fld="15" baseField="0" baseItem="0"/>
  </dataFields>
  <chartFormats count="6">
    <chartFormat chart="1"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262F8A-D87B-4D76-8EF9-CB5F3F2F1D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I8" firstHeaderRow="1" firstDataRow="1" firstDataCol="1"/>
  <pivotFields count="21">
    <pivotField dataField="1"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4">
    <i>
      <x/>
    </i>
    <i>
      <x v="1"/>
    </i>
    <i>
      <x v="2"/>
    </i>
    <i t="grand">
      <x/>
    </i>
  </rowItems>
  <colItems count="1">
    <i/>
  </colItems>
  <dataFields count="1">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2"/>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7" count="1" selected="0">
            <x v="0"/>
          </reference>
        </references>
      </pivotArea>
    </chartFormat>
    <chartFormat chart="3" format="2">
      <pivotArea type="data" outline="0" fieldPosition="0">
        <references count="2">
          <reference field="4294967294" count="1" selected="0">
            <x v="0"/>
          </reference>
          <reference field="17" count="1" selected="0">
            <x v="1"/>
          </reference>
        </references>
      </pivotArea>
    </chartFormat>
    <chartFormat chart="3"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9BC180-50BB-46A3-8A01-E1A2BD3083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28" firstHeaderRow="1"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axis="axisRow" showAll="0">
      <items count="4">
        <item x="0"/>
        <item x="2"/>
        <item x="1"/>
        <item t="default"/>
      </items>
    </pivotField>
    <pivotField showAll="0">
      <items count="5">
        <item x="1"/>
        <item x="3"/>
        <item x="0"/>
        <item x="2"/>
        <item t="default"/>
      </items>
    </pivotField>
    <pivotField showAll="0"/>
    <pivotField showAll="0"/>
    <pivotField showAll="0"/>
    <pivotField dataField="1" showAll="0"/>
    <pivotField showAll="0"/>
    <pivotField showAll="0"/>
    <pivotField showAll="0"/>
    <pivotField showAll="0"/>
    <pivotField showAll="0"/>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6"/>
    <field x="17"/>
  </rowFields>
  <rowItems count="13">
    <i>
      <x/>
    </i>
    <i r="1">
      <x/>
    </i>
    <i r="1">
      <x v="1"/>
    </i>
    <i r="1">
      <x v="2"/>
    </i>
    <i>
      <x v="1"/>
    </i>
    <i r="1">
      <x/>
    </i>
    <i r="1">
      <x v="1"/>
    </i>
    <i r="1">
      <x v="2"/>
    </i>
    <i>
      <x v="2"/>
    </i>
    <i r="1">
      <x/>
    </i>
    <i r="1">
      <x v="1"/>
    </i>
    <i r="1">
      <x v="2"/>
    </i>
    <i t="grand">
      <x/>
    </i>
  </rowItems>
  <colItems count="1">
    <i/>
  </colItems>
  <dataFields count="1">
    <dataField name="Sum of Inventory_Level"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3E53E-0154-4CD2-BA2B-BC23C09AD9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19" firstHeaderRow="1" firstDataRow="1" firstDataCol="1"/>
  <pivotFields count="21">
    <pivotField dataField="1"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BDCD22-6FEA-4E66-8FAA-DC02ED7D78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C27" firstHeaderRow="0"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axis="axisRow" showAll="0">
      <items count="6">
        <item x="4"/>
        <item x="0"/>
        <item x="3"/>
        <item x="2"/>
        <item x="1"/>
        <item t="default"/>
      </items>
    </pivotField>
    <pivotField showAll="0">
      <items count="4">
        <item x="0"/>
        <item x="2"/>
        <item x="1"/>
        <item t="default"/>
      </items>
    </pivotField>
    <pivotField showAll="0">
      <items count="5">
        <item x="1"/>
        <item x="3"/>
        <item x="0"/>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Fields count="1">
    <field x="-2"/>
  </colFields>
  <colItems count="2">
    <i>
      <x/>
    </i>
    <i i="1">
      <x v="1"/>
    </i>
  </colItems>
  <dataFields count="2">
    <dataField name="Sum of total_revenue" fld="15" baseField="0" baseItem="0"/>
    <dataField name="Sum of Profit" fld="1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0"/>
          </reference>
        </references>
      </pivotArea>
    </chartFormat>
    <chartFormat chart="4" format="7">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19CBF-8E15-4223-8BC9-2F157480092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4:M25" firstHeaderRow="1" firstDataRow="1" firstDataCol="1"/>
  <pivotFields count="21">
    <pivotField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axis="axisRow" showAll="0" measureFilter="1" sortType="ascending">
      <items count="17">
        <item x="6"/>
        <item x="15"/>
        <item x="4"/>
        <item x="1"/>
        <item x="7"/>
        <item x="10"/>
        <item x="9"/>
        <item x="12"/>
        <item x="14"/>
        <item x="8"/>
        <item x="0"/>
        <item x="3"/>
        <item x="13"/>
        <item x="11"/>
        <item x="2"/>
        <item x="5"/>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sumSubtotal="1"/>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6"/>
    </i>
    <i>
      <x v="9"/>
    </i>
    <i>
      <x v="10"/>
    </i>
    <i>
      <x v="2"/>
    </i>
    <i>
      <x v="5"/>
    </i>
    <i>
      <x v="3"/>
    </i>
    <i>
      <x v="13"/>
    </i>
    <i>
      <x v="15"/>
    </i>
    <i>
      <x v="7"/>
    </i>
    <i>
      <x/>
    </i>
    <i t="grand">
      <x/>
    </i>
  </rowItems>
  <colItems count="1">
    <i/>
  </colItems>
  <dataFields count="1">
    <dataField name="Sum of total_revenue" fld="15"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7D159B-7D2C-481D-8EAC-696FA97CDD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3:J26" firstHeaderRow="0" firstDataRow="1" firstDataCol="1"/>
  <pivotFields count="21">
    <pivotField dataField="1" showAll="0"/>
    <pivotField numFmtId="14" showAll="0">
      <items count="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umFmtId="14" showAll="0"/>
    <pivotField showAll="0"/>
    <pivotField showAll="0">
      <items count="6">
        <item x="4"/>
        <item x="1"/>
        <item x="3"/>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revenue" fld="15" baseField="18" baseItem="1"/>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30E2143-9B1D-4AAD-A9CF-EE9892DCA348}" autoFormatId="16" applyNumberFormats="0" applyBorderFormats="0" applyFontFormats="0" applyPatternFormats="0" applyAlignmentFormats="0" applyWidthHeightFormats="0">
  <queryTableRefresh nextId="19">
    <queryTableFields count="18">
      <queryTableField id="1" name="Order_ID" tableColumnId="1"/>
      <queryTableField id="2" name="Order_Date" tableColumnId="2"/>
      <queryTableField id="3" name="Delivery_Date" tableColumnId="3"/>
      <queryTableField id="4" name="Product_Name" tableColumnId="4"/>
      <queryTableField id="5" name="Category" tableColumnId="5"/>
      <queryTableField id="6" name="Supplier" tableColumnId="6"/>
      <queryTableField id="7" name="Warehouse" tableColumnId="7"/>
      <queryTableField id="8" name="Region" tableColumnId="8"/>
      <queryTableField id="9" name="Quantity" tableColumnId="9"/>
      <queryTableField id="10" name="Unit_Price" tableColumnId="10"/>
      <queryTableField id="11" name="Shipping_Cost" tableColumnId="11"/>
      <queryTableField id="12" name="Inventory_Level" tableColumnId="12"/>
      <queryTableField id="13" name="Profit" tableColumnId="13"/>
      <queryTableField id="14" name="Delivery_Status" tableColumnId="14"/>
      <queryTableField id="15" name="shipping_time" tableColumnId="15"/>
      <queryTableField id="16" name="total_revenue" tableColumnId="16"/>
      <queryTableField id="17" name="total_cost" tableColumnId="17"/>
      <queryTableField id="18" name="Inventory_Health_Aler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255B00-664D-4CD5-8F33-31C423F30853}" sourceName="Category">
  <pivotTables>
    <pivotTable tabId="4" name="PivotTable3"/>
    <pivotTable tabId="4" name="PivotTable1"/>
    <pivotTable tabId="4" name="PivotTable11"/>
    <pivotTable tabId="4" name="PivotTable12"/>
    <pivotTable tabId="4" name="PivotTable13"/>
    <pivotTable tabId="4" name="PivotTable4"/>
    <pivotTable tabId="4" name="PivotTable5"/>
    <pivotTable tabId="4" name="PivotTable6"/>
    <pivotTable tabId="4" name="PivotTable7"/>
  </pivotTables>
  <data>
    <tabular pivotCacheId="120642025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87D6CE10-9DF2-4A6C-A20E-683E852D5B31}" sourceName="Warehouse">
  <pivotTables>
    <pivotTable tabId="4" name="PivotTable3"/>
    <pivotTable tabId="4" name="PivotTable1"/>
    <pivotTable tabId="4" name="PivotTable11"/>
    <pivotTable tabId="4" name="PivotTable12"/>
    <pivotTable tabId="4" name="PivotTable13"/>
    <pivotTable tabId="4" name="PivotTable4"/>
    <pivotTable tabId="4" name="PivotTable5"/>
    <pivotTable tabId="4" name="PivotTable6"/>
    <pivotTable tabId="4" name="PivotTable7"/>
  </pivotTables>
  <data>
    <tabular pivotCacheId="12064202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F3B09D-EAA9-4329-BB0D-5BC3606A8751}" sourceName="Region">
  <pivotTables>
    <pivotTable tabId="4" name="PivotTable3"/>
    <pivotTable tabId="4" name="PivotTable1"/>
    <pivotTable tabId="4" name="PivotTable11"/>
    <pivotTable tabId="4" name="PivotTable12"/>
    <pivotTable tabId="4" name="PivotTable13"/>
    <pivotTable tabId="4" name="PivotTable4"/>
    <pivotTable tabId="4" name="PivotTable5"/>
    <pivotTable tabId="4" name="PivotTable6"/>
    <pivotTable tabId="4" name="PivotTable7"/>
  </pivotTables>
  <data>
    <tabular pivotCacheId="1206420259">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7B9F249-A487-4C09-B18F-9287C1B04B57}" sourceName="Months (Order_Date)">
  <pivotTables>
    <pivotTable tabId="4" name="PivotTable3"/>
    <pivotTable tabId="4" name="PivotTable1"/>
    <pivotTable tabId="4" name="PivotTable11"/>
    <pivotTable tabId="4" name="PivotTable12"/>
    <pivotTable tabId="4" name="PivotTable13"/>
    <pivotTable tabId="4" name="PivotTable4"/>
    <pivotTable tabId="4" name="PivotTable5"/>
    <pivotTable tabId="4" name="PivotTable6"/>
    <pivotTable tabId="4" name="PivotTable7"/>
  </pivotTables>
  <data>
    <tabular pivotCacheId="120642025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7F5069-A5B7-4E10-B125-A43AD7E83F71}" cache="Slicer_Category" caption="Category" style="SlicerStyleLight2" rowHeight="241300"/>
  <slicer name="Warehouse" xr10:uid="{5B767AE1-F24F-416C-9A23-6FC1CED89C9B}" cache="Slicer_Warehouse" caption="Warehouse" style="SlicerStyleLight2" rowHeight="241300"/>
  <slicer name="Region" xr10:uid="{3D938101-EE8F-4734-89B8-2058020F7C63}" cache="Slicer_Region" caption="Region" style="SlicerStyleLight2" rowHeight="241300"/>
  <slicer name="Months (Order_Date)" xr10:uid="{8F17580D-B34D-4EF0-A273-CACDEB7AF6FF}" cache="Slicer_Months__Order_Date" caption="Months (Order_Date)" startItem="7"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B33B5C-21BD-426E-B426-3ADCE3DD062B}" name="Profit" displayName="Profit" ref="A1:R2001" tableType="queryTable" totalsRowShown="0">
  <autoFilter ref="A1:R2001" xr:uid="{62B33B5C-21BD-426E-B426-3ADCE3DD062B}"/>
  <tableColumns count="18">
    <tableColumn id="1" xr3:uid="{2CCA0836-667F-42B5-86CC-9C1B64FE92D3}" uniqueName="1" name="Order_ID" queryTableFieldId="1" dataDxfId="8"/>
    <tableColumn id="2" xr3:uid="{02608C63-B51D-4A94-AA54-9F713085636A}" uniqueName="2" name="Order_Date" queryTableFieldId="2" dataDxfId="7"/>
    <tableColumn id="3" xr3:uid="{154DA1A6-BB4F-428E-8667-99D0AFD39472}" uniqueName="3" name="Delivery_Date" queryTableFieldId="3" dataDxfId="6"/>
    <tableColumn id="4" xr3:uid="{EFC7B398-D60C-4B87-982D-3FE2E090A073}" uniqueName="4" name="Product_Name" queryTableFieldId="4" dataDxfId="5"/>
    <tableColumn id="5" xr3:uid="{19CA8D6E-BEA0-44E5-B64C-413CB02192A9}" uniqueName="5" name="Category" queryTableFieldId="5" dataDxfId="4"/>
    <tableColumn id="6" xr3:uid="{C52E8B6F-0CD6-4CC6-9160-D3D3CD5EA773}" uniqueName="6" name="Supplier" queryTableFieldId="6" dataDxfId="3"/>
    <tableColumn id="7" xr3:uid="{001CD3A4-4EBC-456C-A1E7-7D04AEC8A4D1}" uniqueName="7" name="Warehouse" queryTableFieldId="7" dataDxfId="2"/>
    <tableColumn id="8" xr3:uid="{22830D7A-FED2-43D0-BFE8-E974DA32B10A}" uniqueName="8" name="Region" queryTableFieldId="8" dataDxfId="1"/>
    <tableColumn id="9" xr3:uid="{0F512BED-9019-442B-B3CF-DDD58EF28EBD}" uniqueName="9" name="Quantity" queryTableFieldId="9"/>
    <tableColumn id="10" xr3:uid="{E85D9113-DFF5-4D6E-9D76-BCAE99CC1FA2}" uniqueName="10" name="Unit_Price" queryTableFieldId="10"/>
    <tableColumn id="11" xr3:uid="{FFF6D220-A7DF-4947-8150-4D360FE6883C}" uniqueName="11" name="Shipping_Cost" queryTableFieldId="11"/>
    <tableColumn id="12" xr3:uid="{C61468E0-F50A-4139-B0E7-4119C123870C}" uniqueName="12" name="Inventory_Level" queryTableFieldId="12"/>
    <tableColumn id="13" xr3:uid="{44920833-D76E-43E7-A3EC-291728658C83}" uniqueName="13" name="Profit" queryTableFieldId="13"/>
    <tableColumn id="14" xr3:uid="{434EED5F-73BD-41A9-B83C-130671F8FA61}" uniqueName="14" name="Delivery_Status" queryTableFieldId="14" dataDxfId="0"/>
    <tableColumn id="15" xr3:uid="{099DFBB5-DAC8-4B54-8F32-9FC78D296194}" uniqueName="15" name="shipping_time" queryTableFieldId="15"/>
    <tableColumn id="16" xr3:uid="{60C59222-6F43-4614-B997-CB791FA03A55}" uniqueName="16" name="total_revenue" queryTableFieldId="16"/>
    <tableColumn id="17" xr3:uid="{B2111143-2C84-4AF6-8F26-B2106A66FF9C}" uniqueName="17" name="total_cost" queryTableFieldId="17"/>
    <tableColumn id="18" xr3:uid="{A9524EE4-EF9A-44DF-956C-EBBB4ACD4CEE}" uniqueName="18" name="Inventory_Health_Alert" queryTableField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B93A-7EC7-40BD-82B6-1A25FFE1A4A6}">
  <dimension ref="A1:R2001"/>
  <sheetViews>
    <sheetView tabSelected="1" workbookViewId="0">
      <selection activeCell="R14" sqref="R14"/>
    </sheetView>
  </sheetViews>
  <sheetFormatPr defaultRowHeight="15" x14ac:dyDescent="0.25"/>
  <cols>
    <col min="1" max="1" width="11.28515625" bestFit="1" customWidth="1"/>
    <col min="2" max="2" width="13.5703125" bestFit="1" customWidth="1"/>
    <col min="3" max="3" width="16" bestFit="1" customWidth="1"/>
    <col min="4" max="4" width="17.28515625" bestFit="1" customWidth="1"/>
    <col min="5" max="5" width="11.28515625" bestFit="1" customWidth="1"/>
    <col min="6" max="6" width="14.28515625" bestFit="1" customWidth="1"/>
    <col min="7" max="7" width="13.5703125" bestFit="1" customWidth="1"/>
    <col min="8" max="8" width="9.42578125" bestFit="1" customWidth="1"/>
    <col min="9" max="9" width="11" bestFit="1" customWidth="1"/>
    <col min="10" max="10" width="12.5703125" bestFit="1" customWidth="1"/>
    <col min="11" max="11" width="16" bestFit="1" customWidth="1"/>
    <col min="12" max="12" width="17.7109375" bestFit="1" customWidth="1"/>
    <col min="13" max="13" width="8.28515625" bestFit="1" customWidth="1"/>
    <col min="14" max="14" width="17.28515625" bestFit="1" customWidth="1"/>
    <col min="15" max="15" width="16.140625" bestFit="1" customWidth="1"/>
    <col min="16" max="16" width="16" bestFit="1" customWidth="1"/>
    <col min="17" max="17" width="12" bestFit="1" customWidth="1"/>
    <col min="18" max="18" width="24.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2053</v>
      </c>
    </row>
    <row r="2" spans="1:18" x14ac:dyDescent="0.25">
      <c r="A2" t="s">
        <v>17</v>
      </c>
      <c r="B2" s="1">
        <v>44927</v>
      </c>
      <c r="C2" s="1">
        <v>44931</v>
      </c>
      <c r="D2" t="s">
        <v>18</v>
      </c>
      <c r="E2" t="s">
        <v>19</v>
      </c>
      <c r="F2" t="s">
        <v>20</v>
      </c>
      <c r="G2" t="s">
        <v>21</v>
      </c>
      <c r="H2" t="s">
        <v>22</v>
      </c>
      <c r="I2">
        <v>10</v>
      </c>
      <c r="J2">
        <v>30.33</v>
      </c>
      <c r="K2">
        <v>8</v>
      </c>
      <c r="L2">
        <v>314</v>
      </c>
      <c r="M2">
        <v>20.27</v>
      </c>
      <c r="N2" t="s">
        <v>23</v>
      </c>
      <c r="O2">
        <v>4</v>
      </c>
      <c r="P2">
        <v>303.29999999999995</v>
      </c>
      <c r="Q2">
        <v>311.29999999999995</v>
      </c>
      <c r="R2" t="s">
        <v>2054</v>
      </c>
    </row>
    <row r="3" spans="1:18" x14ac:dyDescent="0.25">
      <c r="A3" t="s">
        <v>24</v>
      </c>
      <c r="B3" s="1">
        <v>44927</v>
      </c>
      <c r="C3" s="1">
        <v>44930</v>
      </c>
      <c r="D3" t="s">
        <v>25</v>
      </c>
      <c r="E3" t="s">
        <v>19</v>
      </c>
      <c r="F3" t="s">
        <v>20</v>
      </c>
      <c r="G3" t="s">
        <v>26</v>
      </c>
      <c r="H3" t="s">
        <v>27</v>
      </c>
      <c r="I3">
        <v>12</v>
      </c>
      <c r="J3">
        <v>32.32</v>
      </c>
      <c r="K3">
        <v>8</v>
      </c>
      <c r="L3">
        <v>123</v>
      </c>
      <c r="M3">
        <v>27.03</v>
      </c>
      <c r="N3" t="s">
        <v>23</v>
      </c>
      <c r="O3">
        <v>3</v>
      </c>
      <c r="P3">
        <v>387.84000000000003</v>
      </c>
      <c r="Q3">
        <v>395.84000000000003</v>
      </c>
      <c r="R3" t="s">
        <v>2054</v>
      </c>
    </row>
    <row r="4" spans="1:18" x14ac:dyDescent="0.25">
      <c r="A4" t="s">
        <v>28</v>
      </c>
      <c r="B4" s="1">
        <v>44928</v>
      </c>
      <c r="C4" s="1">
        <v>44933</v>
      </c>
      <c r="D4" t="s">
        <v>29</v>
      </c>
      <c r="E4" t="s">
        <v>30</v>
      </c>
      <c r="F4" t="s">
        <v>31</v>
      </c>
      <c r="G4" t="s">
        <v>26</v>
      </c>
      <c r="H4" t="s">
        <v>32</v>
      </c>
      <c r="I4">
        <v>3</v>
      </c>
      <c r="J4">
        <v>92.16</v>
      </c>
      <c r="K4">
        <v>12</v>
      </c>
      <c r="L4">
        <v>131</v>
      </c>
      <c r="M4">
        <v>104.59</v>
      </c>
      <c r="N4" t="s">
        <v>23</v>
      </c>
      <c r="O4">
        <v>5</v>
      </c>
      <c r="P4">
        <v>276.48</v>
      </c>
      <c r="Q4">
        <v>288.48</v>
      </c>
      <c r="R4" t="s">
        <v>2054</v>
      </c>
    </row>
    <row r="5" spans="1:18" x14ac:dyDescent="0.25">
      <c r="A5" t="s">
        <v>33</v>
      </c>
      <c r="B5" s="1">
        <v>44928</v>
      </c>
      <c r="C5" s="1">
        <v>44929</v>
      </c>
      <c r="D5" t="s">
        <v>34</v>
      </c>
      <c r="E5" t="s">
        <v>30</v>
      </c>
      <c r="F5" t="s">
        <v>31</v>
      </c>
      <c r="G5" t="s">
        <v>35</v>
      </c>
      <c r="H5" t="s">
        <v>22</v>
      </c>
      <c r="I5">
        <v>4</v>
      </c>
      <c r="J5">
        <v>129.19999999999999</v>
      </c>
      <c r="K5">
        <v>12</v>
      </c>
      <c r="L5">
        <v>33</v>
      </c>
      <c r="M5">
        <v>200.71</v>
      </c>
      <c r="N5" t="s">
        <v>23</v>
      </c>
      <c r="O5">
        <v>1</v>
      </c>
      <c r="P5">
        <v>516.79999999999995</v>
      </c>
      <c r="Q5">
        <v>528.79999999999995</v>
      </c>
      <c r="R5" t="s">
        <v>2055</v>
      </c>
    </row>
    <row r="6" spans="1:18" x14ac:dyDescent="0.25">
      <c r="A6" t="s">
        <v>36</v>
      </c>
      <c r="B6" s="1">
        <v>44928</v>
      </c>
      <c r="C6" s="1">
        <v>44933</v>
      </c>
      <c r="D6" t="s">
        <v>37</v>
      </c>
      <c r="E6" t="s">
        <v>38</v>
      </c>
      <c r="F6" t="s">
        <v>39</v>
      </c>
      <c r="G6" t="s">
        <v>35</v>
      </c>
      <c r="H6" t="s">
        <v>40</v>
      </c>
      <c r="I6">
        <v>1</v>
      </c>
      <c r="J6">
        <v>288.13</v>
      </c>
      <c r="K6">
        <v>112.5</v>
      </c>
      <c r="L6">
        <v>151</v>
      </c>
      <c r="M6">
        <v>1.38</v>
      </c>
      <c r="N6" t="s">
        <v>23</v>
      </c>
      <c r="O6">
        <v>5</v>
      </c>
      <c r="P6">
        <v>288.13</v>
      </c>
      <c r="Q6">
        <v>400.63</v>
      </c>
      <c r="R6" t="s">
        <v>2054</v>
      </c>
    </row>
    <row r="7" spans="1:18" x14ac:dyDescent="0.25">
      <c r="A7" t="s">
        <v>41</v>
      </c>
      <c r="B7" s="1">
        <v>44928</v>
      </c>
      <c r="C7" s="1">
        <v>44932</v>
      </c>
      <c r="D7" t="s">
        <v>25</v>
      </c>
      <c r="E7" t="s">
        <v>19</v>
      </c>
      <c r="F7" t="s">
        <v>20</v>
      </c>
      <c r="G7" t="s">
        <v>35</v>
      </c>
      <c r="H7" t="s">
        <v>40</v>
      </c>
      <c r="I7">
        <v>12</v>
      </c>
      <c r="J7">
        <v>26.5</v>
      </c>
      <c r="K7">
        <v>12</v>
      </c>
      <c r="L7">
        <v>3</v>
      </c>
      <c r="M7">
        <v>19.440000000000001</v>
      </c>
      <c r="N7" t="s">
        <v>23</v>
      </c>
      <c r="O7">
        <v>4</v>
      </c>
      <c r="P7">
        <v>318</v>
      </c>
      <c r="Q7">
        <v>330</v>
      </c>
      <c r="R7" t="s">
        <v>2056</v>
      </c>
    </row>
    <row r="8" spans="1:18" x14ac:dyDescent="0.25">
      <c r="A8" t="s">
        <v>42</v>
      </c>
      <c r="B8" s="1">
        <v>44928</v>
      </c>
      <c r="C8" s="1">
        <v>44932</v>
      </c>
      <c r="D8" t="s">
        <v>43</v>
      </c>
      <c r="E8" t="s">
        <v>44</v>
      </c>
      <c r="F8" t="s">
        <v>45</v>
      </c>
      <c r="G8" t="s">
        <v>21</v>
      </c>
      <c r="H8" t="s">
        <v>27</v>
      </c>
      <c r="I8">
        <v>1</v>
      </c>
      <c r="J8">
        <v>923.4</v>
      </c>
      <c r="K8">
        <v>25</v>
      </c>
      <c r="L8">
        <v>74</v>
      </c>
      <c r="M8">
        <v>310.69</v>
      </c>
      <c r="N8" t="s">
        <v>23</v>
      </c>
      <c r="O8">
        <v>4</v>
      </c>
      <c r="P8">
        <v>923.4</v>
      </c>
      <c r="Q8">
        <v>948.4</v>
      </c>
      <c r="R8" t="s">
        <v>2054</v>
      </c>
    </row>
    <row r="9" spans="1:18" x14ac:dyDescent="0.25">
      <c r="A9" t="s">
        <v>46</v>
      </c>
      <c r="B9" s="1">
        <v>44929</v>
      </c>
      <c r="C9" s="1">
        <v>44945</v>
      </c>
      <c r="D9" t="s">
        <v>34</v>
      </c>
      <c r="E9" t="s">
        <v>30</v>
      </c>
      <c r="F9" t="s">
        <v>31</v>
      </c>
      <c r="G9" t="s">
        <v>35</v>
      </c>
      <c r="H9" t="s">
        <v>27</v>
      </c>
      <c r="I9">
        <v>4</v>
      </c>
      <c r="J9">
        <v>124.65</v>
      </c>
      <c r="K9">
        <v>12</v>
      </c>
      <c r="L9">
        <v>324</v>
      </c>
      <c r="M9">
        <v>193.44</v>
      </c>
      <c r="N9" t="s">
        <v>47</v>
      </c>
      <c r="O9">
        <v>16</v>
      </c>
      <c r="P9">
        <v>498.6</v>
      </c>
      <c r="Q9">
        <v>510.6</v>
      </c>
      <c r="R9" t="s">
        <v>2054</v>
      </c>
    </row>
    <row r="10" spans="1:18" x14ac:dyDescent="0.25">
      <c r="A10" t="s">
        <v>48</v>
      </c>
      <c r="B10" s="1">
        <v>44929</v>
      </c>
      <c r="C10" s="1">
        <v>44933</v>
      </c>
      <c r="D10" t="s">
        <v>18</v>
      </c>
      <c r="E10" t="s">
        <v>19</v>
      </c>
      <c r="F10" t="s">
        <v>20</v>
      </c>
      <c r="G10" t="s">
        <v>26</v>
      </c>
      <c r="H10" t="s">
        <v>27</v>
      </c>
      <c r="I10">
        <v>11</v>
      </c>
      <c r="J10">
        <v>15.9</v>
      </c>
      <c r="K10">
        <v>8</v>
      </c>
      <c r="L10">
        <v>338</v>
      </c>
      <c r="M10">
        <v>9.99</v>
      </c>
      <c r="N10" t="s">
        <v>23</v>
      </c>
      <c r="O10">
        <v>4</v>
      </c>
      <c r="P10">
        <v>174.9</v>
      </c>
      <c r="Q10">
        <v>182.9</v>
      </c>
      <c r="R10" t="s">
        <v>2054</v>
      </c>
    </row>
    <row r="11" spans="1:18" x14ac:dyDescent="0.25">
      <c r="A11" t="s">
        <v>49</v>
      </c>
      <c r="B11" s="1">
        <v>44930</v>
      </c>
      <c r="C11" s="1">
        <v>44934</v>
      </c>
      <c r="D11" t="s">
        <v>50</v>
      </c>
      <c r="E11" t="s">
        <v>44</v>
      </c>
      <c r="F11" t="s">
        <v>45</v>
      </c>
      <c r="G11" t="s">
        <v>26</v>
      </c>
      <c r="H11" t="s">
        <v>32</v>
      </c>
      <c r="I11">
        <v>2</v>
      </c>
      <c r="J11">
        <v>933.62</v>
      </c>
      <c r="K11">
        <v>25</v>
      </c>
      <c r="L11">
        <v>217</v>
      </c>
      <c r="M11">
        <v>641.03</v>
      </c>
      <c r="N11" t="s">
        <v>23</v>
      </c>
      <c r="O11">
        <v>4</v>
      </c>
      <c r="P11">
        <v>1867.24</v>
      </c>
      <c r="Q11">
        <v>1892.24</v>
      </c>
      <c r="R11" t="s">
        <v>2054</v>
      </c>
    </row>
    <row r="12" spans="1:18" x14ac:dyDescent="0.25">
      <c r="A12" t="s">
        <v>51</v>
      </c>
      <c r="B12" s="1">
        <v>44930</v>
      </c>
      <c r="C12" s="1">
        <v>44946</v>
      </c>
      <c r="D12" t="s">
        <v>52</v>
      </c>
      <c r="E12" t="s">
        <v>30</v>
      </c>
      <c r="F12" t="s">
        <v>31</v>
      </c>
      <c r="G12" t="s">
        <v>35</v>
      </c>
      <c r="H12" t="s">
        <v>40</v>
      </c>
      <c r="I12">
        <v>3</v>
      </c>
      <c r="J12">
        <v>129.16999999999999</v>
      </c>
      <c r="K12">
        <v>18</v>
      </c>
      <c r="L12">
        <v>109</v>
      </c>
      <c r="M12">
        <v>146.01</v>
      </c>
      <c r="N12" t="s">
        <v>47</v>
      </c>
      <c r="O12">
        <v>16</v>
      </c>
      <c r="P12">
        <v>387.51</v>
      </c>
      <c r="Q12">
        <v>405.51</v>
      </c>
      <c r="R12" t="s">
        <v>2054</v>
      </c>
    </row>
    <row r="13" spans="1:18" x14ac:dyDescent="0.25">
      <c r="A13" t="s">
        <v>53</v>
      </c>
      <c r="B13" s="1">
        <v>44931</v>
      </c>
      <c r="C13" s="1">
        <v>44934</v>
      </c>
      <c r="D13" t="s">
        <v>54</v>
      </c>
      <c r="E13" t="s">
        <v>38</v>
      </c>
      <c r="F13" t="s">
        <v>39</v>
      </c>
      <c r="G13" t="s">
        <v>35</v>
      </c>
      <c r="H13" t="s">
        <v>40</v>
      </c>
      <c r="I13">
        <v>2</v>
      </c>
      <c r="J13">
        <v>334.59</v>
      </c>
      <c r="K13">
        <v>112.5</v>
      </c>
      <c r="L13">
        <v>384</v>
      </c>
      <c r="M13">
        <v>77.59</v>
      </c>
      <c r="N13" t="s">
        <v>23</v>
      </c>
      <c r="O13">
        <v>3</v>
      </c>
      <c r="P13">
        <v>669.18</v>
      </c>
      <c r="Q13">
        <v>781.68</v>
      </c>
      <c r="R13" t="s">
        <v>2054</v>
      </c>
    </row>
    <row r="14" spans="1:18" x14ac:dyDescent="0.25">
      <c r="A14" t="s">
        <v>55</v>
      </c>
      <c r="B14" s="1">
        <v>44931</v>
      </c>
      <c r="C14" s="1">
        <v>44936</v>
      </c>
      <c r="D14" t="s">
        <v>56</v>
      </c>
      <c r="E14" t="s">
        <v>38</v>
      </c>
      <c r="F14" t="s">
        <v>39</v>
      </c>
      <c r="G14" t="s">
        <v>26</v>
      </c>
      <c r="H14" t="s">
        <v>22</v>
      </c>
      <c r="I14">
        <v>1</v>
      </c>
      <c r="J14">
        <v>436.77</v>
      </c>
      <c r="K14">
        <v>75</v>
      </c>
      <c r="L14">
        <v>93</v>
      </c>
      <c r="M14">
        <v>49.85</v>
      </c>
      <c r="N14" t="s">
        <v>23</v>
      </c>
      <c r="O14">
        <v>5</v>
      </c>
      <c r="P14">
        <v>436.77</v>
      </c>
      <c r="Q14">
        <v>511.77</v>
      </c>
      <c r="R14" t="s">
        <v>2054</v>
      </c>
    </row>
    <row r="15" spans="1:18" x14ac:dyDescent="0.25">
      <c r="A15" t="s">
        <v>57</v>
      </c>
      <c r="B15" s="1">
        <v>44932</v>
      </c>
      <c r="C15" s="1">
        <v>44947</v>
      </c>
      <c r="D15" t="s">
        <v>58</v>
      </c>
      <c r="E15" t="s">
        <v>19</v>
      </c>
      <c r="F15" t="s">
        <v>20</v>
      </c>
      <c r="G15" t="s">
        <v>35</v>
      </c>
      <c r="H15" t="s">
        <v>27</v>
      </c>
      <c r="I15">
        <v>7</v>
      </c>
      <c r="J15">
        <v>46.16</v>
      </c>
      <c r="K15">
        <v>8</v>
      </c>
      <c r="L15">
        <v>345</v>
      </c>
      <c r="M15">
        <v>21.85</v>
      </c>
      <c r="N15" t="s">
        <v>47</v>
      </c>
      <c r="O15">
        <v>15</v>
      </c>
      <c r="P15">
        <v>323.12</v>
      </c>
      <c r="Q15">
        <v>331.12</v>
      </c>
      <c r="R15" t="s">
        <v>2054</v>
      </c>
    </row>
    <row r="16" spans="1:18" x14ac:dyDescent="0.25">
      <c r="A16" t="s">
        <v>59</v>
      </c>
      <c r="B16" s="1">
        <v>44933</v>
      </c>
      <c r="C16" s="1">
        <v>44937</v>
      </c>
      <c r="D16" t="s">
        <v>25</v>
      </c>
      <c r="E16" t="s">
        <v>19</v>
      </c>
      <c r="F16" t="s">
        <v>20</v>
      </c>
      <c r="G16" t="s">
        <v>21</v>
      </c>
      <c r="H16" t="s">
        <v>27</v>
      </c>
      <c r="I16">
        <v>14</v>
      </c>
      <c r="J16">
        <v>21.31</v>
      </c>
      <c r="K16">
        <v>8</v>
      </c>
      <c r="L16">
        <v>182</v>
      </c>
      <c r="M16">
        <v>19.87</v>
      </c>
      <c r="N16" t="s">
        <v>23</v>
      </c>
      <c r="O16">
        <v>4</v>
      </c>
      <c r="P16">
        <v>298.33999999999997</v>
      </c>
      <c r="Q16">
        <v>306.33999999999997</v>
      </c>
      <c r="R16" t="s">
        <v>2054</v>
      </c>
    </row>
    <row r="17" spans="1:18" x14ac:dyDescent="0.25">
      <c r="A17" t="s">
        <v>60</v>
      </c>
      <c r="B17" s="1">
        <v>44933</v>
      </c>
      <c r="C17" s="1">
        <v>44949</v>
      </c>
      <c r="D17" t="s">
        <v>58</v>
      </c>
      <c r="E17" t="s">
        <v>19</v>
      </c>
      <c r="F17" t="s">
        <v>20</v>
      </c>
      <c r="G17" t="s">
        <v>35</v>
      </c>
      <c r="H17" t="s">
        <v>32</v>
      </c>
      <c r="I17">
        <v>10</v>
      </c>
      <c r="J17">
        <v>27.99</v>
      </c>
      <c r="K17">
        <v>8</v>
      </c>
      <c r="L17">
        <v>203</v>
      </c>
      <c r="M17">
        <v>18.39</v>
      </c>
      <c r="N17" t="s">
        <v>47</v>
      </c>
      <c r="O17">
        <v>16</v>
      </c>
      <c r="P17">
        <v>279.89999999999998</v>
      </c>
      <c r="Q17">
        <v>287.89999999999998</v>
      </c>
      <c r="R17" t="s">
        <v>2054</v>
      </c>
    </row>
    <row r="18" spans="1:18" x14ac:dyDescent="0.25">
      <c r="A18" t="s">
        <v>61</v>
      </c>
      <c r="B18" s="1">
        <v>44933</v>
      </c>
      <c r="C18" s="1">
        <v>44946</v>
      </c>
      <c r="D18" t="s">
        <v>52</v>
      </c>
      <c r="E18" t="s">
        <v>30</v>
      </c>
      <c r="F18" t="s">
        <v>31</v>
      </c>
      <c r="G18" t="s">
        <v>35</v>
      </c>
      <c r="H18" t="s">
        <v>40</v>
      </c>
      <c r="I18">
        <v>2</v>
      </c>
      <c r="J18">
        <v>65.150000000000006</v>
      </c>
      <c r="K18">
        <v>18</v>
      </c>
      <c r="L18">
        <v>222</v>
      </c>
      <c r="M18">
        <v>43.12</v>
      </c>
      <c r="N18" t="s">
        <v>47</v>
      </c>
      <c r="O18">
        <v>13</v>
      </c>
      <c r="P18">
        <v>130.30000000000001</v>
      </c>
      <c r="Q18">
        <v>148.30000000000001</v>
      </c>
      <c r="R18" t="s">
        <v>2054</v>
      </c>
    </row>
    <row r="19" spans="1:18" x14ac:dyDescent="0.25">
      <c r="A19" t="s">
        <v>62</v>
      </c>
      <c r="B19" s="1">
        <v>44934</v>
      </c>
      <c r="C19" s="1">
        <v>44941</v>
      </c>
      <c r="D19" t="s">
        <v>56</v>
      </c>
      <c r="E19" t="s">
        <v>38</v>
      </c>
      <c r="F19" t="s">
        <v>39</v>
      </c>
      <c r="G19" t="s">
        <v>35</v>
      </c>
      <c r="H19" t="s">
        <v>32</v>
      </c>
      <c r="I19">
        <v>1</v>
      </c>
      <c r="J19">
        <v>297.79000000000002</v>
      </c>
      <c r="K19">
        <v>75</v>
      </c>
      <c r="L19">
        <v>150</v>
      </c>
      <c r="M19">
        <v>22.06</v>
      </c>
      <c r="N19" t="s">
        <v>63</v>
      </c>
      <c r="O19">
        <v>7</v>
      </c>
      <c r="P19">
        <v>297.79000000000002</v>
      </c>
      <c r="Q19">
        <v>372.79</v>
      </c>
      <c r="R19" t="s">
        <v>2054</v>
      </c>
    </row>
    <row r="20" spans="1:18" x14ac:dyDescent="0.25">
      <c r="A20" t="s">
        <v>64</v>
      </c>
      <c r="B20" s="1">
        <v>44935</v>
      </c>
      <c r="C20" s="1">
        <v>44936</v>
      </c>
      <c r="D20" t="s">
        <v>29</v>
      </c>
      <c r="E20" t="s">
        <v>30</v>
      </c>
      <c r="F20" t="s">
        <v>31</v>
      </c>
      <c r="G20" t="s">
        <v>21</v>
      </c>
      <c r="H20" t="s">
        <v>32</v>
      </c>
      <c r="I20">
        <v>2</v>
      </c>
      <c r="J20">
        <v>34.83</v>
      </c>
      <c r="K20">
        <v>12</v>
      </c>
      <c r="L20">
        <v>346</v>
      </c>
      <c r="M20">
        <v>21.86</v>
      </c>
      <c r="N20" t="s">
        <v>23</v>
      </c>
      <c r="O20">
        <v>1</v>
      </c>
      <c r="P20">
        <v>69.66</v>
      </c>
      <c r="Q20">
        <v>81.66</v>
      </c>
      <c r="R20" t="s">
        <v>2054</v>
      </c>
    </row>
    <row r="21" spans="1:18" x14ac:dyDescent="0.25">
      <c r="A21" t="s">
        <v>65</v>
      </c>
      <c r="B21" s="1">
        <v>44935</v>
      </c>
      <c r="C21" s="1">
        <v>44937</v>
      </c>
      <c r="D21" t="s">
        <v>34</v>
      </c>
      <c r="E21" t="s">
        <v>30</v>
      </c>
      <c r="F21" t="s">
        <v>31</v>
      </c>
      <c r="G21" t="s">
        <v>21</v>
      </c>
      <c r="H21" t="s">
        <v>40</v>
      </c>
      <c r="I21">
        <v>1</v>
      </c>
      <c r="J21">
        <v>90.53</v>
      </c>
      <c r="K21">
        <v>18</v>
      </c>
      <c r="L21">
        <v>217</v>
      </c>
      <c r="M21">
        <v>27.21</v>
      </c>
      <c r="N21" t="s">
        <v>23</v>
      </c>
      <c r="O21">
        <v>2</v>
      </c>
      <c r="P21">
        <v>90.53</v>
      </c>
      <c r="Q21">
        <v>108.53</v>
      </c>
      <c r="R21" t="s">
        <v>2054</v>
      </c>
    </row>
    <row r="22" spans="1:18" x14ac:dyDescent="0.25">
      <c r="A22" t="s">
        <v>66</v>
      </c>
      <c r="B22" s="1">
        <v>44936</v>
      </c>
      <c r="C22" s="1">
        <v>44940</v>
      </c>
      <c r="D22" t="s">
        <v>29</v>
      </c>
      <c r="E22" t="s">
        <v>30</v>
      </c>
      <c r="F22" t="s">
        <v>31</v>
      </c>
      <c r="G22" t="s">
        <v>21</v>
      </c>
      <c r="H22" t="s">
        <v>40</v>
      </c>
      <c r="I22">
        <v>2</v>
      </c>
      <c r="J22">
        <v>106.97</v>
      </c>
      <c r="K22">
        <v>18</v>
      </c>
      <c r="L22">
        <v>144</v>
      </c>
      <c r="M22">
        <v>76.58</v>
      </c>
      <c r="N22" t="s">
        <v>23</v>
      </c>
      <c r="O22">
        <v>4</v>
      </c>
      <c r="P22">
        <v>213.94</v>
      </c>
      <c r="Q22">
        <v>231.94</v>
      </c>
      <c r="R22" t="s">
        <v>2054</v>
      </c>
    </row>
    <row r="23" spans="1:18" x14ac:dyDescent="0.25">
      <c r="A23" t="s">
        <v>67</v>
      </c>
      <c r="B23" s="1">
        <v>44936</v>
      </c>
      <c r="C23" s="1">
        <v>44941</v>
      </c>
      <c r="D23" t="s">
        <v>43</v>
      </c>
      <c r="E23" t="s">
        <v>44</v>
      </c>
      <c r="F23" t="s">
        <v>45</v>
      </c>
      <c r="G23" t="s">
        <v>26</v>
      </c>
      <c r="H23" t="s">
        <v>22</v>
      </c>
      <c r="I23">
        <v>3</v>
      </c>
      <c r="J23">
        <v>1178.06</v>
      </c>
      <c r="K23">
        <v>25</v>
      </c>
      <c r="L23">
        <v>51</v>
      </c>
      <c r="M23">
        <v>1224.47</v>
      </c>
      <c r="N23" t="s">
        <v>23</v>
      </c>
      <c r="O23">
        <v>5</v>
      </c>
      <c r="P23">
        <v>3534.18</v>
      </c>
      <c r="Q23">
        <v>3559.18</v>
      </c>
      <c r="R23" t="s">
        <v>2054</v>
      </c>
    </row>
    <row r="24" spans="1:18" x14ac:dyDescent="0.25">
      <c r="A24" t="s">
        <v>68</v>
      </c>
      <c r="B24" s="1">
        <v>44936</v>
      </c>
      <c r="C24" s="1">
        <v>44951</v>
      </c>
      <c r="D24" t="s">
        <v>43</v>
      </c>
      <c r="E24" t="s">
        <v>44</v>
      </c>
      <c r="F24" t="s">
        <v>45</v>
      </c>
      <c r="G24" t="s">
        <v>35</v>
      </c>
      <c r="H24" t="s">
        <v>40</v>
      </c>
      <c r="I24">
        <v>1</v>
      </c>
      <c r="J24">
        <v>217.95</v>
      </c>
      <c r="K24">
        <v>37.5</v>
      </c>
      <c r="L24">
        <v>135</v>
      </c>
      <c r="M24">
        <v>57.53</v>
      </c>
      <c r="N24" t="s">
        <v>47</v>
      </c>
      <c r="O24">
        <v>15</v>
      </c>
      <c r="P24">
        <v>217.95</v>
      </c>
      <c r="Q24">
        <v>255.45</v>
      </c>
      <c r="R24" t="s">
        <v>2054</v>
      </c>
    </row>
    <row r="25" spans="1:18" x14ac:dyDescent="0.25">
      <c r="A25" t="s">
        <v>69</v>
      </c>
      <c r="B25" s="1">
        <v>44937</v>
      </c>
      <c r="C25" s="1">
        <v>44939</v>
      </c>
      <c r="D25" t="s">
        <v>52</v>
      </c>
      <c r="E25" t="s">
        <v>30</v>
      </c>
      <c r="F25" t="s">
        <v>31</v>
      </c>
      <c r="G25" t="s">
        <v>21</v>
      </c>
      <c r="H25" t="s">
        <v>27</v>
      </c>
      <c r="I25">
        <v>3</v>
      </c>
      <c r="J25">
        <v>91.83</v>
      </c>
      <c r="K25">
        <v>12</v>
      </c>
      <c r="L25">
        <v>116</v>
      </c>
      <c r="M25">
        <v>104.19</v>
      </c>
      <c r="N25" t="s">
        <v>23</v>
      </c>
      <c r="O25">
        <v>2</v>
      </c>
      <c r="P25">
        <v>275.49</v>
      </c>
      <c r="Q25">
        <v>287.49</v>
      </c>
      <c r="R25" t="s">
        <v>2054</v>
      </c>
    </row>
    <row r="26" spans="1:18" x14ac:dyDescent="0.25">
      <c r="A26" t="s">
        <v>70</v>
      </c>
      <c r="B26" s="1">
        <v>44937</v>
      </c>
      <c r="C26" s="1">
        <v>44953</v>
      </c>
      <c r="D26" t="s">
        <v>29</v>
      </c>
      <c r="E26" t="s">
        <v>30</v>
      </c>
      <c r="F26" t="s">
        <v>31</v>
      </c>
      <c r="G26" t="s">
        <v>35</v>
      </c>
      <c r="H26" t="s">
        <v>40</v>
      </c>
      <c r="I26">
        <v>3</v>
      </c>
      <c r="J26">
        <v>71.66</v>
      </c>
      <c r="K26">
        <v>18</v>
      </c>
      <c r="L26">
        <v>326</v>
      </c>
      <c r="M26">
        <v>76.989999999999995</v>
      </c>
      <c r="N26" t="s">
        <v>47</v>
      </c>
      <c r="O26">
        <v>16</v>
      </c>
      <c r="P26">
        <v>214.98</v>
      </c>
      <c r="Q26">
        <v>232.98</v>
      </c>
      <c r="R26" t="s">
        <v>2054</v>
      </c>
    </row>
    <row r="27" spans="1:18" x14ac:dyDescent="0.25">
      <c r="A27" t="s">
        <v>71</v>
      </c>
      <c r="B27" s="1">
        <v>44937</v>
      </c>
      <c r="C27" s="1">
        <v>44939</v>
      </c>
      <c r="D27" t="s">
        <v>72</v>
      </c>
      <c r="E27" t="s">
        <v>44</v>
      </c>
      <c r="F27" t="s">
        <v>45</v>
      </c>
      <c r="G27" t="s">
        <v>21</v>
      </c>
      <c r="H27" t="s">
        <v>22</v>
      </c>
      <c r="I27">
        <v>3</v>
      </c>
      <c r="J27">
        <v>476.44</v>
      </c>
      <c r="K27">
        <v>25</v>
      </c>
      <c r="L27">
        <v>257</v>
      </c>
      <c r="M27">
        <v>487.77</v>
      </c>
      <c r="N27" t="s">
        <v>23</v>
      </c>
      <c r="O27">
        <v>2</v>
      </c>
      <c r="P27">
        <v>1429.32</v>
      </c>
      <c r="Q27">
        <v>1454.32</v>
      </c>
      <c r="R27" t="s">
        <v>2054</v>
      </c>
    </row>
    <row r="28" spans="1:18" x14ac:dyDescent="0.25">
      <c r="A28" t="s">
        <v>73</v>
      </c>
      <c r="B28" s="1">
        <v>44937</v>
      </c>
      <c r="C28" s="1">
        <v>44940</v>
      </c>
      <c r="D28" t="s">
        <v>50</v>
      </c>
      <c r="E28" t="s">
        <v>44</v>
      </c>
      <c r="F28" t="s">
        <v>45</v>
      </c>
      <c r="G28" t="s">
        <v>35</v>
      </c>
      <c r="H28" t="s">
        <v>27</v>
      </c>
      <c r="I28">
        <v>1</v>
      </c>
      <c r="J28">
        <v>813.47</v>
      </c>
      <c r="K28">
        <v>25</v>
      </c>
      <c r="L28">
        <v>133</v>
      </c>
      <c r="M28">
        <v>272.20999999999998</v>
      </c>
      <c r="N28" t="s">
        <v>23</v>
      </c>
      <c r="O28">
        <v>3</v>
      </c>
      <c r="P28">
        <v>813.47</v>
      </c>
      <c r="Q28">
        <v>838.47</v>
      </c>
      <c r="R28" t="s">
        <v>2054</v>
      </c>
    </row>
    <row r="29" spans="1:18" x14ac:dyDescent="0.25">
      <c r="A29" t="s">
        <v>74</v>
      </c>
      <c r="B29" s="1">
        <v>44938</v>
      </c>
      <c r="C29" s="1">
        <v>44941</v>
      </c>
      <c r="D29" t="s">
        <v>75</v>
      </c>
      <c r="E29" t="s">
        <v>44</v>
      </c>
      <c r="F29" t="s">
        <v>45</v>
      </c>
      <c r="G29" t="s">
        <v>35</v>
      </c>
      <c r="H29" t="s">
        <v>40</v>
      </c>
      <c r="I29">
        <v>3</v>
      </c>
      <c r="J29">
        <v>932.64</v>
      </c>
      <c r="K29">
        <v>37.5</v>
      </c>
      <c r="L29">
        <v>385</v>
      </c>
      <c r="M29">
        <v>960.52</v>
      </c>
      <c r="N29" t="s">
        <v>23</v>
      </c>
      <c r="O29">
        <v>3</v>
      </c>
      <c r="P29">
        <v>2797.92</v>
      </c>
      <c r="Q29">
        <v>2835.42</v>
      </c>
      <c r="R29" t="s">
        <v>2054</v>
      </c>
    </row>
    <row r="30" spans="1:18" x14ac:dyDescent="0.25">
      <c r="A30" t="s">
        <v>76</v>
      </c>
      <c r="B30" s="1">
        <v>44938</v>
      </c>
      <c r="C30" s="1">
        <v>44942</v>
      </c>
      <c r="D30" t="s">
        <v>58</v>
      </c>
      <c r="E30" t="s">
        <v>19</v>
      </c>
      <c r="F30" t="s">
        <v>20</v>
      </c>
      <c r="G30" t="s">
        <v>21</v>
      </c>
      <c r="H30" t="s">
        <v>22</v>
      </c>
      <c r="I30">
        <v>9</v>
      </c>
      <c r="J30">
        <v>29.41</v>
      </c>
      <c r="K30">
        <v>8</v>
      </c>
      <c r="L30">
        <v>279</v>
      </c>
      <c r="M30">
        <v>17.18</v>
      </c>
      <c r="N30" t="s">
        <v>23</v>
      </c>
      <c r="O30">
        <v>4</v>
      </c>
      <c r="P30">
        <v>264.69</v>
      </c>
      <c r="Q30">
        <v>272.69</v>
      </c>
      <c r="R30" t="s">
        <v>2054</v>
      </c>
    </row>
    <row r="31" spans="1:18" x14ac:dyDescent="0.25">
      <c r="A31" t="s">
        <v>77</v>
      </c>
      <c r="B31" s="1">
        <v>44938</v>
      </c>
      <c r="C31" s="1">
        <v>44942</v>
      </c>
      <c r="D31" t="s">
        <v>78</v>
      </c>
      <c r="E31" t="s">
        <v>79</v>
      </c>
      <c r="F31" t="s">
        <v>80</v>
      </c>
      <c r="G31" t="s">
        <v>26</v>
      </c>
      <c r="H31" t="s">
        <v>22</v>
      </c>
      <c r="I31">
        <v>3</v>
      </c>
      <c r="J31">
        <v>109.29</v>
      </c>
      <c r="K31">
        <v>12</v>
      </c>
      <c r="L31">
        <v>300</v>
      </c>
      <c r="M31">
        <v>141.55000000000001</v>
      </c>
      <c r="N31" t="s">
        <v>23</v>
      </c>
      <c r="O31">
        <v>4</v>
      </c>
      <c r="P31">
        <v>327.87</v>
      </c>
      <c r="Q31">
        <v>339.87</v>
      </c>
      <c r="R31" t="s">
        <v>2054</v>
      </c>
    </row>
    <row r="32" spans="1:18" x14ac:dyDescent="0.25">
      <c r="A32" t="s">
        <v>81</v>
      </c>
      <c r="B32" s="1">
        <v>44938</v>
      </c>
      <c r="C32" s="1">
        <v>44941</v>
      </c>
      <c r="D32" t="s">
        <v>82</v>
      </c>
      <c r="E32" t="s">
        <v>79</v>
      </c>
      <c r="F32" t="s">
        <v>80</v>
      </c>
      <c r="G32" t="s">
        <v>35</v>
      </c>
      <c r="H32" t="s">
        <v>40</v>
      </c>
      <c r="I32">
        <v>1</v>
      </c>
      <c r="J32">
        <v>63.79</v>
      </c>
      <c r="K32">
        <v>18</v>
      </c>
      <c r="L32">
        <v>153</v>
      </c>
      <c r="M32">
        <v>19.71</v>
      </c>
      <c r="N32" t="s">
        <v>23</v>
      </c>
      <c r="O32">
        <v>3</v>
      </c>
      <c r="P32">
        <v>63.79</v>
      </c>
      <c r="Q32">
        <v>81.789999999999992</v>
      </c>
      <c r="R32" t="s">
        <v>2054</v>
      </c>
    </row>
    <row r="33" spans="1:18" x14ac:dyDescent="0.25">
      <c r="A33" t="s">
        <v>83</v>
      </c>
      <c r="B33" s="1">
        <v>44939</v>
      </c>
      <c r="C33" s="1">
        <v>44941</v>
      </c>
      <c r="D33" t="s">
        <v>82</v>
      </c>
      <c r="E33" t="s">
        <v>79</v>
      </c>
      <c r="F33" t="s">
        <v>80</v>
      </c>
      <c r="G33" t="s">
        <v>21</v>
      </c>
      <c r="H33" t="s">
        <v>32</v>
      </c>
      <c r="I33">
        <v>3</v>
      </c>
      <c r="J33">
        <v>53.06</v>
      </c>
      <c r="K33">
        <v>12</v>
      </c>
      <c r="L33">
        <v>305</v>
      </c>
      <c r="M33">
        <v>65.64</v>
      </c>
      <c r="N33" t="s">
        <v>23</v>
      </c>
      <c r="O33">
        <v>2</v>
      </c>
      <c r="P33">
        <v>159.18</v>
      </c>
      <c r="Q33">
        <v>171.18</v>
      </c>
      <c r="R33" t="s">
        <v>2054</v>
      </c>
    </row>
    <row r="34" spans="1:18" x14ac:dyDescent="0.25">
      <c r="A34" t="s">
        <v>84</v>
      </c>
      <c r="B34" s="1">
        <v>44940</v>
      </c>
      <c r="C34" s="1">
        <v>44942</v>
      </c>
      <c r="D34" t="s">
        <v>75</v>
      </c>
      <c r="E34" t="s">
        <v>44</v>
      </c>
      <c r="F34" t="s">
        <v>45</v>
      </c>
      <c r="G34" t="s">
        <v>35</v>
      </c>
      <c r="H34" t="s">
        <v>40</v>
      </c>
      <c r="I34">
        <v>2</v>
      </c>
      <c r="J34">
        <v>439.87</v>
      </c>
      <c r="K34">
        <v>37.5</v>
      </c>
      <c r="L34">
        <v>357</v>
      </c>
      <c r="M34">
        <v>289.16000000000003</v>
      </c>
      <c r="N34" t="s">
        <v>23</v>
      </c>
      <c r="O34">
        <v>2</v>
      </c>
      <c r="P34">
        <v>879.74</v>
      </c>
      <c r="Q34">
        <v>917.24</v>
      </c>
      <c r="R34" t="s">
        <v>2054</v>
      </c>
    </row>
    <row r="35" spans="1:18" x14ac:dyDescent="0.25">
      <c r="A35" t="s">
        <v>85</v>
      </c>
      <c r="B35" s="1">
        <v>44940</v>
      </c>
      <c r="C35" s="1">
        <v>44945</v>
      </c>
      <c r="D35" t="s">
        <v>29</v>
      </c>
      <c r="E35" t="s">
        <v>30</v>
      </c>
      <c r="F35" t="s">
        <v>31</v>
      </c>
      <c r="G35" t="s">
        <v>21</v>
      </c>
      <c r="H35" t="s">
        <v>27</v>
      </c>
      <c r="I35">
        <v>3</v>
      </c>
      <c r="J35">
        <v>124.81</v>
      </c>
      <c r="K35">
        <v>12</v>
      </c>
      <c r="L35">
        <v>231</v>
      </c>
      <c r="M35">
        <v>143.77000000000001</v>
      </c>
      <c r="N35" t="s">
        <v>23</v>
      </c>
      <c r="O35">
        <v>5</v>
      </c>
      <c r="P35">
        <v>374.43</v>
      </c>
      <c r="Q35">
        <v>386.43</v>
      </c>
      <c r="R35" t="s">
        <v>2054</v>
      </c>
    </row>
    <row r="36" spans="1:18" x14ac:dyDescent="0.25">
      <c r="A36" t="s">
        <v>86</v>
      </c>
      <c r="B36" s="1">
        <v>44940</v>
      </c>
      <c r="C36" s="1">
        <v>44943</v>
      </c>
      <c r="D36" t="s">
        <v>58</v>
      </c>
      <c r="E36" t="s">
        <v>19</v>
      </c>
      <c r="F36" t="s">
        <v>20</v>
      </c>
      <c r="G36" t="s">
        <v>35</v>
      </c>
      <c r="H36" t="s">
        <v>40</v>
      </c>
      <c r="I36">
        <v>13</v>
      </c>
      <c r="J36">
        <v>17</v>
      </c>
      <c r="K36">
        <v>12</v>
      </c>
      <c r="L36">
        <v>266</v>
      </c>
      <c r="M36">
        <v>11.68</v>
      </c>
      <c r="N36" t="s">
        <v>23</v>
      </c>
      <c r="O36">
        <v>3</v>
      </c>
      <c r="P36">
        <v>221</v>
      </c>
      <c r="Q36">
        <v>233</v>
      </c>
      <c r="R36" t="s">
        <v>2054</v>
      </c>
    </row>
    <row r="37" spans="1:18" x14ac:dyDescent="0.25">
      <c r="A37" t="s">
        <v>87</v>
      </c>
      <c r="B37" s="1">
        <v>44941</v>
      </c>
      <c r="C37" s="1">
        <v>44945</v>
      </c>
      <c r="D37" t="s">
        <v>52</v>
      </c>
      <c r="E37" t="s">
        <v>30</v>
      </c>
      <c r="F37" t="s">
        <v>31</v>
      </c>
      <c r="G37" t="s">
        <v>35</v>
      </c>
      <c r="H37" t="s">
        <v>40</v>
      </c>
      <c r="I37">
        <v>5</v>
      </c>
      <c r="J37">
        <v>119.21</v>
      </c>
      <c r="K37">
        <v>18</v>
      </c>
      <c r="L37">
        <v>161</v>
      </c>
      <c r="M37">
        <v>229.42</v>
      </c>
      <c r="N37" t="s">
        <v>23</v>
      </c>
      <c r="O37">
        <v>4</v>
      </c>
      <c r="P37">
        <v>596.04999999999995</v>
      </c>
      <c r="Q37">
        <v>614.04999999999995</v>
      </c>
      <c r="R37" t="s">
        <v>2054</v>
      </c>
    </row>
    <row r="38" spans="1:18" x14ac:dyDescent="0.25">
      <c r="A38" t="s">
        <v>88</v>
      </c>
      <c r="B38" s="1">
        <v>44941</v>
      </c>
      <c r="C38" s="1">
        <v>44945</v>
      </c>
      <c r="D38" t="s">
        <v>58</v>
      </c>
      <c r="E38" t="s">
        <v>19</v>
      </c>
      <c r="F38" t="s">
        <v>20</v>
      </c>
      <c r="G38" t="s">
        <v>21</v>
      </c>
      <c r="H38" t="s">
        <v>27</v>
      </c>
      <c r="I38">
        <v>5</v>
      </c>
      <c r="J38">
        <v>20.41</v>
      </c>
      <c r="K38">
        <v>8</v>
      </c>
      <c r="L38">
        <v>1</v>
      </c>
      <c r="M38">
        <v>4.16</v>
      </c>
      <c r="N38" t="s">
        <v>23</v>
      </c>
      <c r="O38">
        <v>4</v>
      </c>
      <c r="P38">
        <v>102.05</v>
      </c>
      <c r="Q38">
        <v>110.05</v>
      </c>
      <c r="R38" t="s">
        <v>2056</v>
      </c>
    </row>
    <row r="39" spans="1:18" x14ac:dyDescent="0.25">
      <c r="A39" t="s">
        <v>89</v>
      </c>
      <c r="B39" s="1">
        <v>44942</v>
      </c>
      <c r="C39" s="1">
        <v>44944</v>
      </c>
      <c r="D39" t="s">
        <v>37</v>
      </c>
      <c r="E39" t="s">
        <v>38</v>
      </c>
      <c r="F39" t="s">
        <v>39</v>
      </c>
      <c r="G39" t="s">
        <v>35</v>
      </c>
      <c r="H39" t="s">
        <v>40</v>
      </c>
      <c r="I39">
        <v>2</v>
      </c>
      <c r="J39">
        <v>144.29</v>
      </c>
      <c r="K39">
        <v>112.5</v>
      </c>
      <c r="L39">
        <v>363</v>
      </c>
      <c r="M39">
        <v>-43.29</v>
      </c>
      <c r="N39" t="s">
        <v>23</v>
      </c>
      <c r="O39">
        <v>2</v>
      </c>
      <c r="P39">
        <v>288.58</v>
      </c>
      <c r="Q39">
        <v>401.08</v>
      </c>
      <c r="R39" t="s">
        <v>2054</v>
      </c>
    </row>
    <row r="40" spans="1:18" x14ac:dyDescent="0.25">
      <c r="A40" t="s">
        <v>90</v>
      </c>
      <c r="B40" s="1">
        <v>44943</v>
      </c>
      <c r="C40" s="1">
        <v>44956</v>
      </c>
      <c r="D40" t="s">
        <v>50</v>
      </c>
      <c r="E40" t="s">
        <v>44</v>
      </c>
      <c r="F40" t="s">
        <v>45</v>
      </c>
      <c r="G40" t="s">
        <v>35</v>
      </c>
      <c r="H40" t="s">
        <v>27</v>
      </c>
      <c r="I40">
        <v>3</v>
      </c>
      <c r="J40">
        <v>1026.04</v>
      </c>
      <c r="K40">
        <v>25</v>
      </c>
      <c r="L40">
        <v>192</v>
      </c>
      <c r="M40">
        <v>1064.8399999999999</v>
      </c>
      <c r="N40" t="s">
        <v>47</v>
      </c>
      <c r="O40">
        <v>13</v>
      </c>
      <c r="P40">
        <v>3078.12</v>
      </c>
      <c r="Q40">
        <v>3103.12</v>
      </c>
      <c r="R40" t="s">
        <v>2054</v>
      </c>
    </row>
    <row r="41" spans="1:18" x14ac:dyDescent="0.25">
      <c r="A41" t="s">
        <v>91</v>
      </c>
      <c r="B41" s="1">
        <v>44943</v>
      </c>
      <c r="C41" s="1">
        <v>44957</v>
      </c>
      <c r="D41" t="s">
        <v>34</v>
      </c>
      <c r="E41" t="s">
        <v>30</v>
      </c>
      <c r="F41" t="s">
        <v>31</v>
      </c>
      <c r="G41" t="s">
        <v>35</v>
      </c>
      <c r="H41" t="s">
        <v>27</v>
      </c>
      <c r="I41">
        <v>4</v>
      </c>
      <c r="J41">
        <v>35.630000000000003</v>
      </c>
      <c r="K41">
        <v>12</v>
      </c>
      <c r="L41">
        <v>305</v>
      </c>
      <c r="M41">
        <v>51.01</v>
      </c>
      <c r="N41" t="s">
        <v>47</v>
      </c>
      <c r="O41">
        <v>14</v>
      </c>
      <c r="P41">
        <v>142.52000000000001</v>
      </c>
      <c r="Q41">
        <v>154.52000000000001</v>
      </c>
      <c r="R41" t="s">
        <v>2054</v>
      </c>
    </row>
    <row r="42" spans="1:18" x14ac:dyDescent="0.25">
      <c r="A42" t="s">
        <v>92</v>
      </c>
      <c r="B42" s="1">
        <v>44943</v>
      </c>
      <c r="C42" s="1">
        <v>44946</v>
      </c>
      <c r="D42" t="s">
        <v>37</v>
      </c>
      <c r="E42" t="s">
        <v>38</v>
      </c>
      <c r="F42" t="s">
        <v>39</v>
      </c>
      <c r="G42" t="s">
        <v>21</v>
      </c>
      <c r="H42" t="s">
        <v>32</v>
      </c>
      <c r="I42">
        <v>2</v>
      </c>
      <c r="J42">
        <v>190.54</v>
      </c>
      <c r="K42">
        <v>75</v>
      </c>
      <c r="L42">
        <v>215</v>
      </c>
      <c r="M42">
        <v>38.72</v>
      </c>
      <c r="N42" t="s">
        <v>23</v>
      </c>
      <c r="O42">
        <v>3</v>
      </c>
      <c r="P42">
        <v>381.08</v>
      </c>
      <c r="Q42">
        <v>456.08</v>
      </c>
      <c r="R42" t="s">
        <v>2054</v>
      </c>
    </row>
    <row r="43" spans="1:18" x14ac:dyDescent="0.25">
      <c r="A43" t="s">
        <v>93</v>
      </c>
      <c r="B43" s="1">
        <v>44944</v>
      </c>
      <c r="C43" s="1">
        <v>44949</v>
      </c>
      <c r="D43" t="s">
        <v>82</v>
      </c>
      <c r="E43" t="s">
        <v>79</v>
      </c>
      <c r="F43" t="s">
        <v>80</v>
      </c>
      <c r="G43" t="s">
        <v>21</v>
      </c>
      <c r="H43" t="s">
        <v>32</v>
      </c>
      <c r="I43">
        <v>1</v>
      </c>
      <c r="J43">
        <v>97.12</v>
      </c>
      <c r="K43">
        <v>12</v>
      </c>
      <c r="L43">
        <v>274</v>
      </c>
      <c r="M43">
        <v>37.700000000000003</v>
      </c>
      <c r="N43" t="s">
        <v>23</v>
      </c>
      <c r="O43">
        <v>5</v>
      </c>
      <c r="P43">
        <v>97.12</v>
      </c>
      <c r="Q43">
        <v>109.12</v>
      </c>
      <c r="R43" t="s">
        <v>2054</v>
      </c>
    </row>
    <row r="44" spans="1:18" x14ac:dyDescent="0.25">
      <c r="A44" t="s">
        <v>94</v>
      </c>
      <c r="B44" s="1">
        <v>44944</v>
      </c>
      <c r="C44" s="1">
        <v>44951</v>
      </c>
      <c r="D44" t="s">
        <v>58</v>
      </c>
      <c r="E44" t="s">
        <v>19</v>
      </c>
      <c r="F44" t="s">
        <v>20</v>
      </c>
      <c r="G44" t="s">
        <v>35</v>
      </c>
      <c r="H44" t="s">
        <v>40</v>
      </c>
      <c r="I44">
        <v>6</v>
      </c>
      <c r="J44">
        <v>49.82</v>
      </c>
      <c r="K44">
        <v>12</v>
      </c>
      <c r="L44">
        <v>323</v>
      </c>
      <c r="M44">
        <v>17.91</v>
      </c>
      <c r="N44" t="s">
        <v>63</v>
      </c>
      <c r="O44">
        <v>7</v>
      </c>
      <c r="P44">
        <v>298.92</v>
      </c>
      <c r="Q44">
        <v>310.92</v>
      </c>
      <c r="R44" t="s">
        <v>2054</v>
      </c>
    </row>
    <row r="45" spans="1:18" x14ac:dyDescent="0.25">
      <c r="A45" t="s">
        <v>95</v>
      </c>
      <c r="B45" s="1">
        <v>44945</v>
      </c>
      <c r="C45" s="1">
        <v>44949</v>
      </c>
      <c r="D45" t="s">
        <v>58</v>
      </c>
      <c r="E45" t="s">
        <v>19</v>
      </c>
      <c r="F45" t="s">
        <v>20</v>
      </c>
      <c r="G45" t="s">
        <v>21</v>
      </c>
      <c r="H45" t="s">
        <v>22</v>
      </c>
      <c r="I45">
        <v>12</v>
      </c>
      <c r="J45">
        <v>43.17</v>
      </c>
      <c r="K45">
        <v>8</v>
      </c>
      <c r="L45">
        <v>6</v>
      </c>
      <c r="M45">
        <v>37.44</v>
      </c>
      <c r="N45" t="s">
        <v>23</v>
      </c>
      <c r="O45">
        <v>4</v>
      </c>
      <c r="P45">
        <v>518.04</v>
      </c>
      <c r="Q45">
        <v>526.04</v>
      </c>
      <c r="R45" t="s">
        <v>2056</v>
      </c>
    </row>
    <row r="46" spans="1:18" x14ac:dyDescent="0.25">
      <c r="A46" t="s">
        <v>96</v>
      </c>
      <c r="B46" s="1">
        <v>44946</v>
      </c>
      <c r="C46" s="1">
        <v>44951</v>
      </c>
      <c r="D46" t="s">
        <v>82</v>
      </c>
      <c r="E46" t="s">
        <v>79</v>
      </c>
      <c r="F46" t="s">
        <v>80</v>
      </c>
      <c r="G46" t="s">
        <v>26</v>
      </c>
      <c r="H46" t="s">
        <v>22</v>
      </c>
      <c r="I46">
        <v>4</v>
      </c>
      <c r="J46">
        <v>64.31</v>
      </c>
      <c r="K46">
        <v>12</v>
      </c>
      <c r="L46">
        <v>251</v>
      </c>
      <c r="M46">
        <v>109.75</v>
      </c>
      <c r="N46" t="s">
        <v>23</v>
      </c>
      <c r="O46">
        <v>5</v>
      </c>
      <c r="P46">
        <v>257.24</v>
      </c>
      <c r="Q46">
        <v>269.24</v>
      </c>
      <c r="R46" t="s">
        <v>2054</v>
      </c>
    </row>
    <row r="47" spans="1:18" x14ac:dyDescent="0.25">
      <c r="A47" t="s">
        <v>97</v>
      </c>
      <c r="B47" s="1">
        <v>44947</v>
      </c>
      <c r="C47" s="1">
        <v>44952</v>
      </c>
      <c r="D47" t="s">
        <v>58</v>
      </c>
      <c r="E47" t="s">
        <v>19</v>
      </c>
      <c r="F47" t="s">
        <v>20</v>
      </c>
      <c r="G47" t="s">
        <v>21</v>
      </c>
      <c r="H47" t="s">
        <v>27</v>
      </c>
      <c r="I47">
        <v>11</v>
      </c>
      <c r="J47">
        <v>19.5</v>
      </c>
      <c r="K47">
        <v>8</v>
      </c>
      <c r="L47">
        <v>95</v>
      </c>
      <c r="M47">
        <v>13.16</v>
      </c>
      <c r="N47" t="s">
        <v>23</v>
      </c>
      <c r="O47">
        <v>5</v>
      </c>
      <c r="P47">
        <v>214.5</v>
      </c>
      <c r="Q47">
        <v>222.5</v>
      </c>
      <c r="R47" t="s">
        <v>2054</v>
      </c>
    </row>
    <row r="48" spans="1:18" x14ac:dyDescent="0.25">
      <c r="A48" t="s">
        <v>98</v>
      </c>
      <c r="B48" s="1">
        <v>44947</v>
      </c>
      <c r="C48" s="1">
        <v>44959</v>
      </c>
      <c r="D48" t="s">
        <v>78</v>
      </c>
      <c r="E48" t="s">
        <v>79</v>
      </c>
      <c r="F48" t="s">
        <v>80</v>
      </c>
      <c r="G48" t="s">
        <v>35</v>
      </c>
      <c r="H48" t="s">
        <v>40</v>
      </c>
      <c r="I48">
        <v>1</v>
      </c>
      <c r="J48">
        <v>116.67</v>
      </c>
      <c r="K48">
        <v>18</v>
      </c>
      <c r="L48">
        <v>281</v>
      </c>
      <c r="M48">
        <v>43.5</v>
      </c>
      <c r="N48" t="s">
        <v>47</v>
      </c>
      <c r="O48">
        <v>12</v>
      </c>
      <c r="P48">
        <v>116.67</v>
      </c>
      <c r="Q48">
        <v>134.67000000000002</v>
      </c>
      <c r="R48" t="s">
        <v>2054</v>
      </c>
    </row>
    <row r="49" spans="1:18" x14ac:dyDescent="0.25">
      <c r="A49" t="s">
        <v>99</v>
      </c>
      <c r="B49" s="1">
        <v>44947</v>
      </c>
      <c r="C49" s="1">
        <v>44950</v>
      </c>
      <c r="D49" t="s">
        <v>75</v>
      </c>
      <c r="E49" t="s">
        <v>44</v>
      </c>
      <c r="F49" t="s">
        <v>45</v>
      </c>
      <c r="G49" t="s">
        <v>35</v>
      </c>
      <c r="H49" t="s">
        <v>40</v>
      </c>
      <c r="I49">
        <v>1</v>
      </c>
      <c r="J49">
        <v>650.47</v>
      </c>
      <c r="K49">
        <v>37.5</v>
      </c>
      <c r="L49">
        <v>161</v>
      </c>
      <c r="M49">
        <v>208.91</v>
      </c>
      <c r="N49" t="s">
        <v>23</v>
      </c>
      <c r="O49">
        <v>3</v>
      </c>
      <c r="P49">
        <v>650.47</v>
      </c>
      <c r="Q49">
        <v>687.97</v>
      </c>
      <c r="R49" t="s">
        <v>2054</v>
      </c>
    </row>
    <row r="50" spans="1:18" x14ac:dyDescent="0.25">
      <c r="A50" t="s">
        <v>100</v>
      </c>
      <c r="B50" s="1">
        <v>44947</v>
      </c>
      <c r="C50" s="1">
        <v>44951</v>
      </c>
      <c r="D50" t="s">
        <v>34</v>
      </c>
      <c r="E50" t="s">
        <v>30</v>
      </c>
      <c r="F50" t="s">
        <v>31</v>
      </c>
      <c r="G50" t="s">
        <v>21</v>
      </c>
      <c r="H50" t="s">
        <v>27</v>
      </c>
      <c r="I50">
        <v>1</v>
      </c>
      <c r="J50">
        <v>131.04</v>
      </c>
      <c r="K50">
        <v>12</v>
      </c>
      <c r="L50">
        <v>62</v>
      </c>
      <c r="M50">
        <v>46.42</v>
      </c>
      <c r="N50" t="s">
        <v>23</v>
      </c>
      <c r="O50">
        <v>4</v>
      </c>
      <c r="P50">
        <v>131.04</v>
      </c>
      <c r="Q50">
        <v>143.04</v>
      </c>
      <c r="R50" t="s">
        <v>2054</v>
      </c>
    </row>
    <row r="51" spans="1:18" x14ac:dyDescent="0.25">
      <c r="A51" t="s">
        <v>101</v>
      </c>
      <c r="B51" s="1">
        <v>44947</v>
      </c>
      <c r="C51" s="1">
        <v>44948</v>
      </c>
      <c r="D51" t="s">
        <v>75</v>
      </c>
      <c r="E51" t="s">
        <v>44</v>
      </c>
      <c r="F51" t="s">
        <v>45</v>
      </c>
      <c r="G51" t="s">
        <v>35</v>
      </c>
      <c r="H51" t="s">
        <v>40</v>
      </c>
      <c r="I51">
        <v>2</v>
      </c>
      <c r="J51">
        <v>418.51</v>
      </c>
      <c r="K51">
        <v>37.5</v>
      </c>
      <c r="L51">
        <v>252</v>
      </c>
      <c r="M51">
        <v>274.20999999999998</v>
      </c>
      <c r="N51" t="s">
        <v>23</v>
      </c>
      <c r="O51">
        <v>1</v>
      </c>
      <c r="P51">
        <v>837.02</v>
      </c>
      <c r="Q51">
        <v>874.52</v>
      </c>
      <c r="R51" t="s">
        <v>2054</v>
      </c>
    </row>
    <row r="52" spans="1:18" x14ac:dyDescent="0.25">
      <c r="A52" t="s">
        <v>102</v>
      </c>
      <c r="B52" s="1">
        <v>44948</v>
      </c>
      <c r="C52" s="1">
        <v>44951</v>
      </c>
      <c r="D52" t="s">
        <v>37</v>
      </c>
      <c r="E52" t="s">
        <v>38</v>
      </c>
      <c r="F52" t="s">
        <v>39</v>
      </c>
      <c r="G52" t="s">
        <v>21</v>
      </c>
      <c r="H52" t="s">
        <v>32</v>
      </c>
      <c r="I52">
        <v>1</v>
      </c>
      <c r="J52">
        <v>451.95</v>
      </c>
      <c r="K52">
        <v>75</v>
      </c>
      <c r="L52">
        <v>211</v>
      </c>
      <c r="M52">
        <v>52.89</v>
      </c>
      <c r="N52" t="s">
        <v>23</v>
      </c>
      <c r="O52">
        <v>3</v>
      </c>
      <c r="P52">
        <v>451.95</v>
      </c>
      <c r="Q52">
        <v>526.95000000000005</v>
      </c>
      <c r="R52" t="s">
        <v>2054</v>
      </c>
    </row>
    <row r="53" spans="1:18" x14ac:dyDescent="0.25">
      <c r="A53" t="s">
        <v>103</v>
      </c>
      <c r="B53" s="1">
        <v>44948</v>
      </c>
      <c r="C53" s="1">
        <v>44952</v>
      </c>
      <c r="D53" t="s">
        <v>43</v>
      </c>
      <c r="E53" t="s">
        <v>44</v>
      </c>
      <c r="F53" t="s">
        <v>45</v>
      </c>
      <c r="G53" t="s">
        <v>26</v>
      </c>
      <c r="H53" t="s">
        <v>22</v>
      </c>
      <c r="I53">
        <v>3</v>
      </c>
      <c r="J53">
        <v>365.2</v>
      </c>
      <c r="K53">
        <v>25</v>
      </c>
      <c r="L53">
        <v>128</v>
      </c>
      <c r="M53">
        <v>370.96</v>
      </c>
      <c r="N53" t="s">
        <v>23</v>
      </c>
      <c r="O53">
        <v>4</v>
      </c>
      <c r="P53">
        <v>1095.5999999999999</v>
      </c>
      <c r="Q53">
        <v>1120.5999999999999</v>
      </c>
      <c r="R53" t="s">
        <v>2054</v>
      </c>
    </row>
    <row r="54" spans="1:18" x14ac:dyDescent="0.25">
      <c r="A54" t="s">
        <v>104</v>
      </c>
      <c r="B54" s="1">
        <v>44948</v>
      </c>
      <c r="C54" s="1">
        <v>44949</v>
      </c>
      <c r="D54" t="s">
        <v>25</v>
      </c>
      <c r="E54" t="s">
        <v>19</v>
      </c>
      <c r="F54" t="s">
        <v>20</v>
      </c>
      <c r="G54" t="s">
        <v>35</v>
      </c>
      <c r="H54" t="s">
        <v>40</v>
      </c>
      <c r="I54">
        <v>13</v>
      </c>
      <c r="J54">
        <v>38.86</v>
      </c>
      <c r="K54">
        <v>12</v>
      </c>
      <c r="L54">
        <v>6</v>
      </c>
      <c r="M54">
        <v>34.409999999999997</v>
      </c>
      <c r="N54" t="s">
        <v>23</v>
      </c>
      <c r="O54">
        <v>1</v>
      </c>
      <c r="P54">
        <v>505.18</v>
      </c>
      <c r="Q54">
        <v>517.18000000000006</v>
      </c>
      <c r="R54" t="s">
        <v>2056</v>
      </c>
    </row>
    <row r="55" spans="1:18" x14ac:dyDescent="0.25">
      <c r="A55" t="s">
        <v>105</v>
      </c>
      <c r="B55" s="1">
        <v>44949</v>
      </c>
      <c r="C55" s="1">
        <v>44965</v>
      </c>
      <c r="D55" t="s">
        <v>58</v>
      </c>
      <c r="E55" t="s">
        <v>19</v>
      </c>
      <c r="F55" t="s">
        <v>20</v>
      </c>
      <c r="G55" t="s">
        <v>35</v>
      </c>
      <c r="H55" t="s">
        <v>40</v>
      </c>
      <c r="I55">
        <v>9</v>
      </c>
      <c r="J55">
        <v>36.51</v>
      </c>
      <c r="K55">
        <v>12</v>
      </c>
      <c r="L55">
        <v>103</v>
      </c>
      <c r="M55">
        <v>20.28</v>
      </c>
      <c r="N55" t="s">
        <v>47</v>
      </c>
      <c r="O55">
        <v>16</v>
      </c>
      <c r="P55">
        <v>328.59</v>
      </c>
      <c r="Q55">
        <v>340.59</v>
      </c>
      <c r="R55" t="s">
        <v>2054</v>
      </c>
    </row>
    <row r="56" spans="1:18" x14ac:dyDescent="0.25">
      <c r="A56" t="s">
        <v>106</v>
      </c>
      <c r="B56" s="1">
        <v>44949</v>
      </c>
      <c r="C56" s="1">
        <v>44957</v>
      </c>
      <c r="D56" t="s">
        <v>37</v>
      </c>
      <c r="E56" t="s">
        <v>38</v>
      </c>
      <c r="F56" t="s">
        <v>39</v>
      </c>
      <c r="G56" t="s">
        <v>35</v>
      </c>
      <c r="H56" t="s">
        <v>27</v>
      </c>
      <c r="I56">
        <v>2</v>
      </c>
      <c r="J56">
        <v>358.44</v>
      </c>
      <c r="K56">
        <v>75</v>
      </c>
      <c r="L56">
        <v>350</v>
      </c>
      <c r="M56">
        <v>105.88</v>
      </c>
      <c r="N56" t="s">
        <v>63</v>
      </c>
      <c r="O56">
        <v>8</v>
      </c>
      <c r="P56">
        <v>716.88</v>
      </c>
      <c r="Q56">
        <v>791.88</v>
      </c>
      <c r="R56" t="s">
        <v>2054</v>
      </c>
    </row>
    <row r="57" spans="1:18" x14ac:dyDescent="0.25">
      <c r="A57" t="s">
        <v>107</v>
      </c>
      <c r="B57" s="1">
        <v>44950</v>
      </c>
      <c r="C57" s="1">
        <v>44953</v>
      </c>
      <c r="D57" t="s">
        <v>50</v>
      </c>
      <c r="E57" t="s">
        <v>44</v>
      </c>
      <c r="F57" t="s">
        <v>45</v>
      </c>
      <c r="G57" t="s">
        <v>35</v>
      </c>
      <c r="H57" t="s">
        <v>40</v>
      </c>
      <c r="I57">
        <v>3</v>
      </c>
      <c r="J57">
        <v>923.97</v>
      </c>
      <c r="K57">
        <v>37.5</v>
      </c>
      <c r="L57">
        <v>112</v>
      </c>
      <c r="M57">
        <v>951.42</v>
      </c>
      <c r="N57" t="s">
        <v>23</v>
      </c>
      <c r="O57">
        <v>3</v>
      </c>
      <c r="P57">
        <v>2771.91</v>
      </c>
      <c r="Q57">
        <v>2809.41</v>
      </c>
      <c r="R57" t="s">
        <v>2054</v>
      </c>
    </row>
    <row r="58" spans="1:18" x14ac:dyDescent="0.25">
      <c r="A58" t="s">
        <v>108</v>
      </c>
      <c r="B58" s="1">
        <v>44951</v>
      </c>
      <c r="C58" s="1">
        <v>44956</v>
      </c>
      <c r="D58" t="s">
        <v>50</v>
      </c>
      <c r="E58" t="s">
        <v>44</v>
      </c>
      <c r="F58" t="s">
        <v>45</v>
      </c>
      <c r="G58" t="s">
        <v>35</v>
      </c>
      <c r="H58" t="s">
        <v>40</v>
      </c>
      <c r="I58">
        <v>3</v>
      </c>
      <c r="J58">
        <v>648.85</v>
      </c>
      <c r="K58">
        <v>37.5</v>
      </c>
      <c r="L58">
        <v>376</v>
      </c>
      <c r="M58">
        <v>662.55</v>
      </c>
      <c r="N58" t="s">
        <v>23</v>
      </c>
      <c r="O58">
        <v>5</v>
      </c>
      <c r="P58">
        <v>1946.5500000000002</v>
      </c>
      <c r="Q58">
        <v>1984.0500000000002</v>
      </c>
      <c r="R58" t="s">
        <v>2054</v>
      </c>
    </row>
    <row r="59" spans="1:18" x14ac:dyDescent="0.25">
      <c r="A59" t="s">
        <v>109</v>
      </c>
      <c r="B59" s="1">
        <v>44951</v>
      </c>
      <c r="C59" s="1">
        <v>44956</v>
      </c>
      <c r="D59" t="s">
        <v>43</v>
      </c>
      <c r="E59" t="s">
        <v>44</v>
      </c>
      <c r="F59" t="s">
        <v>45</v>
      </c>
      <c r="G59" t="s">
        <v>21</v>
      </c>
      <c r="H59" t="s">
        <v>22</v>
      </c>
      <c r="I59">
        <v>2</v>
      </c>
      <c r="J59">
        <v>1045.5999999999999</v>
      </c>
      <c r="K59">
        <v>25</v>
      </c>
      <c r="L59">
        <v>118</v>
      </c>
      <c r="M59">
        <v>719.42</v>
      </c>
      <c r="N59" t="s">
        <v>23</v>
      </c>
      <c r="O59">
        <v>5</v>
      </c>
      <c r="P59">
        <v>2091.1999999999998</v>
      </c>
      <c r="Q59">
        <v>2116.1999999999998</v>
      </c>
      <c r="R59" t="s">
        <v>2054</v>
      </c>
    </row>
    <row r="60" spans="1:18" x14ac:dyDescent="0.25">
      <c r="A60" t="s">
        <v>110</v>
      </c>
      <c r="B60" s="1">
        <v>44951</v>
      </c>
      <c r="C60" s="1">
        <v>44952</v>
      </c>
      <c r="D60" t="s">
        <v>54</v>
      </c>
      <c r="E60" t="s">
        <v>38</v>
      </c>
      <c r="F60" t="s">
        <v>39</v>
      </c>
      <c r="G60" t="s">
        <v>35</v>
      </c>
      <c r="H60" t="s">
        <v>40</v>
      </c>
      <c r="I60">
        <v>1</v>
      </c>
      <c r="J60">
        <v>253.7</v>
      </c>
      <c r="K60">
        <v>112.5</v>
      </c>
      <c r="L60">
        <v>354</v>
      </c>
      <c r="M60">
        <v>-5.51</v>
      </c>
      <c r="N60" t="s">
        <v>23</v>
      </c>
      <c r="O60">
        <v>1</v>
      </c>
      <c r="P60">
        <v>253.7</v>
      </c>
      <c r="Q60">
        <v>366.2</v>
      </c>
      <c r="R60" t="s">
        <v>2054</v>
      </c>
    </row>
    <row r="61" spans="1:18" x14ac:dyDescent="0.25">
      <c r="A61" t="s">
        <v>111</v>
      </c>
      <c r="B61" s="1">
        <v>44953</v>
      </c>
      <c r="C61" s="1">
        <v>44964</v>
      </c>
      <c r="D61" t="s">
        <v>37</v>
      </c>
      <c r="E61" t="s">
        <v>38</v>
      </c>
      <c r="F61" t="s">
        <v>39</v>
      </c>
      <c r="G61" t="s">
        <v>35</v>
      </c>
      <c r="H61" t="s">
        <v>27</v>
      </c>
      <c r="I61">
        <v>2</v>
      </c>
      <c r="J61">
        <v>340.43</v>
      </c>
      <c r="K61">
        <v>75</v>
      </c>
      <c r="L61">
        <v>186</v>
      </c>
      <c r="M61">
        <v>98.67</v>
      </c>
      <c r="N61" t="s">
        <v>47</v>
      </c>
      <c r="O61">
        <v>11</v>
      </c>
      <c r="P61">
        <v>680.86</v>
      </c>
      <c r="Q61">
        <v>755.86</v>
      </c>
      <c r="R61" t="s">
        <v>2054</v>
      </c>
    </row>
    <row r="62" spans="1:18" x14ac:dyDescent="0.25">
      <c r="A62" t="s">
        <v>112</v>
      </c>
      <c r="B62" s="1">
        <v>44953</v>
      </c>
      <c r="C62" s="1">
        <v>44965</v>
      </c>
      <c r="D62" t="s">
        <v>58</v>
      </c>
      <c r="E62" t="s">
        <v>19</v>
      </c>
      <c r="F62" t="s">
        <v>20</v>
      </c>
      <c r="G62" t="s">
        <v>35</v>
      </c>
      <c r="H62" t="s">
        <v>40</v>
      </c>
      <c r="I62">
        <v>14</v>
      </c>
      <c r="J62">
        <v>16.18</v>
      </c>
      <c r="K62">
        <v>12</v>
      </c>
      <c r="L62">
        <v>145</v>
      </c>
      <c r="M62">
        <v>12.12</v>
      </c>
      <c r="N62" t="s">
        <v>47</v>
      </c>
      <c r="O62">
        <v>12</v>
      </c>
      <c r="P62">
        <v>226.51999999999998</v>
      </c>
      <c r="Q62">
        <v>238.51999999999998</v>
      </c>
      <c r="R62" t="s">
        <v>2054</v>
      </c>
    </row>
    <row r="63" spans="1:18" x14ac:dyDescent="0.25">
      <c r="A63" t="s">
        <v>113</v>
      </c>
      <c r="B63" s="1">
        <v>44954</v>
      </c>
      <c r="C63" s="1">
        <v>44957</v>
      </c>
      <c r="D63" t="s">
        <v>18</v>
      </c>
      <c r="E63" t="s">
        <v>19</v>
      </c>
      <c r="F63" t="s">
        <v>20</v>
      </c>
      <c r="G63" t="s">
        <v>35</v>
      </c>
      <c r="H63" t="s">
        <v>22</v>
      </c>
      <c r="I63">
        <v>5</v>
      </c>
      <c r="J63">
        <v>14.21</v>
      </c>
      <c r="K63">
        <v>8</v>
      </c>
      <c r="L63">
        <v>395</v>
      </c>
      <c r="M63">
        <v>1.68</v>
      </c>
      <c r="N63" t="s">
        <v>23</v>
      </c>
      <c r="O63">
        <v>3</v>
      </c>
      <c r="P63">
        <v>71.050000000000011</v>
      </c>
      <c r="Q63">
        <v>79.050000000000011</v>
      </c>
      <c r="R63" t="s">
        <v>2054</v>
      </c>
    </row>
    <row r="64" spans="1:18" x14ac:dyDescent="0.25">
      <c r="A64" t="s">
        <v>114</v>
      </c>
      <c r="B64" s="1">
        <v>44954</v>
      </c>
      <c r="C64" s="1">
        <v>44965</v>
      </c>
      <c r="D64" t="s">
        <v>50</v>
      </c>
      <c r="E64" t="s">
        <v>44</v>
      </c>
      <c r="F64" t="s">
        <v>45</v>
      </c>
      <c r="G64" t="s">
        <v>35</v>
      </c>
      <c r="H64" t="s">
        <v>40</v>
      </c>
      <c r="I64">
        <v>2</v>
      </c>
      <c r="J64">
        <v>587.99</v>
      </c>
      <c r="K64">
        <v>37.5</v>
      </c>
      <c r="L64">
        <v>281</v>
      </c>
      <c r="M64">
        <v>392.84</v>
      </c>
      <c r="N64" t="s">
        <v>47</v>
      </c>
      <c r="O64">
        <v>11</v>
      </c>
      <c r="P64">
        <v>1175.98</v>
      </c>
      <c r="Q64">
        <v>1213.48</v>
      </c>
      <c r="R64" t="s">
        <v>2054</v>
      </c>
    </row>
    <row r="65" spans="1:18" x14ac:dyDescent="0.25">
      <c r="A65" t="s">
        <v>115</v>
      </c>
      <c r="B65" s="1">
        <v>44954</v>
      </c>
      <c r="C65" s="1">
        <v>44958</v>
      </c>
      <c r="D65" t="s">
        <v>56</v>
      </c>
      <c r="E65" t="s">
        <v>38</v>
      </c>
      <c r="F65" t="s">
        <v>39</v>
      </c>
      <c r="G65" t="s">
        <v>21</v>
      </c>
      <c r="H65" t="s">
        <v>32</v>
      </c>
      <c r="I65">
        <v>1</v>
      </c>
      <c r="J65">
        <v>482.37</v>
      </c>
      <c r="K65">
        <v>75</v>
      </c>
      <c r="L65">
        <v>153</v>
      </c>
      <c r="M65">
        <v>58.97</v>
      </c>
      <c r="N65" t="s">
        <v>23</v>
      </c>
      <c r="O65">
        <v>4</v>
      </c>
      <c r="P65">
        <v>482.37</v>
      </c>
      <c r="Q65">
        <v>557.37</v>
      </c>
      <c r="R65" t="s">
        <v>2054</v>
      </c>
    </row>
    <row r="66" spans="1:18" x14ac:dyDescent="0.25">
      <c r="A66" t="s">
        <v>116</v>
      </c>
      <c r="B66" s="1">
        <v>44955</v>
      </c>
      <c r="C66" s="1">
        <v>44959</v>
      </c>
      <c r="D66" t="s">
        <v>82</v>
      </c>
      <c r="E66" t="s">
        <v>79</v>
      </c>
      <c r="F66" t="s">
        <v>80</v>
      </c>
      <c r="G66" t="s">
        <v>21</v>
      </c>
      <c r="H66" t="s">
        <v>22</v>
      </c>
      <c r="I66">
        <v>4</v>
      </c>
      <c r="J66">
        <v>98.89</v>
      </c>
      <c r="K66">
        <v>12</v>
      </c>
      <c r="L66">
        <v>243</v>
      </c>
      <c r="M66">
        <v>-59.34</v>
      </c>
      <c r="N66" t="s">
        <v>23</v>
      </c>
      <c r="O66">
        <v>4</v>
      </c>
      <c r="P66">
        <v>395.56</v>
      </c>
      <c r="Q66">
        <v>407.56</v>
      </c>
      <c r="R66" t="s">
        <v>2054</v>
      </c>
    </row>
    <row r="67" spans="1:18" x14ac:dyDescent="0.25">
      <c r="A67" t="s">
        <v>117</v>
      </c>
      <c r="B67" s="1">
        <v>44955</v>
      </c>
      <c r="C67" s="1">
        <v>44957</v>
      </c>
      <c r="D67" t="s">
        <v>118</v>
      </c>
      <c r="E67" t="s">
        <v>79</v>
      </c>
      <c r="F67" t="s">
        <v>80</v>
      </c>
      <c r="G67" t="s">
        <v>21</v>
      </c>
      <c r="H67" t="s">
        <v>22</v>
      </c>
      <c r="I67">
        <v>5</v>
      </c>
      <c r="J67">
        <v>41.88</v>
      </c>
      <c r="K67">
        <v>12</v>
      </c>
      <c r="L67">
        <v>61</v>
      </c>
      <c r="M67">
        <v>88.24</v>
      </c>
      <c r="N67" t="s">
        <v>23</v>
      </c>
      <c r="O67">
        <v>2</v>
      </c>
      <c r="P67">
        <v>209.4</v>
      </c>
      <c r="Q67">
        <v>221.4</v>
      </c>
      <c r="R67" t="s">
        <v>2054</v>
      </c>
    </row>
    <row r="68" spans="1:18" x14ac:dyDescent="0.25">
      <c r="A68" t="s">
        <v>119</v>
      </c>
      <c r="B68" s="1">
        <v>44955</v>
      </c>
      <c r="C68" s="1">
        <v>44969</v>
      </c>
      <c r="D68" t="s">
        <v>54</v>
      </c>
      <c r="E68" t="s">
        <v>38</v>
      </c>
      <c r="F68" t="s">
        <v>39</v>
      </c>
      <c r="G68" t="s">
        <v>35</v>
      </c>
      <c r="H68" t="s">
        <v>40</v>
      </c>
      <c r="I68">
        <v>1</v>
      </c>
      <c r="J68">
        <v>370.95</v>
      </c>
      <c r="K68">
        <v>112.5</v>
      </c>
      <c r="L68">
        <v>378</v>
      </c>
      <c r="M68">
        <v>17.940000000000001</v>
      </c>
      <c r="N68" t="s">
        <v>47</v>
      </c>
      <c r="O68">
        <v>14</v>
      </c>
      <c r="P68">
        <v>370.95</v>
      </c>
      <c r="Q68">
        <v>483.45</v>
      </c>
      <c r="R68" t="s">
        <v>2054</v>
      </c>
    </row>
    <row r="69" spans="1:18" x14ac:dyDescent="0.25">
      <c r="A69" t="s">
        <v>120</v>
      </c>
      <c r="B69" s="1">
        <v>44955</v>
      </c>
      <c r="C69" s="1">
        <v>44956</v>
      </c>
      <c r="D69" t="s">
        <v>78</v>
      </c>
      <c r="E69" t="s">
        <v>79</v>
      </c>
      <c r="F69" t="s">
        <v>80</v>
      </c>
      <c r="G69" t="s">
        <v>35</v>
      </c>
      <c r="H69" t="s">
        <v>40</v>
      </c>
      <c r="I69">
        <v>3</v>
      </c>
      <c r="J69">
        <v>121.71</v>
      </c>
      <c r="K69">
        <v>18</v>
      </c>
      <c r="L69">
        <v>123</v>
      </c>
      <c r="M69">
        <v>155.31</v>
      </c>
      <c r="N69" t="s">
        <v>23</v>
      </c>
      <c r="O69">
        <v>1</v>
      </c>
      <c r="P69">
        <v>365.13</v>
      </c>
      <c r="Q69">
        <v>383.13</v>
      </c>
      <c r="R69" t="s">
        <v>2054</v>
      </c>
    </row>
    <row r="70" spans="1:18" x14ac:dyDescent="0.25">
      <c r="A70" t="s">
        <v>121</v>
      </c>
      <c r="B70" s="1">
        <v>44955</v>
      </c>
      <c r="C70" s="1">
        <v>44960</v>
      </c>
      <c r="D70" t="s">
        <v>29</v>
      </c>
      <c r="E70" t="s">
        <v>30</v>
      </c>
      <c r="F70" t="s">
        <v>31</v>
      </c>
      <c r="G70" t="s">
        <v>21</v>
      </c>
      <c r="H70" t="s">
        <v>27</v>
      </c>
      <c r="I70">
        <v>3</v>
      </c>
      <c r="J70">
        <v>112.42</v>
      </c>
      <c r="K70">
        <v>12</v>
      </c>
      <c r="L70">
        <v>110</v>
      </c>
      <c r="M70">
        <v>128.9</v>
      </c>
      <c r="N70" t="s">
        <v>23</v>
      </c>
      <c r="O70">
        <v>5</v>
      </c>
      <c r="P70">
        <v>337.26</v>
      </c>
      <c r="Q70">
        <v>349.26</v>
      </c>
      <c r="R70" t="s">
        <v>2054</v>
      </c>
    </row>
    <row r="71" spans="1:18" x14ac:dyDescent="0.25">
      <c r="A71" t="s">
        <v>122</v>
      </c>
      <c r="B71" s="1">
        <v>44955</v>
      </c>
      <c r="C71" s="1">
        <v>44956</v>
      </c>
      <c r="D71" t="s">
        <v>34</v>
      </c>
      <c r="E71" t="s">
        <v>30</v>
      </c>
      <c r="F71" t="s">
        <v>31</v>
      </c>
      <c r="G71" t="s">
        <v>26</v>
      </c>
      <c r="H71" t="s">
        <v>22</v>
      </c>
      <c r="I71">
        <v>3</v>
      </c>
      <c r="J71">
        <v>36.979999999999997</v>
      </c>
      <c r="K71">
        <v>12</v>
      </c>
      <c r="L71">
        <v>24</v>
      </c>
      <c r="M71">
        <v>38.380000000000003</v>
      </c>
      <c r="N71" t="s">
        <v>23</v>
      </c>
      <c r="O71">
        <v>1</v>
      </c>
      <c r="P71">
        <v>110.94</v>
      </c>
      <c r="Q71">
        <v>122.94</v>
      </c>
      <c r="R71" t="s">
        <v>2055</v>
      </c>
    </row>
    <row r="72" spans="1:18" x14ac:dyDescent="0.25">
      <c r="A72" t="s">
        <v>123</v>
      </c>
      <c r="B72" s="1">
        <v>44958</v>
      </c>
      <c r="C72" s="1">
        <v>44960</v>
      </c>
      <c r="D72" t="s">
        <v>25</v>
      </c>
      <c r="E72" t="s">
        <v>19</v>
      </c>
      <c r="F72" t="s">
        <v>20</v>
      </c>
      <c r="G72" t="s">
        <v>35</v>
      </c>
      <c r="H72" t="s">
        <v>22</v>
      </c>
      <c r="I72">
        <v>7</v>
      </c>
      <c r="J72">
        <v>15.95</v>
      </c>
      <c r="K72">
        <v>8</v>
      </c>
      <c r="L72">
        <v>3</v>
      </c>
      <c r="M72">
        <v>4.93</v>
      </c>
      <c r="N72" t="s">
        <v>23</v>
      </c>
      <c r="O72">
        <v>2</v>
      </c>
      <c r="P72">
        <v>111.64999999999999</v>
      </c>
      <c r="Q72">
        <v>119.64999999999999</v>
      </c>
      <c r="R72" t="s">
        <v>2056</v>
      </c>
    </row>
    <row r="73" spans="1:18" x14ac:dyDescent="0.25">
      <c r="A73" t="s">
        <v>124</v>
      </c>
      <c r="B73" s="1">
        <v>44960</v>
      </c>
      <c r="C73" s="1">
        <v>44965</v>
      </c>
      <c r="D73" t="s">
        <v>52</v>
      </c>
      <c r="E73" t="s">
        <v>30</v>
      </c>
      <c r="F73" t="s">
        <v>31</v>
      </c>
      <c r="G73" t="s">
        <v>26</v>
      </c>
      <c r="H73" t="s">
        <v>27</v>
      </c>
      <c r="I73">
        <v>1</v>
      </c>
      <c r="J73">
        <v>98.75</v>
      </c>
      <c r="K73">
        <v>12</v>
      </c>
      <c r="L73">
        <v>198</v>
      </c>
      <c r="M73">
        <v>33.5</v>
      </c>
      <c r="N73" t="s">
        <v>23</v>
      </c>
      <c r="O73">
        <v>5</v>
      </c>
      <c r="P73">
        <v>98.75</v>
      </c>
      <c r="Q73">
        <v>110.75</v>
      </c>
      <c r="R73" t="s">
        <v>2054</v>
      </c>
    </row>
    <row r="74" spans="1:18" x14ac:dyDescent="0.25">
      <c r="A74" t="s">
        <v>125</v>
      </c>
      <c r="B74" s="1">
        <v>44960</v>
      </c>
      <c r="C74" s="1">
        <v>44961</v>
      </c>
      <c r="D74" t="s">
        <v>78</v>
      </c>
      <c r="E74" t="s">
        <v>79</v>
      </c>
      <c r="F74" t="s">
        <v>80</v>
      </c>
      <c r="G74" t="s">
        <v>26</v>
      </c>
      <c r="H74" t="s">
        <v>22</v>
      </c>
      <c r="I74">
        <v>4</v>
      </c>
      <c r="J74">
        <v>119.39</v>
      </c>
      <c r="K74">
        <v>12</v>
      </c>
      <c r="L74">
        <v>182</v>
      </c>
      <c r="M74">
        <v>208.9</v>
      </c>
      <c r="N74" t="s">
        <v>23</v>
      </c>
      <c r="O74">
        <v>1</v>
      </c>
      <c r="P74">
        <v>477.56</v>
      </c>
      <c r="Q74">
        <v>489.56</v>
      </c>
      <c r="R74" t="s">
        <v>2054</v>
      </c>
    </row>
    <row r="75" spans="1:18" x14ac:dyDescent="0.25">
      <c r="A75" t="s">
        <v>126</v>
      </c>
      <c r="B75" s="1">
        <v>44960</v>
      </c>
      <c r="C75" s="1">
        <v>44973</v>
      </c>
      <c r="D75" t="s">
        <v>75</v>
      </c>
      <c r="E75" t="s">
        <v>44</v>
      </c>
      <c r="F75" t="s">
        <v>45</v>
      </c>
      <c r="G75" t="s">
        <v>35</v>
      </c>
      <c r="H75" t="s">
        <v>40</v>
      </c>
      <c r="I75">
        <v>3</v>
      </c>
      <c r="J75">
        <v>1093.0899999999999</v>
      </c>
      <c r="K75">
        <v>37.5</v>
      </c>
      <c r="L75">
        <v>342</v>
      </c>
      <c r="M75">
        <v>1128.99</v>
      </c>
      <c r="N75" t="s">
        <v>47</v>
      </c>
      <c r="O75">
        <v>13</v>
      </c>
      <c r="P75">
        <v>3279.2699999999995</v>
      </c>
      <c r="Q75">
        <v>3316.7699999999995</v>
      </c>
      <c r="R75" t="s">
        <v>2054</v>
      </c>
    </row>
    <row r="76" spans="1:18" x14ac:dyDescent="0.25">
      <c r="A76" t="s">
        <v>127</v>
      </c>
      <c r="B76" s="1">
        <v>44961</v>
      </c>
      <c r="C76" s="1">
        <v>44966</v>
      </c>
      <c r="D76" t="s">
        <v>43</v>
      </c>
      <c r="E76" t="s">
        <v>44</v>
      </c>
      <c r="F76" t="s">
        <v>45</v>
      </c>
      <c r="G76" t="s">
        <v>21</v>
      </c>
      <c r="H76" t="s">
        <v>22</v>
      </c>
      <c r="I76">
        <v>2</v>
      </c>
      <c r="J76">
        <v>922.71</v>
      </c>
      <c r="K76">
        <v>25</v>
      </c>
      <c r="L76">
        <v>339</v>
      </c>
      <c r="M76">
        <v>633.39</v>
      </c>
      <c r="N76" t="s">
        <v>23</v>
      </c>
      <c r="O76">
        <v>5</v>
      </c>
      <c r="P76">
        <v>1845.42</v>
      </c>
      <c r="Q76">
        <v>1870.42</v>
      </c>
      <c r="R76" t="s">
        <v>2054</v>
      </c>
    </row>
    <row r="77" spans="1:18" x14ac:dyDescent="0.25">
      <c r="A77" t="s">
        <v>128</v>
      </c>
      <c r="B77" s="1">
        <v>44961</v>
      </c>
      <c r="C77" s="1">
        <v>44963</v>
      </c>
      <c r="D77" t="s">
        <v>54</v>
      </c>
      <c r="E77" t="s">
        <v>38</v>
      </c>
      <c r="F77" t="s">
        <v>39</v>
      </c>
      <c r="G77" t="s">
        <v>26</v>
      </c>
      <c r="H77" t="s">
        <v>32</v>
      </c>
      <c r="I77">
        <v>1</v>
      </c>
      <c r="J77">
        <v>482.98</v>
      </c>
      <c r="K77">
        <v>75</v>
      </c>
      <c r="L77">
        <v>389</v>
      </c>
      <c r="M77">
        <v>59.1</v>
      </c>
      <c r="N77" t="s">
        <v>23</v>
      </c>
      <c r="O77">
        <v>2</v>
      </c>
      <c r="P77">
        <v>482.98</v>
      </c>
      <c r="Q77">
        <v>557.98</v>
      </c>
      <c r="R77" t="s">
        <v>2054</v>
      </c>
    </row>
    <row r="78" spans="1:18" x14ac:dyDescent="0.25">
      <c r="A78" t="s">
        <v>129</v>
      </c>
      <c r="B78" s="1">
        <v>44961</v>
      </c>
      <c r="C78" s="1">
        <v>44966</v>
      </c>
      <c r="D78" t="s">
        <v>18</v>
      </c>
      <c r="E78" t="s">
        <v>19</v>
      </c>
      <c r="F78" t="s">
        <v>20</v>
      </c>
      <c r="G78" t="s">
        <v>35</v>
      </c>
      <c r="H78" t="s">
        <v>40</v>
      </c>
      <c r="I78">
        <v>9</v>
      </c>
      <c r="J78">
        <v>23.67</v>
      </c>
      <c r="K78">
        <v>12</v>
      </c>
      <c r="L78">
        <v>7</v>
      </c>
      <c r="M78">
        <v>11.04</v>
      </c>
      <c r="N78" t="s">
        <v>23</v>
      </c>
      <c r="O78">
        <v>5</v>
      </c>
      <c r="P78">
        <v>213.03000000000003</v>
      </c>
      <c r="Q78">
        <v>225.03000000000003</v>
      </c>
      <c r="R78" t="s">
        <v>2056</v>
      </c>
    </row>
    <row r="79" spans="1:18" x14ac:dyDescent="0.25">
      <c r="A79" t="s">
        <v>130</v>
      </c>
      <c r="B79" s="1">
        <v>44962</v>
      </c>
      <c r="C79" s="1">
        <v>44965</v>
      </c>
      <c r="D79" t="s">
        <v>25</v>
      </c>
      <c r="E79" t="s">
        <v>19</v>
      </c>
      <c r="F79" t="s">
        <v>20</v>
      </c>
      <c r="G79" t="s">
        <v>26</v>
      </c>
      <c r="H79" t="s">
        <v>32</v>
      </c>
      <c r="I79">
        <v>11</v>
      </c>
      <c r="J79">
        <v>14.18</v>
      </c>
      <c r="K79">
        <v>8</v>
      </c>
      <c r="L79">
        <v>3</v>
      </c>
      <c r="M79">
        <v>8.48</v>
      </c>
      <c r="N79" t="s">
        <v>23</v>
      </c>
      <c r="O79">
        <v>3</v>
      </c>
      <c r="P79">
        <v>155.97999999999999</v>
      </c>
      <c r="Q79">
        <v>163.98</v>
      </c>
      <c r="R79" t="s">
        <v>2056</v>
      </c>
    </row>
    <row r="80" spans="1:18" x14ac:dyDescent="0.25">
      <c r="A80" t="s">
        <v>131</v>
      </c>
      <c r="B80" s="1">
        <v>44962</v>
      </c>
      <c r="C80" s="1">
        <v>44975</v>
      </c>
      <c r="D80" t="s">
        <v>56</v>
      </c>
      <c r="E80" t="s">
        <v>38</v>
      </c>
      <c r="F80" t="s">
        <v>39</v>
      </c>
      <c r="G80" t="s">
        <v>35</v>
      </c>
      <c r="H80" t="s">
        <v>40</v>
      </c>
      <c r="I80">
        <v>1</v>
      </c>
      <c r="J80">
        <v>379.1</v>
      </c>
      <c r="K80">
        <v>112.5</v>
      </c>
      <c r="L80">
        <v>142</v>
      </c>
      <c r="M80">
        <v>19.57</v>
      </c>
      <c r="N80" t="s">
        <v>47</v>
      </c>
      <c r="O80">
        <v>13</v>
      </c>
      <c r="P80">
        <v>379.1</v>
      </c>
      <c r="Q80">
        <v>491.6</v>
      </c>
      <c r="R80" t="s">
        <v>2054</v>
      </c>
    </row>
    <row r="81" spans="1:18" x14ac:dyDescent="0.25">
      <c r="A81" t="s">
        <v>132</v>
      </c>
      <c r="B81" s="1">
        <v>44962</v>
      </c>
      <c r="C81" s="1">
        <v>44965</v>
      </c>
      <c r="D81" t="s">
        <v>25</v>
      </c>
      <c r="E81" t="s">
        <v>19</v>
      </c>
      <c r="F81" t="s">
        <v>20</v>
      </c>
      <c r="G81" t="s">
        <v>35</v>
      </c>
      <c r="H81" t="s">
        <v>40</v>
      </c>
      <c r="I81">
        <v>12</v>
      </c>
      <c r="J81">
        <v>12.92</v>
      </c>
      <c r="K81">
        <v>12</v>
      </c>
      <c r="L81">
        <v>314</v>
      </c>
      <c r="M81">
        <v>6.4</v>
      </c>
      <c r="N81" t="s">
        <v>23</v>
      </c>
      <c r="O81">
        <v>3</v>
      </c>
      <c r="P81">
        <v>155.04</v>
      </c>
      <c r="Q81">
        <v>167.04</v>
      </c>
      <c r="R81" t="s">
        <v>2054</v>
      </c>
    </row>
    <row r="82" spans="1:18" x14ac:dyDescent="0.25">
      <c r="A82" t="s">
        <v>133</v>
      </c>
      <c r="B82" s="1">
        <v>44963</v>
      </c>
      <c r="C82" s="1">
        <v>44968</v>
      </c>
      <c r="D82" t="s">
        <v>118</v>
      </c>
      <c r="E82" t="s">
        <v>79</v>
      </c>
      <c r="F82" t="s">
        <v>80</v>
      </c>
      <c r="G82" t="s">
        <v>26</v>
      </c>
      <c r="H82" t="s">
        <v>22</v>
      </c>
      <c r="I82">
        <v>5</v>
      </c>
      <c r="J82">
        <v>61.79</v>
      </c>
      <c r="K82">
        <v>12</v>
      </c>
      <c r="L82">
        <v>252</v>
      </c>
      <c r="M82">
        <v>133.04</v>
      </c>
      <c r="N82" t="s">
        <v>23</v>
      </c>
      <c r="O82">
        <v>5</v>
      </c>
      <c r="P82">
        <v>308.95</v>
      </c>
      <c r="Q82">
        <v>320.95</v>
      </c>
      <c r="R82" t="s">
        <v>2054</v>
      </c>
    </row>
    <row r="83" spans="1:18" x14ac:dyDescent="0.25">
      <c r="A83" t="s">
        <v>134</v>
      </c>
      <c r="B83" s="1">
        <v>44963</v>
      </c>
      <c r="C83" s="1">
        <v>44965</v>
      </c>
      <c r="D83" t="s">
        <v>75</v>
      </c>
      <c r="E83" t="s">
        <v>44</v>
      </c>
      <c r="F83" t="s">
        <v>45</v>
      </c>
      <c r="G83" t="s">
        <v>35</v>
      </c>
      <c r="H83" t="s">
        <v>40</v>
      </c>
      <c r="I83">
        <v>1</v>
      </c>
      <c r="J83">
        <v>322.92</v>
      </c>
      <c r="K83">
        <v>37.5</v>
      </c>
      <c r="L83">
        <v>51</v>
      </c>
      <c r="M83">
        <v>94.27</v>
      </c>
      <c r="N83" t="s">
        <v>23</v>
      </c>
      <c r="O83">
        <v>2</v>
      </c>
      <c r="P83">
        <v>322.92</v>
      </c>
      <c r="Q83">
        <v>360.42</v>
      </c>
      <c r="R83" t="s">
        <v>2054</v>
      </c>
    </row>
    <row r="84" spans="1:18" x14ac:dyDescent="0.25">
      <c r="A84" t="s">
        <v>135</v>
      </c>
      <c r="B84" s="1">
        <v>44963</v>
      </c>
      <c r="C84" s="1">
        <v>44976</v>
      </c>
      <c r="D84" t="s">
        <v>25</v>
      </c>
      <c r="E84" t="s">
        <v>19</v>
      </c>
      <c r="F84" t="s">
        <v>20</v>
      </c>
      <c r="G84" t="s">
        <v>35</v>
      </c>
      <c r="H84" t="s">
        <v>40</v>
      </c>
      <c r="I84">
        <v>8</v>
      </c>
      <c r="J84">
        <v>28.53</v>
      </c>
      <c r="K84">
        <v>12</v>
      </c>
      <c r="L84">
        <v>49</v>
      </c>
      <c r="M84">
        <v>12.26</v>
      </c>
      <c r="N84" t="s">
        <v>47</v>
      </c>
      <c r="O84">
        <v>13</v>
      </c>
      <c r="P84">
        <v>228.24</v>
      </c>
      <c r="Q84">
        <v>240.24</v>
      </c>
      <c r="R84" t="s">
        <v>2055</v>
      </c>
    </row>
    <row r="85" spans="1:18" x14ac:dyDescent="0.25">
      <c r="A85" t="s">
        <v>136</v>
      </c>
      <c r="B85" s="1">
        <v>44964</v>
      </c>
      <c r="C85" s="1">
        <v>44965</v>
      </c>
      <c r="D85" t="s">
        <v>25</v>
      </c>
      <c r="E85" t="s">
        <v>19</v>
      </c>
      <c r="F85" t="s">
        <v>20</v>
      </c>
      <c r="G85" t="s">
        <v>26</v>
      </c>
      <c r="H85" t="s">
        <v>22</v>
      </c>
      <c r="I85">
        <v>12</v>
      </c>
      <c r="J85">
        <v>45.28</v>
      </c>
      <c r="K85">
        <v>8</v>
      </c>
      <c r="L85">
        <v>0</v>
      </c>
      <c r="M85">
        <v>39.47</v>
      </c>
      <c r="N85" t="s">
        <v>23</v>
      </c>
      <c r="O85">
        <v>1</v>
      </c>
      <c r="P85">
        <v>543.36</v>
      </c>
      <c r="Q85">
        <v>551.36</v>
      </c>
      <c r="R85" t="s">
        <v>2056</v>
      </c>
    </row>
    <row r="86" spans="1:18" x14ac:dyDescent="0.25">
      <c r="A86" t="s">
        <v>137</v>
      </c>
      <c r="B86" s="1">
        <v>44964</v>
      </c>
      <c r="C86" s="1">
        <v>44966</v>
      </c>
      <c r="D86" t="s">
        <v>43</v>
      </c>
      <c r="E86" t="s">
        <v>44</v>
      </c>
      <c r="F86" t="s">
        <v>45</v>
      </c>
      <c r="G86" t="s">
        <v>35</v>
      </c>
      <c r="H86" t="s">
        <v>22</v>
      </c>
      <c r="I86">
        <v>2</v>
      </c>
      <c r="J86">
        <v>476.17</v>
      </c>
      <c r="K86">
        <v>25</v>
      </c>
      <c r="L86">
        <v>107</v>
      </c>
      <c r="M86">
        <v>320.82</v>
      </c>
      <c r="N86" t="s">
        <v>23</v>
      </c>
      <c r="O86">
        <v>2</v>
      </c>
      <c r="P86">
        <v>952.34</v>
      </c>
      <c r="Q86">
        <v>977.34</v>
      </c>
      <c r="R86" t="s">
        <v>2054</v>
      </c>
    </row>
    <row r="87" spans="1:18" x14ac:dyDescent="0.25">
      <c r="A87" t="s">
        <v>138</v>
      </c>
      <c r="B87" s="1">
        <v>44965</v>
      </c>
      <c r="C87" s="1">
        <v>44969</v>
      </c>
      <c r="D87" t="s">
        <v>37</v>
      </c>
      <c r="E87" t="s">
        <v>38</v>
      </c>
      <c r="F87" t="s">
        <v>39</v>
      </c>
      <c r="G87" t="s">
        <v>21</v>
      </c>
      <c r="H87" t="s">
        <v>32</v>
      </c>
      <c r="I87">
        <v>1</v>
      </c>
      <c r="J87">
        <v>430.69</v>
      </c>
      <c r="K87">
        <v>75</v>
      </c>
      <c r="L87">
        <v>181</v>
      </c>
      <c r="M87">
        <v>48.64</v>
      </c>
      <c r="N87" t="s">
        <v>23</v>
      </c>
      <c r="O87">
        <v>4</v>
      </c>
      <c r="P87">
        <v>430.69</v>
      </c>
      <c r="Q87">
        <v>505.69</v>
      </c>
      <c r="R87" t="s">
        <v>2054</v>
      </c>
    </row>
    <row r="88" spans="1:18" x14ac:dyDescent="0.25">
      <c r="A88" t="s">
        <v>139</v>
      </c>
      <c r="B88" s="1">
        <v>44965</v>
      </c>
      <c r="C88" s="1">
        <v>44967</v>
      </c>
      <c r="D88" t="s">
        <v>29</v>
      </c>
      <c r="E88" t="s">
        <v>30</v>
      </c>
      <c r="F88" t="s">
        <v>31</v>
      </c>
      <c r="G88" t="s">
        <v>26</v>
      </c>
      <c r="H88" t="s">
        <v>32</v>
      </c>
      <c r="I88">
        <v>4</v>
      </c>
      <c r="J88">
        <v>74.91</v>
      </c>
      <c r="K88">
        <v>12</v>
      </c>
      <c r="L88">
        <v>205</v>
      </c>
      <c r="M88">
        <v>113.86</v>
      </c>
      <c r="N88" t="s">
        <v>23</v>
      </c>
      <c r="O88">
        <v>2</v>
      </c>
      <c r="P88">
        <v>299.64</v>
      </c>
      <c r="Q88">
        <v>311.64</v>
      </c>
      <c r="R88" t="s">
        <v>2054</v>
      </c>
    </row>
    <row r="89" spans="1:18" x14ac:dyDescent="0.25">
      <c r="A89" t="s">
        <v>140</v>
      </c>
      <c r="B89" s="1">
        <v>44965</v>
      </c>
      <c r="C89" s="1">
        <v>44970</v>
      </c>
      <c r="D89" t="s">
        <v>52</v>
      </c>
      <c r="E89" t="s">
        <v>30</v>
      </c>
      <c r="F89" t="s">
        <v>31</v>
      </c>
      <c r="G89" t="s">
        <v>21</v>
      </c>
      <c r="H89" t="s">
        <v>32</v>
      </c>
      <c r="I89">
        <v>5</v>
      </c>
      <c r="J89">
        <v>20.57</v>
      </c>
      <c r="K89">
        <v>12</v>
      </c>
      <c r="L89">
        <v>32</v>
      </c>
      <c r="M89">
        <v>35.14</v>
      </c>
      <c r="N89" t="s">
        <v>23</v>
      </c>
      <c r="O89">
        <v>5</v>
      </c>
      <c r="P89">
        <v>102.85</v>
      </c>
      <c r="Q89">
        <v>114.85</v>
      </c>
      <c r="R89" t="s">
        <v>2055</v>
      </c>
    </row>
    <row r="90" spans="1:18" x14ac:dyDescent="0.25">
      <c r="A90" t="s">
        <v>141</v>
      </c>
      <c r="B90" s="1">
        <v>44965</v>
      </c>
      <c r="C90" s="1">
        <v>44969</v>
      </c>
      <c r="D90" t="s">
        <v>78</v>
      </c>
      <c r="E90" t="s">
        <v>79</v>
      </c>
      <c r="F90" t="s">
        <v>80</v>
      </c>
      <c r="G90" t="s">
        <v>21</v>
      </c>
      <c r="H90" t="s">
        <v>27</v>
      </c>
      <c r="I90">
        <v>1</v>
      </c>
      <c r="J90">
        <v>142.72</v>
      </c>
      <c r="K90">
        <v>12</v>
      </c>
      <c r="L90">
        <v>230</v>
      </c>
      <c r="M90">
        <v>58.22</v>
      </c>
      <c r="N90" t="s">
        <v>23</v>
      </c>
      <c r="O90">
        <v>4</v>
      </c>
      <c r="P90">
        <v>142.72</v>
      </c>
      <c r="Q90">
        <v>154.72</v>
      </c>
      <c r="R90" t="s">
        <v>2054</v>
      </c>
    </row>
    <row r="91" spans="1:18" x14ac:dyDescent="0.25">
      <c r="A91" t="s">
        <v>142</v>
      </c>
      <c r="B91" s="1">
        <v>44966</v>
      </c>
      <c r="C91" s="1">
        <v>44979</v>
      </c>
      <c r="D91" t="s">
        <v>78</v>
      </c>
      <c r="E91" t="s">
        <v>79</v>
      </c>
      <c r="F91" t="s">
        <v>80</v>
      </c>
      <c r="G91" t="s">
        <v>35</v>
      </c>
      <c r="H91" t="s">
        <v>40</v>
      </c>
      <c r="I91">
        <v>1</v>
      </c>
      <c r="J91">
        <v>85.05</v>
      </c>
      <c r="K91">
        <v>18</v>
      </c>
      <c r="L91">
        <v>165</v>
      </c>
      <c r="M91">
        <v>29.27</v>
      </c>
      <c r="N91" t="s">
        <v>47</v>
      </c>
      <c r="O91">
        <v>13</v>
      </c>
      <c r="P91">
        <v>85.05</v>
      </c>
      <c r="Q91">
        <v>103.05</v>
      </c>
      <c r="R91" t="s">
        <v>2054</v>
      </c>
    </row>
    <row r="92" spans="1:18" x14ac:dyDescent="0.25">
      <c r="A92" t="s">
        <v>143</v>
      </c>
      <c r="B92" s="1">
        <v>44966</v>
      </c>
      <c r="C92" s="1">
        <v>44971</v>
      </c>
      <c r="D92" t="s">
        <v>58</v>
      </c>
      <c r="E92" t="s">
        <v>19</v>
      </c>
      <c r="F92" t="s">
        <v>20</v>
      </c>
      <c r="G92" t="s">
        <v>21</v>
      </c>
      <c r="H92" t="s">
        <v>22</v>
      </c>
      <c r="I92">
        <v>13</v>
      </c>
      <c r="J92">
        <v>38.79</v>
      </c>
      <c r="K92">
        <v>8</v>
      </c>
      <c r="L92">
        <v>119</v>
      </c>
      <c r="M92">
        <v>36.340000000000003</v>
      </c>
      <c r="N92" t="s">
        <v>23</v>
      </c>
      <c r="O92">
        <v>5</v>
      </c>
      <c r="P92">
        <v>504.27</v>
      </c>
      <c r="Q92">
        <v>512.27</v>
      </c>
      <c r="R92" t="s">
        <v>2054</v>
      </c>
    </row>
    <row r="93" spans="1:18" x14ac:dyDescent="0.25">
      <c r="A93" t="s">
        <v>144</v>
      </c>
      <c r="B93" s="1">
        <v>44967</v>
      </c>
      <c r="C93" s="1">
        <v>44971</v>
      </c>
      <c r="D93" t="s">
        <v>58</v>
      </c>
      <c r="E93" t="s">
        <v>19</v>
      </c>
      <c r="F93" t="s">
        <v>20</v>
      </c>
      <c r="G93" t="s">
        <v>35</v>
      </c>
      <c r="H93" t="s">
        <v>40</v>
      </c>
      <c r="I93">
        <v>7</v>
      </c>
      <c r="J93">
        <v>15.03</v>
      </c>
      <c r="K93">
        <v>12</v>
      </c>
      <c r="L93">
        <v>168</v>
      </c>
      <c r="M93">
        <v>2.42</v>
      </c>
      <c r="N93" t="s">
        <v>23</v>
      </c>
      <c r="O93">
        <v>4</v>
      </c>
      <c r="P93">
        <v>105.21</v>
      </c>
      <c r="Q93">
        <v>117.21</v>
      </c>
      <c r="R93" t="s">
        <v>2054</v>
      </c>
    </row>
    <row r="94" spans="1:18" x14ac:dyDescent="0.25">
      <c r="A94" t="s">
        <v>145</v>
      </c>
      <c r="B94" s="1">
        <v>44967</v>
      </c>
      <c r="C94" s="1">
        <v>44972</v>
      </c>
      <c r="D94" t="s">
        <v>50</v>
      </c>
      <c r="E94" t="s">
        <v>44</v>
      </c>
      <c r="F94" t="s">
        <v>45</v>
      </c>
      <c r="G94" t="s">
        <v>26</v>
      </c>
      <c r="H94" t="s">
        <v>32</v>
      </c>
      <c r="I94">
        <v>1</v>
      </c>
      <c r="J94">
        <v>866.87</v>
      </c>
      <c r="K94">
        <v>25</v>
      </c>
      <c r="L94">
        <v>157</v>
      </c>
      <c r="M94">
        <v>290.89999999999998</v>
      </c>
      <c r="N94" t="s">
        <v>23</v>
      </c>
      <c r="O94">
        <v>5</v>
      </c>
      <c r="P94">
        <v>866.87</v>
      </c>
      <c r="Q94">
        <v>891.87</v>
      </c>
      <c r="R94" t="s">
        <v>2054</v>
      </c>
    </row>
    <row r="95" spans="1:18" x14ac:dyDescent="0.25">
      <c r="A95" t="s">
        <v>146</v>
      </c>
      <c r="B95" s="1">
        <v>44967</v>
      </c>
      <c r="C95" s="1">
        <v>44971</v>
      </c>
      <c r="D95" t="s">
        <v>56</v>
      </c>
      <c r="E95" t="s">
        <v>38</v>
      </c>
      <c r="F95" t="s">
        <v>39</v>
      </c>
      <c r="G95" t="s">
        <v>35</v>
      </c>
      <c r="H95" t="s">
        <v>32</v>
      </c>
      <c r="I95">
        <v>2</v>
      </c>
      <c r="J95">
        <v>251.64</v>
      </c>
      <c r="K95">
        <v>75</v>
      </c>
      <c r="L95">
        <v>356</v>
      </c>
      <c r="M95">
        <v>63.16</v>
      </c>
      <c r="N95" t="s">
        <v>23</v>
      </c>
      <c r="O95">
        <v>4</v>
      </c>
      <c r="P95">
        <v>503.28</v>
      </c>
      <c r="Q95">
        <v>578.28</v>
      </c>
      <c r="R95" t="s">
        <v>2054</v>
      </c>
    </row>
    <row r="96" spans="1:18" x14ac:dyDescent="0.25">
      <c r="A96" t="s">
        <v>147</v>
      </c>
      <c r="B96" s="1">
        <v>44968</v>
      </c>
      <c r="C96" s="1">
        <v>44970</v>
      </c>
      <c r="D96" t="s">
        <v>75</v>
      </c>
      <c r="E96" t="s">
        <v>44</v>
      </c>
      <c r="F96" t="s">
        <v>45</v>
      </c>
      <c r="G96" t="s">
        <v>35</v>
      </c>
      <c r="H96" t="s">
        <v>27</v>
      </c>
      <c r="I96">
        <v>1</v>
      </c>
      <c r="J96">
        <v>1106.07</v>
      </c>
      <c r="K96">
        <v>25</v>
      </c>
      <c r="L96">
        <v>247</v>
      </c>
      <c r="M96">
        <v>374.62</v>
      </c>
      <c r="N96" t="s">
        <v>23</v>
      </c>
      <c r="O96">
        <v>2</v>
      </c>
      <c r="P96">
        <v>1106.07</v>
      </c>
      <c r="Q96">
        <v>1131.07</v>
      </c>
      <c r="R96" t="s">
        <v>2054</v>
      </c>
    </row>
    <row r="97" spans="1:18" x14ac:dyDescent="0.25">
      <c r="A97" t="s">
        <v>148</v>
      </c>
      <c r="B97" s="1">
        <v>44968</v>
      </c>
      <c r="C97" s="1">
        <v>44983</v>
      </c>
      <c r="D97" t="s">
        <v>58</v>
      </c>
      <c r="E97" t="s">
        <v>19</v>
      </c>
      <c r="F97" t="s">
        <v>20</v>
      </c>
      <c r="G97" t="s">
        <v>35</v>
      </c>
      <c r="H97" t="s">
        <v>40</v>
      </c>
      <c r="I97">
        <v>14</v>
      </c>
      <c r="J97">
        <v>18.79</v>
      </c>
      <c r="K97">
        <v>12</v>
      </c>
      <c r="L97">
        <v>189</v>
      </c>
      <c r="M97">
        <v>15.05</v>
      </c>
      <c r="N97" t="s">
        <v>47</v>
      </c>
      <c r="O97">
        <v>15</v>
      </c>
      <c r="P97">
        <v>263.06</v>
      </c>
      <c r="Q97">
        <v>275.06</v>
      </c>
      <c r="R97" t="s">
        <v>2054</v>
      </c>
    </row>
    <row r="98" spans="1:18" x14ac:dyDescent="0.25">
      <c r="A98" t="s">
        <v>149</v>
      </c>
      <c r="B98" s="1">
        <v>44968</v>
      </c>
      <c r="C98" s="1">
        <v>44985</v>
      </c>
      <c r="D98" t="s">
        <v>75</v>
      </c>
      <c r="E98" t="s">
        <v>44</v>
      </c>
      <c r="F98" t="s">
        <v>45</v>
      </c>
      <c r="G98" t="s">
        <v>35</v>
      </c>
      <c r="H98" t="s">
        <v>40</v>
      </c>
      <c r="I98">
        <v>3</v>
      </c>
      <c r="J98">
        <v>541.79999999999995</v>
      </c>
      <c r="K98">
        <v>37.5</v>
      </c>
      <c r="L98">
        <v>263</v>
      </c>
      <c r="M98">
        <v>550.14</v>
      </c>
      <c r="N98" t="s">
        <v>47</v>
      </c>
      <c r="O98">
        <v>17</v>
      </c>
      <c r="P98">
        <v>1625.3999999999999</v>
      </c>
      <c r="Q98">
        <v>1662.8999999999999</v>
      </c>
      <c r="R98" t="s">
        <v>2054</v>
      </c>
    </row>
    <row r="99" spans="1:18" x14ac:dyDescent="0.25">
      <c r="A99" t="s">
        <v>150</v>
      </c>
      <c r="B99" s="1">
        <v>44969</v>
      </c>
      <c r="C99" s="1">
        <v>44972</v>
      </c>
      <c r="D99" t="s">
        <v>58</v>
      </c>
      <c r="E99" t="s">
        <v>19</v>
      </c>
      <c r="F99" t="s">
        <v>20</v>
      </c>
      <c r="G99" t="s">
        <v>26</v>
      </c>
      <c r="H99" t="s">
        <v>22</v>
      </c>
      <c r="I99">
        <v>12</v>
      </c>
      <c r="J99">
        <v>10.94</v>
      </c>
      <c r="K99">
        <v>8</v>
      </c>
      <c r="L99">
        <v>64</v>
      </c>
      <c r="M99">
        <v>6.51</v>
      </c>
      <c r="N99" t="s">
        <v>23</v>
      </c>
      <c r="O99">
        <v>3</v>
      </c>
      <c r="P99">
        <v>131.28</v>
      </c>
      <c r="Q99">
        <v>139.28</v>
      </c>
      <c r="R99" t="s">
        <v>2054</v>
      </c>
    </row>
    <row r="100" spans="1:18" x14ac:dyDescent="0.25">
      <c r="A100" t="s">
        <v>151</v>
      </c>
      <c r="B100" s="1">
        <v>44969</v>
      </c>
      <c r="C100" s="1">
        <v>44973</v>
      </c>
      <c r="D100" t="s">
        <v>54</v>
      </c>
      <c r="E100" t="s">
        <v>38</v>
      </c>
      <c r="F100" t="s">
        <v>39</v>
      </c>
      <c r="G100" t="s">
        <v>35</v>
      </c>
      <c r="H100" t="s">
        <v>40</v>
      </c>
      <c r="I100">
        <v>1</v>
      </c>
      <c r="J100">
        <v>341.32</v>
      </c>
      <c r="K100">
        <v>112.5</v>
      </c>
      <c r="L100">
        <v>237</v>
      </c>
      <c r="M100">
        <v>12.01</v>
      </c>
      <c r="N100" t="s">
        <v>23</v>
      </c>
      <c r="O100">
        <v>4</v>
      </c>
      <c r="P100">
        <v>341.32</v>
      </c>
      <c r="Q100">
        <v>453.82</v>
      </c>
      <c r="R100" t="s">
        <v>2054</v>
      </c>
    </row>
    <row r="101" spans="1:18" x14ac:dyDescent="0.25">
      <c r="A101" t="s">
        <v>152</v>
      </c>
      <c r="B101" s="1">
        <v>44969</v>
      </c>
      <c r="C101" s="1">
        <v>44972</v>
      </c>
      <c r="D101" t="s">
        <v>78</v>
      </c>
      <c r="E101" t="s">
        <v>79</v>
      </c>
      <c r="F101" t="s">
        <v>80</v>
      </c>
      <c r="G101" t="s">
        <v>35</v>
      </c>
      <c r="H101" t="s">
        <v>27</v>
      </c>
      <c r="I101">
        <v>4</v>
      </c>
      <c r="J101">
        <v>145.16</v>
      </c>
      <c r="K101">
        <v>12</v>
      </c>
      <c r="L101">
        <v>36</v>
      </c>
      <c r="M101">
        <v>255.29</v>
      </c>
      <c r="N101" t="s">
        <v>23</v>
      </c>
      <c r="O101">
        <v>3</v>
      </c>
      <c r="P101">
        <v>580.64</v>
      </c>
      <c r="Q101">
        <v>592.64</v>
      </c>
      <c r="R101" t="s">
        <v>2055</v>
      </c>
    </row>
    <row r="102" spans="1:18" x14ac:dyDescent="0.25">
      <c r="A102" t="s">
        <v>153</v>
      </c>
      <c r="B102" s="1">
        <v>44969</v>
      </c>
      <c r="C102" s="1">
        <v>44973</v>
      </c>
      <c r="D102" t="s">
        <v>25</v>
      </c>
      <c r="E102" t="s">
        <v>19</v>
      </c>
      <c r="F102" t="s">
        <v>20</v>
      </c>
      <c r="G102" t="s">
        <v>21</v>
      </c>
      <c r="H102" t="s">
        <v>32</v>
      </c>
      <c r="I102">
        <v>7</v>
      </c>
      <c r="J102">
        <v>22.61</v>
      </c>
      <c r="K102">
        <v>8</v>
      </c>
      <c r="L102">
        <v>379</v>
      </c>
      <c r="M102">
        <v>8.66</v>
      </c>
      <c r="N102" t="s">
        <v>23</v>
      </c>
      <c r="O102">
        <v>4</v>
      </c>
      <c r="P102">
        <v>158.26999999999998</v>
      </c>
      <c r="Q102">
        <v>166.26999999999998</v>
      </c>
      <c r="R102" t="s">
        <v>2054</v>
      </c>
    </row>
    <row r="103" spans="1:18" x14ac:dyDescent="0.25">
      <c r="A103" t="s">
        <v>154</v>
      </c>
      <c r="B103" s="1">
        <v>44973</v>
      </c>
      <c r="C103" s="1">
        <v>44974</v>
      </c>
      <c r="D103" t="s">
        <v>56</v>
      </c>
      <c r="E103" t="s">
        <v>38</v>
      </c>
      <c r="F103" t="s">
        <v>39</v>
      </c>
      <c r="G103" t="s">
        <v>26</v>
      </c>
      <c r="H103" t="s">
        <v>27</v>
      </c>
      <c r="I103">
        <v>2</v>
      </c>
      <c r="J103">
        <v>238.08</v>
      </c>
      <c r="K103">
        <v>75</v>
      </c>
      <c r="L103">
        <v>207</v>
      </c>
      <c r="M103">
        <v>57.73</v>
      </c>
      <c r="N103" t="s">
        <v>23</v>
      </c>
      <c r="O103">
        <v>1</v>
      </c>
      <c r="P103">
        <v>476.16</v>
      </c>
      <c r="Q103">
        <v>551.16000000000008</v>
      </c>
      <c r="R103" t="s">
        <v>2054</v>
      </c>
    </row>
    <row r="104" spans="1:18" x14ac:dyDescent="0.25">
      <c r="A104" t="s">
        <v>155</v>
      </c>
      <c r="B104" s="1">
        <v>44973</v>
      </c>
      <c r="C104" s="1">
        <v>44980</v>
      </c>
      <c r="D104" t="s">
        <v>118</v>
      </c>
      <c r="E104" t="s">
        <v>79</v>
      </c>
      <c r="F104" t="s">
        <v>80</v>
      </c>
      <c r="G104" t="s">
        <v>35</v>
      </c>
      <c r="H104" t="s">
        <v>27</v>
      </c>
      <c r="I104">
        <v>5</v>
      </c>
      <c r="J104">
        <v>39.15</v>
      </c>
      <c r="K104">
        <v>12</v>
      </c>
      <c r="L104">
        <v>380</v>
      </c>
      <c r="M104">
        <v>82.09</v>
      </c>
      <c r="N104" t="s">
        <v>63</v>
      </c>
      <c r="O104">
        <v>7</v>
      </c>
      <c r="P104">
        <v>195.75</v>
      </c>
      <c r="Q104">
        <v>207.75</v>
      </c>
      <c r="R104" t="s">
        <v>2054</v>
      </c>
    </row>
    <row r="105" spans="1:18" x14ac:dyDescent="0.25">
      <c r="A105" t="s">
        <v>156</v>
      </c>
      <c r="B105" s="1">
        <v>44973</v>
      </c>
      <c r="C105" s="1">
        <v>44975</v>
      </c>
      <c r="D105" t="s">
        <v>82</v>
      </c>
      <c r="E105" t="s">
        <v>79</v>
      </c>
      <c r="F105" t="s">
        <v>80</v>
      </c>
      <c r="G105" t="s">
        <v>26</v>
      </c>
      <c r="H105" t="s">
        <v>22</v>
      </c>
      <c r="I105">
        <v>5</v>
      </c>
      <c r="J105">
        <v>143.38</v>
      </c>
      <c r="K105">
        <v>12</v>
      </c>
      <c r="L105">
        <v>81</v>
      </c>
      <c r="M105">
        <v>316.61</v>
      </c>
      <c r="N105" t="s">
        <v>23</v>
      </c>
      <c r="O105">
        <v>2</v>
      </c>
      <c r="P105">
        <v>716.9</v>
      </c>
      <c r="Q105">
        <v>728.9</v>
      </c>
      <c r="R105" t="s">
        <v>2054</v>
      </c>
    </row>
    <row r="106" spans="1:18" x14ac:dyDescent="0.25">
      <c r="A106" t="s">
        <v>157</v>
      </c>
      <c r="B106" s="1">
        <v>44973</v>
      </c>
      <c r="C106" s="1">
        <v>44977</v>
      </c>
      <c r="D106" t="s">
        <v>52</v>
      </c>
      <c r="E106" t="s">
        <v>30</v>
      </c>
      <c r="F106" t="s">
        <v>31</v>
      </c>
      <c r="G106" t="s">
        <v>35</v>
      </c>
      <c r="H106" t="s">
        <v>40</v>
      </c>
      <c r="I106">
        <v>5</v>
      </c>
      <c r="J106">
        <v>41.55</v>
      </c>
      <c r="K106">
        <v>18</v>
      </c>
      <c r="L106">
        <v>254</v>
      </c>
      <c r="M106">
        <v>74.099999999999994</v>
      </c>
      <c r="N106" t="s">
        <v>23</v>
      </c>
      <c r="O106">
        <v>4</v>
      </c>
      <c r="P106">
        <v>207.75</v>
      </c>
      <c r="Q106">
        <v>225.75</v>
      </c>
      <c r="R106" t="s">
        <v>2054</v>
      </c>
    </row>
    <row r="107" spans="1:18" x14ac:dyDescent="0.25">
      <c r="A107" t="s">
        <v>158</v>
      </c>
      <c r="B107" s="1">
        <v>44973</v>
      </c>
      <c r="C107" s="1">
        <v>44977</v>
      </c>
      <c r="D107" t="s">
        <v>78</v>
      </c>
      <c r="E107" t="s">
        <v>79</v>
      </c>
      <c r="F107" t="s">
        <v>80</v>
      </c>
      <c r="G107" t="s">
        <v>26</v>
      </c>
      <c r="H107" t="s">
        <v>27</v>
      </c>
      <c r="I107">
        <v>1</v>
      </c>
      <c r="J107">
        <v>51.46</v>
      </c>
      <c r="K107">
        <v>12</v>
      </c>
      <c r="L107">
        <v>374</v>
      </c>
      <c r="M107">
        <v>17.16</v>
      </c>
      <c r="N107" t="s">
        <v>23</v>
      </c>
      <c r="O107">
        <v>4</v>
      </c>
      <c r="P107">
        <v>51.46</v>
      </c>
      <c r="Q107">
        <v>63.46</v>
      </c>
      <c r="R107" t="s">
        <v>2054</v>
      </c>
    </row>
    <row r="108" spans="1:18" x14ac:dyDescent="0.25">
      <c r="A108" t="s">
        <v>159</v>
      </c>
      <c r="B108" s="1">
        <v>44974</v>
      </c>
      <c r="C108" s="1">
        <v>44986</v>
      </c>
      <c r="D108" t="s">
        <v>118</v>
      </c>
      <c r="E108" t="s">
        <v>79</v>
      </c>
      <c r="F108" t="s">
        <v>80</v>
      </c>
      <c r="G108" t="s">
        <v>35</v>
      </c>
      <c r="H108" t="s">
        <v>27</v>
      </c>
      <c r="I108">
        <v>3</v>
      </c>
      <c r="J108">
        <v>94.04</v>
      </c>
      <c r="K108">
        <v>12</v>
      </c>
      <c r="L108">
        <v>293</v>
      </c>
      <c r="M108">
        <v>120.95</v>
      </c>
      <c r="N108" t="s">
        <v>47</v>
      </c>
      <c r="O108">
        <v>12</v>
      </c>
      <c r="P108">
        <v>282.12</v>
      </c>
      <c r="Q108">
        <v>294.12</v>
      </c>
      <c r="R108" t="s">
        <v>2054</v>
      </c>
    </row>
    <row r="109" spans="1:18" x14ac:dyDescent="0.25">
      <c r="A109" t="s">
        <v>160</v>
      </c>
      <c r="B109" s="1">
        <v>44976</v>
      </c>
      <c r="C109" s="1">
        <v>44978</v>
      </c>
      <c r="D109" t="s">
        <v>18</v>
      </c>
      <c r="E109" t="s">
        <v>19</v>
      </c>
      <c r="F109" t="s">
        <v>20</v>
      </c>
      <c r="G109" t="s">
        <v>26</v>
      </c>
      <c r="H109" t="s">
        <v>32</v>
      </c>
      <c r="I109">
        <v>6</v>
      </c>
      <c r="J109">
        <v>46.32</v>
      </c>
      <c r="K109">
        <v>8</v>
      </c>
      <c r="L109">
        <v>355</v>
      </c>
      <c r="M109">
        <v>18.23</v>
      </c>
      <c r="N109" t="s">
        <v>23</v>
      </c>
      <c r="O109">
        <v>2</v>
      </c>
      <c r="P109">
        <v>277.92</v>
      </c>
      <c r="Q109">
        <v>285.92</v>
      </c>
      <c r="R109" t="s">
        <v>2054</v>
      </c>
    </row>
    <row r="110" spans="1:18" x14ac:dyDescent="0.25">
      <c r="A110" t="s">
        <v>161</v>
      </c>
      <c r="B110" s="1">
        <v>44977</v>
      </c>
      <c r="C110" s="1">
        <v>44980</v>
      </c>
      <c r="D110" t="s">
        <v>118</v>
      </c>
      <c r="E110" t="s">
        <v>79</v>
      </c>
      <c r="F110" t="s">
        <v>80</v>
      </c>
      <c r="G110" t="s">
        <v>35</v>
      </c>
      <c r="H110" t="s">
        <v>22</v>
      </c>
      <c r="I110">
        <v>1</v>
      </c>
      <c r="J110">
        <v>113.38</v>
      </c>
      <c r="K110">
        <v>12</v>
      </c>
      <c r="L110">
        <v>100</v>
      </c>
      <c r="M110">
        <v>45.02</v>
      </c>
      <c r="N110" t="s">
        <v>23</v>
      </c>
      <c r="O110">
        <v>3</v>
      </c>
      <c r="P110">
        <v>113.38</v>
      </c>
      <c r="Q110">
        <v>125.38</v>
      </c>
      <c r="R110" t="s">
        <v>2054</v>
      </c>
    </row>
    <row r="111" spans="1:18" x14ac:dyDescent="0.25">
      <c r="A111" t="s">
        <v>162</v>
      </c>
      <c r="B111" s="1">
        <v>44977</v>
      </c>
      <c r="C111" s="1">
        <v>44980</v>
      </c>
      <c r="D111" t="s">
        <v>18</v>
      </c>
      <c r="E111" t="s">
        <v>19</v>
      </c>
      <c r="F111" t="s">
        <v>20</v>
      </c>
      <c r="G111" t="s">
        <v>21</v>
      </c>
      <c r="H111" t="s">
        <v>32</v>
      </c>
      <c r="I111">
        <v>9</v>
      </c>
      <c r="J111">
        <v>10.36</v>
      </c>
      <c r="K111">
        <v>8</v>
      </c>
      <c r="L111">
        <v>274</v>
      </c>
      <c r="M111">
        <v>3.46</v>
      </c>
      <c r="N111" t="s">
        <v>23</v>
      </c>
      <c r="O111">
        <v>3</v>
      </c>
      <c r="P111">
        <v>93.24</v>
      </c>
      <c r="Q111">
        <v>101.24</v>
      </c>
      <c r="R111" t="s">
        <v>2054</v>
      </c>
    </row>
    <row r="112" spans="1:18" x14ac:dyDescent="0.25">
      <c r="A112" t="s">
        <v>163</v>
      </c>
      <c r="B112" s="1">
        <v>44977</v>
      </c>
      <c r="C112" s="1">
        <v>44978</v>
      </c>
      <c r="D112" t="s">
        <v>50</v>
      </c>
      <c r="E112" t="s">
        <v>44</v>
      </c>
      <c r="F112" t="s">
        <v>45</v>
      </c>
      <c r="G112" t="s">
        <v>35</v>
      </c>
      <c r="H112" t="s">
        <v>32</v>
      </c>
      <c r="I112">
        <v>3</v>
      </c>
      <c r="J112">
        <v>928.86</v>
      </c>
      <c r="K112">
        <v>25</v>
      </c>
      <c r="L112">
        <v>174</v>
      </c>
      <c r="M112">
        <v>962.8</v>
      </c>
      <c r="N112" t="s">
        <v>23</v>
      </c>
      <c r="O112">
        <v>1</v>
      </c>
      <c r="P112">
        <v>2786.58</v>
      </c>
      <c r="Q112">
        <v>2811.58</v>
      </c>
      <c r="R112" t="s">
        <v>2054</v>
      </c>
    </row>
    <row r="113" spans="1:18" x14ac:dyDescent="0.25">
      <c r="A113" t="s">
        <v>164</v>
      </c>
      <c r="B113" s="1">
        <v>44977</v>
      </c>
      <c r="C113" s="1">
        <v>44978</v>
      </c>
      <c r="D113" t="s">
        <v>118</v>
      </c>
      <c r="E113" t="s">
        <v>79</v>
      </c>
      <c r="F113" t="s">
        <v>80</v>
      </c>
      <c r="G113" t="s">
        <v>21</v>
      </c>
      <c r="H113" t="s">
        <v>40</v>
      </c>
      <c r="I113">
        <v>3</v>
      </c>
      <c r="J113">
        <v>71.72</v>
      </c>
      <c r="K113">
        <v>18</v>
      </c>
      <c r="L113">
        <v>148</v>
      </c>
      <c r="M113">
        <v>87.82</v>
      </c>
      <c r="N113" t="s">
        <v>23</v>
      </c>
      <c r="O113">
        <v>1</v>
      </c>
      <c r="P113">
        <v>215.16</v>
      </c>
      <c r="Q113">
        <v>233.16</v>
      </c>
      <c r="R113" t="s">
        <v>2054</v>
      </c>
    </row>
    <row r="114" spans="1:18" x14ac:dyDescent="0.25">
      <c r="A114" t="s">
        <v>165</v>
      </c>
      <c r="B114" s="1">
        <v>44979</v>
      </c>
      <c r="C114" s="1">
        <v>44981</v>
      </c>
      <c r="D114" t="s">
        <v>25</v>
      </c>
      <c r="E114" t="s">
        <v>19</v>
      </c>
      <c r="F114" t="s">
        <v>20</v>
      </c>
      <c r="G114" t="s">
        <v>21</v>
      </c>
      <c r="H114" t="s">
        <v>22</v>
      </c>
      <c r="I114">
        <v>5</v>
      </c>
      <c r="J114">
        <v>46.74</v>
      </c>
      <c r="K114">
        <v>8</v>
      </c>
      <c r="L114">
        <v>36</v>
      </c>
      <c r="M114">
        <v>14.7</v>
      </c>
      <c r="N114" t="s">
        <v>23</v>
      </c>
      <c r="O114">
        <v>2</v>
      </c>
      <c r="P114">
        <v>233.70000000000002</v>
      </c>
      <c r="Q114">
        <v>241.70000000000002</v>
      </c>
      <c r="R114" t="s">
        <v>2055</v>
      </c>
    </row>
    <row r="115" spans="1:18" x14ac:dyDescent="0.25">
      <c r="A115" t="s">
        <v>166</v>
      </c>
      <c r="B115" s="1">
        <v>44980</v>
      </c>
      <c r="C115" s="1">
        <v>44982</v>
      </c>
      <c r="D115" t="s">
        <v>78</v>
      </c>
      <c r="E115" t="s">
        <v>79</v>
      </c>
      <c r="F115" t="s">
        <v>80</v>
      </c>
      <c r="G115" t="s">
        <v>21</v>
      </c>
      <c r="H115" t="s">
        <v>22</v>
      </c>
      <c r="I115">
        <v>1</v>
      </c>
      <c r="J115">
        <v>74.03</v>
      </c>
      <c r="K115">
        <v>12</v>
      </c>
      <c r="L115">
        <v>77</v>
      </c>
      <c r="M115">
        <v>27.31</v>
      </c>
      <c r="N115" t="s">
        <v>23</v>
      </c>
      <c r="O115">
        <v>2</v>
      </c>
      <c r="P115">
        <v>74.03</v>
      </c>
      <c r="Q115">
        <v>86.03</v>
      </c>
      <c r="R115" t="s">
        <v>2054</v>
      </c>
    </row>
    <row r="116" spans="1:18" x14ac:dyDescent="0.25">
      <c r="A116" t="s">
        <v>167</v>
      </c>
      <c r="B116" s="1">
        <v>44980</v>
      </c>
      <c r="C116" s="1">
        <v>44982</v>
      </c>
      <c r="D116" t="s">
        <v>78</v>
      </c>
      <c r="E116" t="s">
        <v>79</v>
      </c>
      <c r="F116" t="s">
        <v>80</v>
      </c>
      <c r="G116" t="s">
        <v>35</v>
      </c>
      <c r="H116" t="s">
        <v>40</v>
      </c>
      <c r="I116">
        <v>5</v>
      </c>
      <c r="J116">
        <v>117.73</v>
      </c>
      <c r="K116">
        <v>18</v>
      </c>
      <c r="L116">
        <v>297</v>
      </c>
      <c r="M116">
        <v>-88.3</v>
      </c>
      <c r="N116" t="s">
        <v>23</v>
      </c>
      <c r="O116">
        <v>2</v>
      </c>
      <c r="P116">
        <v>588.65</v>
      </c>
      <c r="Q116">
        <v>606.65</v>
      </c>
      <c r="R116" t="s">
        <v>2054</v>
      </c>
    </row>
    <row r="117" spans="1:18" x14ac:dyDescent="0.25">
      <c r="A117" t="s">
        <v>168</v>
      </c>
      <c r="B117" s="1">
        <v>44981</v>
      </c>
      <c r="C117" s="1">
        <v>44984</v>
      </c>
      <c r="D117" t="s">
        <v>72</v>
      </c>
      <c r="E117" t="s">
        <v>44</v>
      </c>
      <c r="F117" t="s">
        <v>45</v>
      </c>
      <c r="G117" t="s">
        <v>26</v>
      </c>
      <c r="H117" t="s">
        <v>22</v>
      </c>
      <c r="I117">
        <v>3</v>
      </c>
      <c r="J117">
        <v>780.09</v>
      </c>
      <c r="K117">
        <v>25</v>
      </c>
      <c r="L117">
        <v>390</v>
      </c>
      <c r="M117">
        <v>806.59</v>
      </c>
      <c r="N117" t="s">
        <v>23</v>
      </c>
      <c r="O117">
        <v>3</v>
      </c>
      <c r="P117">
        <v>2340.27</v>
      </c>
      <c r="Q117">
        <v>2365.27</v>
      </c>
      <c r="R117" t="s">
        <v>2054</v>
      </c>
    </row>
    <row r="118" spans="1:18" x14ac:dyDescent="0.25">
      <c r="A118" t="s">
        <v>169</v>
      </c>
      <c r="B118" s="1">
        <v>44981</v>
      </c>
      <c r="C118" s="1">
        <v>44983</v>
      </c>
      <c r="D118" t="s">
        <v>50</v>
      </c>
      <c r="E118" t="s">
        <v>44</v>
      </c>
      <c r="F118" t="s">
        <v>45</v>
      </c>
      <c r="G118" t="s">
        <v>26</v>
      </c>
      <c r="H118" t="s">
        <v>22</v>
      </c>
      <c r="I118">
        <v>1</v>
      </c>
      <c r="J118">
        <v>1045.8499999999999</v>
      </c>
      <c r="K118">
        <v>25</v>
      </c>
      <c r="L118">
        <v>151</v>
      </c>
      <c r="M118">
        <v>353.55</v>
      </c>
      <c r="N118" t="s">
        <v>23</v>
      </c>
      <c r="O118">
        <v>2</v>
      </c>
      <c r="P118">
        <v>1045.8499999999999</v>
      </c>
      <c r="Q118">
        <v>1070.8499999999999</v>
      </c>
      <c r="R118" t="s">
        <v>2054</v>
      </c>
    </row>
    <row r="119" spans="1:18" x14ac:dyDescent="0.25">
      <c r="A119" t="s">
        <v>170</v>
      </c>
      <c r="B119" s="1">
        <v>44981</v>
      </c>
      <c r="C119" s="1">
        <v>44985</v>
      </c>
      <c r="D119" t="s">
        <v>82</v>
      </c>
      <c r="E119" t="s">
        <v>79</v>
      </c>
      <c r="F119" t="s">
        <v>80</v>
      </c>
      <c r="G119" t="s">
        <v>21</v>
      </c>
      <c r="H119" t="s">
        <v>22</v>
      </c>
      <c r="I119">
        <v>3</v>
      </c>
      <c r="J119">
        <v>53.19</v>
      </c>
      <c r="K119">
        <v>12</v>
      </c>
      <c r="L119">
        <v>65</v>
      </c>
      <c r="M119">
        <v>65.81</v>
      </c>
      <c r="N119" t="s">
        <v>23</v>
      </c>
      <c r="O119">
        <v>4</v>
      </c>
      <c r="P119">
        <v>159.57</v>
      </c>
      <c r="Q119">
        <v>171.57</v>
      </c>
      <c r="R119" t="s">
        <v>2054</v>
      </c>
    </row>
    <row r="120" spans="1:18" x14ac:dyDescent="0.25">
      <c r="A120" t="s">
        <v>171</v>
      </c>
      <c r="B120" s="1">
        <v>44981</v>
      </c>
      <c r="C120" s="1">
        <v>44986</v>
      </c>
      <c r="D120" t="s">
        <v>58</v>
      </c>
      <c r="E120" t="s">
        <v>19</v>
      </c>
      <c r="F120" t="s">
        <v>20</v>
      </c>
      <c r="G120" t="s">
        <v>35</v>
      </c>
      <c r="H120" t="s">
        <v>22</v>
      </c>
      <c r="I120">
        <v>5</v>
      </c>
      <c r="J120">
        <v>45.18</v>
      </c>
      <c r="K120">
        <v>8</v>
      </c>
      <c r="L120">
        <v>59</v>
      </c>
      <c r="M120">
        <v>14.07</v>
      </c>
      <c r="N120" t="s">
        <v>23</v>
      </c>
      <c r="O120">
        <v>5</v>
      </c>
      <c r="P120">
        <v>225.9</v>
      </c>
      <c r="Q120">
        <v>233.9</v>
      </c>
      <c r="R120" t="s">
        <v>2054</v>
      </c>
    </row>
    <row r="121" spans="1:18" x14ac:dyDescent="0.25">
      <c r="A121" t="s">
        <v>172</v>
      </c>
      <c r="B121" s="1">
        <v>44982</v>
      </c>
      <c r="C121" s="1">
        <v>44987</v>
      </c>
      <c r="D121" t="s">
        <v>25</v>
      </c>
      <c r="E121" t="s">
        <v>19</v>
      </c>
      <c r="F121" t="s">
        <v>20</v>
      </c>
      <c r="G121" t="s">
        <v>26</v>
      </c>
      <c r="H121" t="s">
        <v>22</v>
      </c>
      <c r="I121">
        <v>11</v>
      </c>
      <c r="J121">
        <v>45.04</v>
      </c>
      <c r="K121">
        <v>8</v>
      </c>
      <c r="L121">
        <v>384</v>
      </c>
      <c r="M121">
        <v>35.630000000000003</v>
      </c>
      <c r="N121" t="s">
        <v>23</v>
      </c>
      <c r="O121">
        <v>5</v>
      </c>
      <c r="P121">
        <v>495.44</v>
      </c>
      <c r="Q121">
        <v>503.44</v>
      </c>
      <c r="R121" t="s">
        <v>2054</v>
      </c>
    </row>
    <row r="122" spans="1:18" x14ac:dyDescent="0.25">
      <c r="A122" t="s">
        <v>173</v>
      </c>
      <c r="B122" s="1">
        <v>44984</v>
      </c>
      <c r="C122" s="1">
        <v>44985</v>
      </c>
      <c r="D122" t="s">
        <v>56</v>
      </c>
      <c r="E122" t="s">
        <v>38</v>
      </c>
      <c r="F122" t="s">
        <v>39</v>
      </c>
      <c r="G122" t="s">
        <v>21</v>
      </c>
      <c r="H122" t="s">
        <v>22</v>
      </c>
      <c r="I122">
        <v>2</v>
      </c>
      <c r="J122">
        <v>336.17</v>
      </c>
      <c r="K122">
        <v>75</v>
      </c>
      <c r="L122">
        <v>376</v>
      </c>
      <c r="M122">
        <v>96.97</v>
      </c>
      <c r="N122" t="s">
        <v>23</v>
      </c>
      <c r="O122">
        <v>1</v>
      </c>
      <c r="P122">
        <v>672.34</v>
      </c>
      <c r="Q122">
        <v>747.34</v>
      </c>
      <c r="R122" t="s">
        <v>2054</v>
      </c>
    </row>
    <row r="123" spans="1:18" x14ac:dyDescent="0.25">
      <c r="A123" t="s">
        <v>174</v>
      </c>
      <c r="B123" s="1">
        <v>44984</v>
      </c>
      <c r="C123" s="1">
        <v>44987</v>
      </c>
      <c r="D123" t="s">
        <v>82</v>
      </c>
      <c r="E123" t="s">
        <v>79</v>
      </c>
      <c r="F123" t="s">
        <v>80</v>
      </c>
      <c r="G123" t="s">
        <v>35</v>
      </c>
      <c r="H123" t="s">
        <v>40</v>
      </c>
      <c r="I123">
        <v>3</v>
      </c>
      <c r="J123">
        <v>76.87</v>
      </c>
      <c r="K123">
        <v>18</v>
      </c>
      <c r="L123">
        <v>351</v>
      </c>
      <c r="M123">
        <v>94.78</v>
      </c>
      <c r="N123" t="s">
        <v>23</v>
      </c>
      <c r="O123">
        <v>3</v>
      </c>
      <c r="P123">
        <v>230.61</v>
      </c>
      <c r="Q123">
        <v>248.61</v>
      </c>
      <c r="R123" t="s">
        <v>2054</v>
      </c>
    </row>
    <row r="124" spans="1:18" x14ac:dyDescent="0.25">
      <c r="A124" t="s">
        <v>175</v>
      </c>
      <c r="B124" s="1">
        <v>44985</v>
      </c>
      <c r="C124" s="1">
        <v>44986</v>
      </c>
      <c r="D124" t="s">
        <v>25</v>
      </c>
      <c r="E124" t="s">
        <v>19</v>
      </c>
      <c r="F124" t="s">
        <v>20</v>
      </c>
      <c r="G124" t="s">
        <v>26</v>
      </c>
      <c r="H124" t="s">
        <v>32</v>
      </c>
      <c r="I124">
        <v>9</v>
      </c>
      <c r="J124">
        <v>22.12</v>
      </c>
      <c r="K124">
        <v>8</v>
      </c>
      <c r="L124">
        <v>225</v>
      </c>
      <c r="M124">
        <v>11.92</v>
      </c>
      <c r="N124" t="s">
        <v>23</v>
      </c>
      <c r="O124">
        <v>1</v>
      </c>
      <c r="P124">
        <v>199.08</v>
      </c>
      <c r="Q124">
        <v>207.08</v>
      </c>
      <c r="R124" t="s">
        <v>2054</v>
      </c>
    </row>
    <row r="125" spans="1:18" x14ac:dyDescent="0.25">
      <c r="A125" t="s">
        <v>176</v>
      </c>
      <c r="B125" s="1">
        <v>44987</v>
      </c>
      <c r="C125" s="1">
        <v>45000</v>
      </c>
      <c r="D125" t="s">
        <v>37</v>
      </c>
      <c r="E125" t="s">
        <v>38</v>
      </c>
      <c r="F125" t="s">
        <v>39</v>
      </c>
      <c r="G125" t="s">
        <v>35</v>
      </c>
      <c r="H125" t="s">
        <v>32</v>
      </c>
      <c r="I125">
        <v>2</v>
      </c>
      <c r="J125">
        <v>188.2</v>
      </c>
      <c r="K125">
        <v>75</v>
      </c>
      <c r="L125">
        <v>168</v>
      </c>
      <c r="M125">
        <v>37.78</v>
      </c>
      <c r="N125" t="s">
        <v>47</v>
      </c>
      <c r="O125">
        <v>13</v>
      </c>
      <c r="P125">
        <v>376.4</v>
      </c>
      <c r="Q125">
        <v>451.4</v>
      </c>
      <c r="R125" t="s">
        <v>2054</v>
      </c>
    </row>
    <row r="126" spans="1:18" x14ac:dyDescent="0.25">
      <c r="A126" t="s">
        <v>177</v>
      </c>
      <c r="B126" s="1">
        <v>44987</v>
      </c>
      <c r="C126" s="1">
        <v>44988</v>
      </c>
      <c r="D126" t="s">
        <v>34</v>
      </c>
      <c r="E126" t="s">
        <v>30</v>
      </c>
      <c r="F126" t="s">
        <v>31</v>
      </c>
      <c r="G126" t="s">
        <v>26</v>
      </c>
      <c r="H126" t="s">
        <v>27</v>
      </c>
      <c r="I126">
        <v>1</v>
      </c>
      <c r="J126">
        <v>121.48</v>
      </c>
      <c r="K126">
        <v>12</v>
      </c>
      <c r="L126">
        <v>29</v>
      </c>
      <c r="M126">
        <v>42.59</v>
      </c>
      <c r="N126" t="s">
        <v>23</v>
      </c>
      <c r="O126">
        <v>1</v>
      </c>
      <c r="P126">
        <v>121.48</v>
      </c>
      <c r="Q126">
        <v>133.48000000000002</v>
      </c>
      <c r="R126" t="s">
        <v>2055</v>
      </c>
    </row>
    <row r="127" spans="1:18" x14ac:dyDescent="0.25">
      <c r="A127" t="s">
        <v>178</v>
      </c>
      <c r="B127" s="1">
        <v>44987</v>
      </c>
      <c r="C127" s="1">
        <v>44988</v>
      </c>
      <c r="D127" t="s">
        <v>56</v>
      </c>
      <c r="E127" t="s">
        <v>38</v>
      </c>
      <c r="F127" t="s">
        <v>39</v>
      </c>
      <c r="G127" t="s">
        <v>26</v>
      </c>
      <c r="H127" t="s">
        <v>32</v>
      </c>
      <c r="I127">
        <v>1</v>
      </c>
      <c r="J127">
        <v>151.97999999999999</v>
      </c>
      <c r="K127">
        <v>75</v>
      </c>
      <c r="L127">
        <v>340</v>
      </c>
      <c r="M127">
        <v>-7.1</v>
      </c>
      <c r="N127" t="s">
        <v>23</v>
      </c>
      <c r="O127">
        <v>1</v>
      </c>
      <c r="P127">
        <v>151.97999999999999</v>
      </c>
      <c r="Q127">
        <v>226.98</v>
      </c>
      <c r="R127" t="s">
        <v>2054</v>
      </c>
    </row>
    <row r="128" spans="1:18" x14ac:dyDescent="0.25">
      <c r="A128" t="s">
        <v>179</v>
      </c>
      <c r="B128" s="1">
        <v>44988</v>
      </c>
      <c r="C128" s="1">
        <v>44989</v>
      </c>
      <c r="D128" t="s">
        <v>72</v>
      </c>
      <c r="E128" t="s">
        <v>44</v>
      </c>
      <c r="F128" t="s">
        <v>45</v>
      </c>
      <c r="G128" t="s">
        <v>26</v>
      </c>
      <c r="H128" t="s">
        <v>32</v>
      </c>
      <c r="I128">
        <v>3</v>
      </c>
      <c r="J128">
        <v>359.03</v>
      </c>
      <c r="K128">
        <v>25</v>
      </c>
      <c r="L128">
        <v>398</v>
      </c>
      <c r="M128">
        <v>364.48</v>
      </c>
      <c r="N128" t="s">
        <v>23</v>
      </c>
      <c r="O128">
        <v>1</v>
      </c>
      <c r="P128">
        <v>1077.0899999999999</v>
      </c>
      <c r="Q128">
        <v>1102.0899999999999</v>
      </c>
      <c r="R128" t="s">
        <v>2054</v>
      </c>
    </row>
    <row r="129" spans="1:18" x14ac:dyDescent="0.25">
      <c r="A129" t="s">
        <v>180</v>
      </c>
      <c r="B129" s="1">
        <v>44988</v>
      </c>
      <c r="C129" s="1">
        <v>44993</v>
      </c>
      <c r="D129" t="s">
        <v>75</v>
      </c>
      <c r="E129" t="s">
        <v>44</v>
      </c>
      <c r="F129" t="s">
        <v>45</v>
      </c>
      <c r="G129" t="s">
        <v>21</v>
      </c>
      <c r="H129" t="s">
        <v>40</v>
      </c>
      <c r="I129">
        <v>3</v>
      </c>
      <c r="J129">
        <v>474.07</v>
      </c>
      <c r="K129">
        <v>37.5</v>
      </c>
      <c r="L129">
        <v>92</v>
      </c>
      <c r="M129">
        <v>479.02</v>
      </c>
      <c r="N129" t="s">
        <v>23</v>
      </c>
      <c r="O129">
        <v>5</v>
      </c>
      <c r="P129">
        <v>1422.21</v>
      </c>
      <c r="Q129">
        <v>1459.71</v>
      </c>
      <c r="R129" t="s">
        <v>2054</v>
      </c>
    </row>
    <row r="130" spans="1:18" x14ac:dyDescent="0.25">
      <c r="A130" t="s">
        <v>181</v>
      </c>
      <c r="B130" s="1">
        <v>44989</v>
      </c>
      <c r="C130" s="1">
        <v>44994</v>
      </c>
      <c r="D130" t="s">
        <v>50</v>
      </c>
      <c r="E130" t="s">
        <v>44</v>
      </c>
      <c r="F130" t="s">
        <v>45</v>
      </c>
      <c r="G130" t="s">
        <v>21</v>
      </c>
      <c r="H130" t="s">
        <v>27</v>
      </c>
      <c r="I130">
        <v>1</v>
      </c>
      <c r="J130">
        <v>318.87</v>
      </c>
      <c r="K130">
        <v>25</v>
      </c>
      <c r="L130">
        <v>194</v>
      </c>
      <c r="M130">
        <v>99.1</v>
      </c>
      <c r="N130" t="s">
        <v>23</v>
      </c>
      <c r="O130">
        <v>5</v>
      </c>
      <c r="P130">
        <v>318.87</v>
      </c>
      <c r="Q130">
        <v>343.87</v>
      </c>
      <c r="R130" t="s">
        <v>2054</v>
      </c>
    </row>
    <row r="131" spans="1:18" x14ac:dyDescent="0.25">
      <c r="A131" t="s">
        <v>182</v>
      </c>
      <c r="B131" s="1">
        <v>44989</v>
      </c>
      <c r="C131" s="1">
        <v>44992</v>
      </c>
      <c r="D131" t="s">
        <v>118</v>
      </c>
      <c r="E131" t="s">
        <v>79</v>
      </c>
      <c r="F131" t="s">
        <v>80</v>
      </c>
      <c r="G131" t="s">
        <v>26</v>
      </c>
      <c r="H131" t="s">
        <v>22</v>
      </c>
      <c r="I131">
        <v>4</v>
      </c>
      <c r="J131">
        <v>41.19</v>
      </c>
      <c r="K131">
        <v>12</v>
      </c>
      <c r="L131">
        <v>358</v>
      </c>
      <c r="M131">
        <v>68.150000000000006</v>
      </c>
      <c r="N131" t="s">
        <v>23</v>
      </c>
      <c r="O131">
        <v>3</v>
      </c>
      <c r="P131">
        <v>164.76</v>
      </c>
      <c r="Q131">
        <v>176.76</v>
      </c>
      <c r="R131" t="s">
        <v>2054</v>
      </c>
    </row>
    <row r="132" spans="1:18" x14ac:dyDescent="0.25">
      <c r="A132" t="s">
        <v>183</v>
      </c>
      <c r="B132" s="1">
        <v>44991</v>
      </c>
      <c r="C132" s="1">
        <v>44992</v>
      </c>
      <c r="D132" t="s">
        <v>25</v>
      </c>
      <c r="E132" t="s">
        <v>19</v>
      </c>
      <c r="F132" t="s">
        <v>20</v>
      </c>
      <c r="G132" t="s">
        <v>35</v>
      </c>
      <c r="H132" t="s">
        <v>40</v>
      </c>
      <c r="I132">
        <v>11</v>
      </c>
      <c r="J132">
        <v>43.73</v>
      </c>
      <c r="K132">
        <v>12</v>
      </c>
      <c r="L132">
        <v>358</v>
      </c>
      <c r="M132">
        <v>32.479999999999997</v>
      </c>
      <c r="N132" t="s">
        <v>23</v>
      </c>
      <c r="O132">
        <v>1</v>
      </c>
      <c r="P132">
        <v>481.03</v>
      </c>
      <c r="Q132">
        <v>493.03</v>
      </c>
      <c r="R132" t="s">
        <v>2054</v>
      </c>
    </row>
    <row r="133" spans="1:18" x14ac:dyDescent="0.25">
      <c r="A133" t="s">
        <v>184</v>
      </c>
      <c r="B133" s="1">
        <v>44991</v>
      </c>
      <c r="C133" s="1">
        <v>44995</v>
      </c>
      <c r="D133" t="s">
        <v>52</v>
      </c>
      <c r="E133" t="s">
        <v>30</v>
      </c>
      <c r="F133" t="s">
        <v>31</v>
      </c>
      <c r="G133" t="s">
        <v>21</v>
      </c>
      <c r="H133" t="s">
        <v>22</v>
      </c>
      <c r="I133">
        <v>5</v>
      </c>
      <c r="J133">
        <v>82.69</v>
      </c>
      <c r="K133">
        <v>12</v>
      </c>
      <c r="L133">
        <v>166</v>
      </c>
      <c r="M133">
        <v>159.38999999999999</v>
      </c>
      <c r="N133" t="s">
        <v>23</v>
      </c>
      <c r="O133">
        <v>4</v>
      </c>
      <c r="P133">
        <v>413.45</v>
      </c>
      <c r="Q133">
        <v>425.45</v>
      </c>
      <c r="R133" t="s">
        <v>2054</v>
      </c>
    </row>
    <row r="134" spans="1:18" x14ac:dyDescent="0.25">
      <c r="A134" t="s">
        <v>185</v>
      </c>
      <c r="B134" s="1">
        <v>44992</v>
      </c>
      <c r="C134" s="1">
        <v>44995</v>
      </c>
      <c r="D134" t="s">
        <v>72</v>
      </c>
      <c r="E134" t="s">
        <v>44</v>
      </c>
      <c r="F134" t="s">
        <v>45</v>
      </c>
      <c r="G134" t="s">
        <v>21</v>
      </c>
      <c r="H134" t="s">
        <v>32</v>
      </c>
      <c r="I134">
        <v>3</v>
      </c>
      <c r="J134">
        <v>877.15</v>
      </c>
      <c r="K134">
        <v>25</v>
      </c>
      <c r="L134">
        <v>41</v>
      </c>
      <c r="M134">
        <v>908.51</v>
      </c>
      <c r="N134" t="s">
        <v>23</v>
      </c>
      <c r="O134">
        <v>3</v>
      </c>
      <c r="P134">
        <v>2631.45</v>
      </c>
      <c r="Q134">
        <v>2656.45</v>
      </c>
      <c r="R134" t="s">
        <v>2055</v>
      </c>
    </row>
    <row r="135" spans="1:18" x14ac:dyDescent="0.25">
      <c r="A135" t="s">
        <v>186</v>
      </c>
      <c r="B135" s="1">
        <v>44993</v>
      </c>
      <c r="C135" s="1">
        <v>45004</v>
      </c>
      <c r="D135" t="s">
        <v>52</v>
      </c>
      <c r="E135" t="s">
        <v>30</v>
      </c>
      <c r="F135" t="s">
        <v>31</v>
      </c>
      <c r="G135" t="s">
        <v>35</v>
      </c>
      <c r="H135" t="s">
        <v>40</v>
      </c>
      <c r="I135">
        <v>3</v>
      </c>
      <c r="J135">
        <v>94.33</v>
      </c>
      <c r="K135">
        <v>18</v>
      </c>
      <c r="L135">
        <v>347</v>
      </c>
      <c r="M135">
        <v>104.19</v>
      </c>
      <c r="N135" t="s">
        <v>47</v>
      </c>
      <c r="O135">
        <v>11</v>
      </c>
      <c r="P135">
        <v>282.99</v>
      </c>
      <c r="Q135">
        <v>300.99</v>
      </c>
      <c r="R135" t="s">
        <v>2054</v>
      </c>
    </row>
    <row r="136" spans="1:18" x14ac:dyDescent="0.25">
      <c r="A136" t="s">
        <v>187</v>
      </c>
      <c r="B136" s="1">
        <v>44993</v>
      </c>
      <c r="C136" s="1">
        <v>44996</v>
      </c>
      <c r="D136" t="s">
        <v>54</v>
      </c>
      <c r="E136" t="s">
        <v>38</v>
      </c>
      <c r="F136" t="s">
        <v>39</v>
      </c>
      <c r="G136" t="s">
        <v>21</v>
      </c>
      <c r="H136" t="s">
        <v>22</v>
      </c>
      <c r="I136">
        <v>1</v>
      </c>
      <c r="J136">
        <v>233.62</v>
      </c>
      <c r="K136">
        <v>75</v>
      </c>
      <c r="L136">
        <v>88</v>
      </c>
      <c r="M136">
        <v>9.2200000000000006</v>
      </c>
      <c r="N136" t="s">
        <v>23</v>
      </c>
      <c r="O136">
        <v>3</v>
      </c>
      <c r="P136">
        <v>233.62</v>
      </c>
      <c r="Q136">
        <v>308.62</v>
      </c>
      <c r="R136" t="s">
        <v>2054</v>
      </c>
    </row>
    <row r="137" spans="1:18" x14ac:dyDescent="0.25">
      <c r="A137" t="s">
        <v>188</v>
      </c>
      <c r="B137" s="1">
        <v>44995</v>
      </c>
      <c r="C137" s="1">
        <v>44999</v>
      </c>
      <c r="D137" t="s">
        <v>54</v>
      </c>
      <c r="E137" t="s">
        <v>38</v>
      </c>
      <c r="F137" t="s">
        <v>39</v>
      </c>
      <c r="G137" t="s">
        <v>35</v>
      </c>
      <c r="H137" t="s">
        <v>40</v>
      </c>
      <c r="I137">
        <v>2</v>
      </c>
      <c r="J137">
        <v>232.98</v>
      </c>
      <c r="K137">
        <v>112.5</v>
      </c>
      <c r="L137">
        <v>186</v>
      </c>
      <c r="M137">
        <v>36.94</v>
      </c>
      <c r="N137" t="s">
        <v>23</v>
      </c>
      <c r="O137">
        <v>4</v>
      </c>
      <c r="P137">
        <v>465.96</v>
      </c>
      <c r="Q137">
        <v>578.46</v>
      </c>
      <c r="R137" t="s">
        <v>2054</v>
      </c>
    </row>
    <row r="138" spans="1:18" x14ac:dyDescent="0.25">
      <c r="A138" t="s">
        <v>189</v>
      </c>
      <c r="B138" s="1">
        <v>44995</v>
      </c>
      <c r="C138" s="1">
        <v>44997</v>
      </c>
      <c r="D138" t="s">
        <v>25</v>
      </c>
      <c r="E138" t="s">
        <v>19</v>
      </c>
      <c r="F138" t="s">
        <v>20</v>
      </c>
      <c r="G138" t="s">
        <v>26</v>
      </c>
      <c r="H138" t="s">
        <v>27</v>
      </c>
      <c r="I138">
        <v>10</v>
      </c>
      <c r="J138">
        <v>41.24</v>
      </c>
      <c r="K138">
        <v>8</v>
      </c>
      <c r="L138">
        <v>299</v>
      </c>
      <c r="M138">
        <v>28.99</v>
      </c>
      <c r="N138" t="s">
        <v>23</v>
      </c>
      <c r="O138">
        <v>2</v>
      </c>
      <c r="P138">
        <v>412.40000000000003</v>
      </c>
      <c r="Q138">
        <v>420.40000000000003</v>
      </c>
      <c r="R138" t="s">
        <v>2054</v>
      </c>
    </row>
    <row r="139" spans="1:18" x14ac:dyDescent="0.25">
      <c r="A139" t="s">
        <v>190</v>
      </c>
      <c r="B139" s="1">
        <v>44995</v>
      </c>
      <c r="C139" s="1">
        <v>45000</v>
      </c>
      <c r="D139" t="s">
        <v>118</v>
      </c>
      <c r="E139" t="s">
        <v>79</v>
      </c>
      <c r="F139" t="s">
        <v>80</v>
      </c>
      <c r="G139" t="s">
        <v>35</v>
      </c>
      <c r="H139" t="s">
        <v>32</v>
      </c>
      <c r="I139">
        <v>1</v>
      </c>
      <c r="J139">
        <v>87.43</v>
      </c>
      <c r="K139">
        <v>12</v>
      </c>
      <c r="L139">
        <v>77</v>
      </c>
      <c r="M139">
        <v>33.340000000000003</v>
      </c>
      <c r="N139" t="s">
        <v>23</v>
      </c>
      <c r="O139">
        <v>5</v>
      </c>
      <c r="P139">
        <v>87.43</v>
      </c>
      <c r="Q139">
        <v>99.43</v>
      </c>
      <c r="R139" t="s">
        <v>2054</v>
      </c>
    </row>
    <row r="140" spans="1:18" x14ac:dyDescent="0.25">
      <c r="A140" t="s">
        <v>191</v>
      </c>
      <c r="B140" s="1">
        <v>44998</v>
      </c>
      <c r="C140" s="1">
        <v>45000</v>
      </c>
      <c r="D140" t="s">
        <v>29</v>
      </c>
      <c r="E140" t="s">
        <v>30</v>
      </c>
      <c r="F140" t="s">
        <v>31</v>
      </c>
      <c r="G140" t="s">
        <v>35</v>
      </c>
      <c r="H140" t="s">
        <v>40</v>
      </c>
      <c r="I140">
        <v>4</v>
      </c>
      <c r="J140">
        <v>65.05</v>
      </c>
      <c r="K140">
        <v>18</v>
      </c>
      <c r="L140">
        <v>285</v>
      </c>
      <c r="M140">
        <v>95.08</v>
      </c>
      <c r="N140" t="s">
        <v>23</v>
      </c>
      <c r="O140">
        <v>2</v>
      </c>
      <c r="P140">
        <v>260.2</v>
      </c>
      <c r="Q140">
        <v>278.2</v>
      </c>
      <c r="R140" t="s">
        <v>2054</v>
      </c>
    </row>
    <row r="141" spans="1:18" x14ac:dyDescent="0.25">
      <c r="A141" t="s">
        <v>192</v>
      </c>
      <c r="B141" s="1">
        <v>44999</v>
      </c>
      <c r="C141" s="1">
        <v>45011</v>
      </c>
      <c r="D141" t="s">
        <v>54</v>
      </c>
      <c r="E141" t="s">
        <v>38</v>
      </c>
      <c r="F141" t="s">
        <v>39</v>
      </c>
      <c r="G141" t="s">
        <v>35</v>
      </c>
      <c r="H141" t="s">
        <v>40</v>
      </c>
      <c r="I141">
        <v>1</v>
      </c>
      <c r="J141">
        <v>157.58000000000001</v>
      </c>
      <c r="K141">
        <v>112.5</v>
      </c>
      <c r="L141">
        <v>176</v>
      </c>
      <c r="M141">
        <v>-24.73</v>
      </c>
      <c r="N141" t="s">
        <v>47</v>
      </c>
      <c r="O141">
        <v>12</v>
      </c>
      <c r="P141">
        <v>157.58000000000001</v>
      </c>
      <c r="Q141">
        <v>270.08000000000004</v>
      </c>
      <c r="R141" t="s">
        <v>2054</v>
      </c>
    </row>
    <row r="142" spans="1:18" x14ac:dyDescent="0.25">
      <c r="A142" t="s">
        <v>193</v>
      </c>
      <c r="B142" s="1">
        <v>44999</v>
      </c>
      <c r="C142" s="1">
        <v>45002</v>
      </c>
      <c r="D142" t="s">
        <v>58</v>
      </c>
      <c r="E142" t="s">
        <v>19</v>
      </c>
      <c r="F142" t="s">
        <v>20</v>
      </c>
      <c r="G142" t="s">
        <v>26</v>
      </c>
      <c r="H142" t="s">
        <v>22</v>
      </c>
      <c r="I142">
        <v>9</v>
      </c>
      <c r="J142">
        <v>32.14</v>
      </c>
      <c r="K142">
        <v>8</v>
      </c>
      <c r="L142">
        <v>226</v>
      </c>
      <c r="M142">
        <v>-43.38</v>
      </c>
      <c r="N142" t="s">
        <v>23</v>
      </c>
      <c r="O142">
        <v>3</v>
      </c>
      <c r="P142">
        <v>289.26</v>
      </c>
      <c r="Q142">
        <v>297.26</v>
      </c>
      <c r="R142" t="s">
        <v>2054</v>
      </c>
    </row>
    <row r="143" spans="1:18" x14ac:dyDescent="0.25">
      <c r="A143" t="s">
        <v>194</v>
      </c>
      <c r="B143" s="1">
        <v>44999</v>
      </c>
      <c r="C143" s="1">
        <v>45016</v>
      </c>
      <c r="D143" t="s">
        <v>18</v>
      </c>
      <c r="E143" t="s">
        <v>19</v>
      </c>
      <c r="F143" t="s">
        <v>20</v>
      </c>
      <c r="G143" t="s">
        <v>35</v>
      </c>
      <c r="H143" t="s">
        <v>27</v>
      </c>
      <c r="I143">
        <v>6</v>
      </c>
      <c r="J143">
        <v>31.03</v>
      </c>
      <c r="K143">
        <v>8</v>
      </c>
      <c r="L143">
        <v>173</v>
      </c>
      <c r="M143">
        <v>10.89</v>
      </c>
      <c r="N143" t="s">
        <v>47</v>
      </c>
      <c r="O143">
        <v>17</v>
      </c>
      <c r="P143">
        <v>186.18</v>
      </c>
      <c r="Q143">
        <v>194.18</v>
      </c>
      <c r="R143" t="s">
        <v>2054</v>
      </c>
    </row>
    <row r="144" spans="1:18" x14ac:dyDescent="0.25">
      <c r="A144" t="s">
        <v>195</v>
      </c>
      <c r="B144" s="1">
        <v>45001</v>
      </c>
      <c r="C144" s="1">
        <v>45005</v>
      </c>
      <c r="D144" t="s">
        <v>25</v>
      </c>
      <c r="E144" t="s">
        <v>19</v>
      </c>
      <c r="F144" t="s">
        <v>20</v>
      </c>
      <c r="G144" t="s">
        <v>26</v>
      </c>
      <c r="H144" t="s">
        <v>32</v>
      </c>
      <c r="I144">
        <v>13</v>
      </c>
      <c r="J144">
        <v>35.01</v>
      </c>
      <c r="K144">
        <v>8</v>
      </c>
      <c r="L144">
        <v>320</v>
      </c>
      <c r="M144">
        <v>32.409999999999997</v>
      </c>
      <c r="N144" t="s">
        <v>23</v>
      </c>
      <c r="O144">
        <v>4</v>
      </c>
      <c r="P144">
        <v>455.13</v>
      </c>
      <c r="Q144">
        <v>463.13</v>
      </c>
      <c r="R144" t="s">
        <v>2054</v>
      </c>
    </row>
    <row r="145" spans="1:18" x14ac:dyDescent="0.25">
      <c r="A145" t="s">
        <v>196</v>
      </c>
      <c r="B145" s="1">
        <v>45001</v>
      </c>
      <c r="C145" s="1">
        <v>45002</v>
      </c>
      <c r="D145" t="s">
        <v>82</v>
      </c>
      <c r="E145" t="s">
        <v>79</v>
      </c>
      <c r="F145" t="s">
        <v>80</v>
      </c>
      <c r="G145" t="s">
        <v>26</v>
      </c>
      <c r="H145" t="s">
        <v>22</v>
      </c>
      <c r="I145">
        <v>1</v>
      </c>
      <c r="J145">
        <v>48.66</v>
      </c>
      <c r="K145">
        <v>12</v>
      </c>
      <c r="L145">
        <v>125</v>
      </c>
      <c r="M145">
        <v>15.9</v>
      </c>
      <c r="N145" t="s">
        <v>23</v>
      </c>
      <c r="O145">
        <v>1</v>
      </c>
      <c r="P145">
        <v>48.66</v>
      </c>
      <c r="Q145">
        <v>60.66</v>
      </c>
      <c r="R145" t="s">
        <v>2054</v>
      </c>
    </row>
    <row r="146" spans="1:18" x14ac:dyDescent="0.25">
      <c r="A146" t="s">
        <v>197</v>
      </c>
      <c r="B146" s="1">
        <v>45001</v>
      </c>
      <c r="C146" s="1">
        <v>45005</v>
      </c>
      <c r="D146" t="s">
        <v>52</v>
      </c>
      <c r="E146" t="s">
        <v>30</v>
      </c>
      <c r="F146" t="s">
        <v>31</v>
      </c>
      <c r="G146" t="s">
        <v>35</v>
      </c>
      <c r="H146" t="s">
        <v>27</v>
      </c>
      <c r="I146">
        <v>5</v>
      </c>
      <c r="J146">
        <v>135.71</v>
      </c>
      <c r="K146">
        <v>12</v>
      </c>
      <c r="L146">
        <v>386</v>
      </c>
      <c r="M146">
        <v>265.42</v>
      </c>
      <c r="N146" t="s">
        <v>23</v>
      </c>
      <c r="O146">
        <v>4</v>
      </c>
      <c r="P146">
        <v>678.55000000000007</v>
      </c>
      <c r="Q146">
        <v>690.55000000000007</v>
      </c>
      <c r="R146" t="s">
        <v>2054</v>
      </c>
    </row>
    <row r="147" spans="1:18" x14ac:dyDescent="0.25">
      <c r="A147" t="s">
        <v>198</v>
      </c>
      <c r="B147" s="1">
        <v>45001</v>
      </c>
      <c r="C147" s="1">
        <v>45002</v>
      </c>
      <c r="D147" t="s">
        <v>18</v>
      </c>
      <c r="E147" t="s">
        <v>19</v>
      </c>
      <c r="F147" t="s">
        <v>20</v>
      </c>
      <c r="G147" t="s">
        <v>35</v>
      </c>
      <c r="H147" t="s">
        <v>40</v>
      </c>
      <c r="I147">
        <v>13</v>
      </c>
      <c r="J147">
        <v>31.88</v>
      </c>
      <c r="K147">
        <v>12</v>
      </c>
      <c r="L147">
        <v>187</v>
      </c>
      <c r="M147">
        <v>27.15</v>
      </c>
      <c r="N147" t="s">
        <v>23</v>
      </c>
      <c r="O147">
        <v>1</v>
      </c>
      <c r="P147">
        <v>414.44</v>
      </c>
      <c r="Q147">
        <v>426.44</v>
      </c>
      <c r="R147" t="s">
        <v>2054</v>
      </c>
    </row>
    <row r="148" spans="1:18" x14ac:dyDescent="0.25">
      <c r="A148" t="s">
        <v>199</v>
      </c>
      <c r="B148" s="1">
        <v>45002</v>
      </c>
      <c r="C148" s="1">
        <v>45005</v>
      </c>
      <c r="D148" t="s">
        <v>75</v>
      </c>
      <c r="E148" t="s">
        <v>44</v>
      </c>
      <c r="F148" t="s">
        <v>45</v>
      </c>
      <c r="G148" t="s">
        <v>26</v>
      </c>
      <c r="H148" t="s">
        <v>32</v>
      </c>
      <c r="I148">
        <v>1</v>
      </c>
      <c r="J148">
        <v>414.41</v>
      </c>
      <c r="K148">
        <v>25</v>
      </c>
      <c r="L148">
        <v>309</v>
      </c>
      <c r="M148">
        <v>132.54</v>
      </c>
      <c r="N148" t="s">
        <v>23</v>
      </c>
      <c r="O148">
        <v>3</v>
      </c>
      <c r="P148">
        <v>414.41</v>
      </c>
      <c r="Q148">
        <v>439.41</v>
      </c>
      <c r="R148" t="s">
        <v>2054</v>
      </c>
    </row>
    <row r="149" spans="1:18" x14ac:dyDescent="0.25">
      <c r="A149" t="s">
        <v>200</v>
      </c>
      <c r="B149" s="1">
        <v>45004</v>
      </c>
      <c r="C149" s="1">
        <v>45006</v>
      </c>
      <c r="D149" t="s">
        <v>29</v>
      </c>
      <c r="E149" t="s">
        <v>30</v>
      </c>
      <c r="F149" t="s">
        <v>31</v>
      </c>
      <c r="G149" t="s">
        <v>35</v>
      </c>
      <c r="H149" t="s">
        <v>27</v>
      </c>
      <c r="I149">
        <v>2</v>
      </c>
      <c r="J149">
        <v>107.47</v>
      </c>
      <c r="K149">
        <v>12</v>
      </c>
      <c r="L149">
        <v>157</v>
      </c>
      <c r="M149">
        <v>79.98</v>
      </c>
      <c r="N149" t="s">
        <v>23</v>
      </c>
      <c r="O149">
        <v>2</v>
      </c>
      <c r="P149">
        <v>214.94</v>
      </c>
      <c r="Q149">
        <v>226.94</v>
      </c>
      <c r="R149" t="s">
        <v>2054</v>
      </c>
    </row>
    <row r="150" spans="1:18" x14ac:dyDescent="0.25">
      <c r="A150" t="s">
        <v>201</v>
      </c>
      <c r="B150" s="1">
        <v>45004</v>
      </c>
      <c r="C150" s="1">
        <v>45007</v>
      </c>
      <c r="D150" t="s">
        <v>25</v>
      </c>
      <c r="E150" t="s">
        <v>19</v>
      </c>
      <c r="F150" t="s">
        <v>20</v>
      </c>
      <c r="G150" t="s">
        <v>21</v>
      </c>
      <c r="H150" t="s">
        <v>32</v>
      </c>
      <c r="I150">
        <v>10</v>
      </c>
      <c r="J150">
        <v>25.9</v>
      </c>
      <c r="K150">
        <v>8</v>
      </c>
      <c r="L150">
        <v>257</v>
      </c>
      <c r="M150">
        <v>16.72</v>
      </c>
      <c r="N150" t="s">
        <v>23</v>
      </c>
      <c r="O150">
        <v>3</v>
      </c>
      <c r="P150">
        <v>259</v>
      </c>
      <c r="Q150">
        <v>267</v>
      </c>
      <c r="R150" t="s">
        <v>2054</v>
      </c>
    </row>
    <row r="151" spans="1:18" x14ac:dyDescent="0.25">
      <c r="A151" t="s">
        <v>202</v>
      </c>
      <c r="B151" s="1">
        <v>45005</v>
      </c>
      <c r="C151" s="1">
        <v>45010</v>
      </c>
      <c r="D151" t="s">
        <v>25</v>
      </c>
      <c r="E151" t="s">
        <v>19</v>
      </c>
      <c r="F151" t="s">
        <v>20</v>
      </c>
      <c r="G151" t="s">
        <v>21</v>
      </c>
      <c r="H151" t="s">
        <v>22</v>
      </c>
      <c r="I151">
        <v>11</v>
      </c>
      <c r="J151">
        <v>41.99</v>
      </c>
      <c r="K151">
        <v>8</v>
      </c>
      <c r="L151">
        <v>201</v>
      </c>
      <c r="M151">
        <v>32.950000000000003</v>
      </c>
      <c r="N151" t="s">
        <v>23</v>
      </c>
      <c r="O151">
        <v>5</v>
      </c>
      <c r="P151">
        <v>461.89000000000004</v>
      </c>
      <c r="Q151">
        <v>469.89000000000004</v>
      </c>
      <c r="R151" t="s">
        <v>2054</v>
      </c>
    </row>
    <row r="152" spans="1:18" x14ac:dyDescent="0.25">
      <c r="A152" t="s">
        <v>203</v>
      </c>
      <c r="B152" s="1">
        <v>45005</v>
      </c>
      <c r="C152" s="1">
        <v>45008</v>
      </c>
      <c r="D152" t="s">
        <v>25</v>
      </c>
      <c r="E152" t="s">
        <v>19</v>
      </c>
      <c r="F152" t="s">
        <v>20</v>
      </c>
      <c r="G152" t="s">
        <v>21</v>
      </c>
      <c r="H152" t="s">
        <v>27</v>
      </c>
      <c r="I152">
        <v>10</v>
      </c>
      <c r="J152">
        <v>35.21</v>
      </c>
      <c r="K152">
        <v>8</v>
      </c>
      <c r="L152">
        <v>271</v>
      </c>
      <c r="M152">
        <v>24.17</v>
      </c>
      <c r="N152" t="s">
        <v>23</v>
      </c>
      <c r="O152">
        <v>3</v>
      </c>
      <c r="P152">
        <v>352.1</v>
      </c>
      <c r="Q152">
        <v>360.1</v>
      </c>
      <c r="R152" t="s">
        <v>2054</v>
      </c>
    </row>
    <row r="153" spans="1:18" x14ac:dyDescent="0.25">
      <c r="A153" t="s">
        <v>204</v>
      </c>
      <c r="B153" s="1">
        <v>45006</v>
      </c>
      <c r="C153" s="1">
        <v>45011</v>
      </c>
      <c r="D153" t="s">
        <v>118</v>
      </c>
      <c r="E153" t="s">
        <v>79</v>
      </c>
      <c r="F153" t="s">
        <v>80</v>
      </c>
      <c r="G153" t="s">
        <v>35</v>
      </c>
      <c r="H153" t="s">
        <v>40</v>
      </c>
      <c r="I153">
        <v>2</v>
      </c>
      <c r="J153">
        <v>122.06</v>
      </c>
      <c r="K153">
        <v>18</v>
      </c>
      <c r="L153">
        <v>279</v>
      </c>
      <c r="M153">
        <v>-36.619999999999997</v>
      </c>
      <c r="N153" t="s">
        <v>23</v>
      </c>
      <c r="O153">
        <v>5</v>
      </c>
      <c r="P153">
        <v>244.12</v>
      </c>
      <c r="Q153">
        <v>262.12</v>
      </c>
      <c r="R153" t="s">
        <v>2054</v>
      </c>
    </row>
    <row r="154" spans="1:18" x14ac:dyDescent="0.25">
      <c r="A154" t="s">
        <v>205</v>
      </c>
      <c r="B154" s="1">
        <v>45007</v>
      </c>
      <c r="C154" s="1">
        <v>45018</v>
      </c>
      <c r="D154" t="s">
        <v>50</v>
      </c>
      <c r="E154" t="s">
        <v>44</v>
      </c>
      <c r="F154" t="s">
        <v>45</v>
      </c>
      <c r="G154" t="s">
        <v>35</v>
      </c>
      <c r="H154" t="s">
        <v>40</v>
      </c>
      <c r="I154">
        <v>2</v>
      </c>
      <c r="J154">
        <v>609.66999999999996</v>
      </c>
      <c r="K154">
        <v>37.5</v>
      </c>
      <c r="L154">
        <v>121</v>
      </c>
      <c r="M154">
        <v>408.02</v>
      </c>
      <c r="N154" t="s">
        <v>47</v>
      </c>
      <c r="O154">
        <v>11</v>
      </c>
      <c r="P154">
        <v>1219.3399999999999</v>
      </c>
      <c r="Q154">
        <v>1256.8399999999999</v>
      </c>
      <c r="R154" t="s">
        <v>2054</v>
      </c>
    </row>
    <row r="155" spans="1:18" x14ac:dyDescent="0.25">
      <c r="A155" t="s">
        <v>206</v>
      </c>
      <c r="B155" s="1">
        <v>45008</v>
      </c>
      <c r="C155" s="1">
        <v>45012</v>
      </c>
      <c r="D155" t="s">
        <v>58</v>
      </c>
      <c r="E155" t="s">
        <v>19</v>
      </c>
      <c r="F155" t="s">
        <v>20</v>
      </c>
      <c r="G155" t="s">
        <v>35</v>
      </c>
      <c r="H155" t="s">
        <v>32</v>
      </c>
      <c r="I155">
        <v>8</v>
      </c>
      <c r="J155">
        <v>38.82</v>
      </c>
      <c r="K155">
        <v>8</v>
      </c>
      <c r="L155">
        <v>148</v>
      </c>
      <c r="M155">
        <v>20.85</v>
      </c>
      <c r="N155" t="s">
        <v>23</v>
      </c>
      <c r="O155">
        <v>4</v>
      </c>
      <c r="P155">
        <v>310.56</v>
      </c>
      <c r="Q155">
        <v>318.56</v>
      </c>
      <c r="R155" t="s">
        <v>2054</v>
      </c>
    </row>
    <row r="156" spans="1:18" x14ac:dyDescent="0.25">
      <c r="A156" t="s">
        <v>207</v>
      </c>
      <c r="B156" s="1">
        <v>45008</v>
      </c>
      <c r="C156" s="1">
        <v>45013</v>
      </c>
      <c r="D156" t="s">
        <v>29</v>
      </c>
      <c r="E156" t="s">
        <v>30</v>
      </c>
      <c r="F156" t="s">
        <v>31</v>
      </c>
      <c r="G156" t="s">
        <v>21</v>
      </c>
      <c r="H156" t="s">
        <v>27</v>
      </c>
      <c r="I156">
        <v>2</v>
      </c>
      <c r="J156">
        <v>116.53</v>
      </c>
      <c r="K156">
        <v>12</v>
      </c>
      <c r="L156">
        <v>172</v>
      </c>
      <c r="M156">
        <v>87.22</v>
      </c>
      <c r="N156" t="s">
        <v>23</v>
      </c>
      <c r="O156">
        <v>5</v>
      </c>
      <c r="P156">
        <v>233.06</v>
      </c>
      <c r="Q156">
        <v>245.06</v>
      </c>
      <c r="R156" t="s">
        <v>2054</v>
      </c>
    </row>
    <row r="157" spans="1:18" x14ac:dyDescent="0.25">
      <c r="A157" t="s">
        <v>208</v>
      </c>
      <c r="B157" s="1">
        <v>45009</v>
      </c>
      <c r="C157" s="1">
        <v>45010</v>
      </c>
      <c r="D157" t="s">
        <v>54</v>
      </c>
      <c r="E157" t="s">
        <v>38</v>
      </c>
      <c r="F157" t="s">
        <v>39</v>
      </c>
      <c r="G157" t="s">
        <v>21</v>
      </c>
      <c r="H157" t="s">
        <v>32</v>
      </c>
      <c r="I157">
        <v>2</v>
      </c>
      <c r="J157">
        <v>241.77</v>
      </c>
      <c r="K157">
        <v>75</v>
      </c>
      <c r="L157">
        <v>355</v>
      </c>
      <c r="M157">
        <v>59.21</v>
      </c>
      <c r="N157" t="s">
        <v>23</v>
      </c>
      <c r="O157">
        <v>1</v>
      </c>
      <c r="P157">
        <v>483.54</v>
      </c>
      <c r="Q157">
        <v>558.54</v>
      </c>
      <c r="R157" t="s">
        <v>2054</v>
      </c>
    </row>
    <row r="158" spans="1:18" x14ac:dyDescent="0.25">
      <c r="A158" t="s">
        <v>209</v>
      </c>
      <c r="B158" s="1">
        <v>45009</v>
      </c>
      <c r="C158" s="1">
        <v>45014</v>
      </c>
      <c r="D158" t="s">
        <v>37</v>
      </c>
      <c r="E158" t="s">
        <v>38</v>
      </c>
      <c r="F158" t="s">
        <v>39</v>
      </c>
      <c r="G158" t="s">
        <v>35</v>
      </c>
      <c r="H158" t="s">
        <v>32</v>
      </c>
      <c r="I158">
        <v>1</v>
      </c>
      <c r="J158">
        <v>431.55</v>
      </c>
      <c r="K158">
        <v>75</v>
      </c>
      <c r="L158">
        <v>137</v>
      </c>
      <c r="M158">
        <v>48.81</v>
      </c>
      <c r="N158" t="s">
        <v>23</v>
      </c>
      <c r="O158">
        <v>5</v>
      </c>
      <c r="P158">
        <v>431.55</v>
      </c>
      <c r="Q158">
        <v>506.55</v>
      </c>
      <c r="R158" t="s">
        <v>2054</v>
      </c>
    </row>
    <row r="159" spans="1:18" x14ac:dyDescent="0.25">
      <c r="A159" t="s">
        <v>210</v>
      </c>
      <c r="B159" s="1">
        <v>45010</v>
      </c>
      <c r="C159" s="1">
        <v>45015</v>
      </c>
      <c r="D159" t="s">
        <v>25</v>
      </c>
      <c r="E159" t="s">
        <v>19</v>
      </c>
      <c r="F159" t="s">
        <v>20</v>
      </c>
      <c r="G159" t="s">
        <v>26</v>
      </c>
      <c r="H159" t="s">
        <v>32</v>
      </c>
      <c r="I159">
        <v>10</v>
      </c>
      <c r="J159">
        <v>27.57</v>
      </c>
      <c r="K159">
        <v>8</v>
      </c>
      <c r="L159">
        <v>106</v>
      </c>
      <c r="M159">
        <v>18.05</v>
      </c>
      <c r="N159" t="s">
        <v>23</v>
      </c>
      <c r="O159">
        <v>5</v>
      </c>
      <c r="P159">
        <v>275.7</v>
      </c>
      <c r="Q159">
        <v>283.7</v>
      </c>
      <c r="R159" t="s">
        <v>2054</v>
      </c>
    </row>
    <row r="160" spans="1:18" x14ac:dyDescent="0.25">
      <c r="A160" t="s">
        <v>211</v>
      </c>
      <c r="B160" s="1">
        <v>45011</v>
      </c>
      <c r="C160" s="1">
        <v>45013</v>
      </c>
      <c r="D160" t="s">
        <v>18</v>
      </c>
      <c r="E160" t="s">
        <v>19</v>
      </c>
      <c r="F160" t="s">
        <v>20</v>
      </c>
      <c r="G160" t="s">
        <v>26</v>
      </c>
      <c r="H160" t="s">
        <v>22</v>
      </c>
      <c r="I160">
        <v>12</v>
      </c>
      <c r="J160">
        <v>16.61</v>
      </c>
      <c r="K160">
        <v>8</v>
      </c>
      <c r="L160">
        <v>127</v>
      </c>
      <c r="M160">
        <v>11.95</v>
      </c>
      <c r="N160" t="s">
        <v>23</v>
      </c>
      <c r="O160">
        <v>2</v>
      </c>
      <c r="P160">
        <v>199.32</v>
      </c>
      <c r="Q160">
        <v>207.32</v>
      </c>
      <c r="R160" t="s">
        <v>2054</v>
      </c>
    </row>
    <row r="161" spans="1:18" x14ac:dyDescent="0.25">
      <c r="A161" t="s">
        <v>212</v>
      </c>
      <c r="B161" s="1">
        <v>45012</v>
      </c>
      <c r="C161" s="1">
        <v>45014</v>
      </c>
      <c r="D161" t="s">
        <v>56</v>
      </c>
      <c r="E161" t="s">
        <v>38</v>
      </c>
      <c r="F161" t="s">
        <v>39</v>
      </c>
      <c r="G161" t="s">
        <v>35</v>
      </c>
      <c r="H161" t="s">
        <v>22</v>
      </c>
      <c r="I161">
        <v>2</v>
      </c>
      <c r="J161">
        <v>265.68</v>
      </c>
      <c r="K161">
        <v>75</v>
      </c>
      <c r="L161">
        <v>141</v>
      </c>
      <c r="M161">
        <v>68.77</v>
      </c>
      <c r="N161" t="s">
        <v>23</v>
      </c>
      <c r="O161">
        <v>2</v>
      </c>
      <c r="P161">
        <v>531.36</v>
      </c>
      <c r="Q161">
        <v>606.36</v>
      </c>
      <c r="R161" t="s">
        <v>2054</v>
      </c>
    </row>
    <row r="162" spans="1:18" x14ac:dyDescent="0.25">
      <c r="A162" t="s">
        <v>213</v>
      </c>
      <c r="B162" s="1">
        <v>45012</v>
      </c>
      <c r="C162" s="1">
        <v>45015</v>
      </c>
      <c r="D162" t="s">
        <v>52</v>
      </c>
      <c r="E162" t="s">
        <v>30</v>
      </c>
      <c r="F162" t="s">
        <v>31</v>
      </c>
      <c r="G162" t="s">
        <v>35</v>
      </c>
      <c r="H162" t="s">
        <v>40</v>
      </c>
      <c r="I162">
        <v>3</v>
      </c>
      <c r="J162">
        <v>51.9</v>
      </c>
      <c r="K162">
        <v>18</v>
      </c>
      <c r="L162">
        <v>171</v>
      </c>
      <c r="M162">
        <v>53.28</v>
      </c>
      <c r="N162" t="s">
        <v>23</v>
      </c>
      <c r="O162">
        <v>3</v>
      </c>
      <c r="P162">
        <v>155.69999999999999</v>
      </c>
      <c r="Q162">
        <v>173.7</v>
      </c>
      <c r="R162" t="s">
        <v>2054</v>
      </c>
    </row>
    <row r="163" spans="1:18" x14ac:dyDescent="0.25">
      <c r="A163" t="s">
        <v>214</v>
      </c>
      <c r="B163" s="1">
        <v>45013</v>
      </c>
      <c r="C163" s="1">
        <v>45016</v>
      </c>
      <c r="D163" t="s">
        <v>52</v>
      </c>
      <c r="E163" t="s">
        <v>30</v>
      </c>
      <c r="F163" t="s">
        <v>31</v>
      </c>
      <c r="G163" t="s">
        <v>26</v>
      </c>
      <c r="H163" t="s">
        <v>22</v>
      </c>
      <c r="I163">
        <v>2</v>
      </c>
      <c r="J163">
        <v>110.54</v>
      </c>
      <c r="K163">
        <v>12</v>
      </c>
      <c r="L163">
        <v>373</v>
      </c>
      <c r="M163">
        <v>82.43</v>
      </c>
      <c r="N163" t="s">
        <v>23</v>
      </c>
      <c r="O163">
        <v>3</v>
      </c>
      <c r="P163">
        <v>221.08</v>
      </c>
      <c r="Q163">
        <v>233.08</v>
      </c>
      <c r="R163" t="s">
        <v>2054</v>
      </c>
    </row>
    <row r="164" spans="1:18" x14ac:dyDescent="0.25">
      <c r="A164" t="s">
        <v>215</v>
      </c>
      <c r="B164" s="1">
        <v>45013</v>
      </c>
      <c r="C164" s="1">
        <v>45018</v>
      </c>
      <c r="D164" t="s">
        <v>52</v>
      </c>
      <c r="E164" t="s">
        <v>30</v>
      </c>
      <c r="F164" t="s">
        <v>31</v>
      </c>
      <c r="G164" t="s">
        <v>21</v>
      </c>
      <c r="H164" t="s">
        <v>27</v>
      </c>
      <c r="I164">
        <v>1</v>
      </c>
      <c r="J164">
        <v>35</v>
      </c>
      <c r="K164">
        <v>12</v>
      </c>
      <c r="L164">
        <v>336</v>
      </c>
      <c r="M164">
        <v>8</v>
      </c>
      <c r="N164" t="s">
        <v>23</v>
      </c>
      <c r="O164">
        <v>5</v>
      </c>
      <c r="P164">
        <v>35</v>
      </c>
      <c r="Q164">
        <v>47</v>
      </c>
      <c r="R164" t="s">
        <v>2054</v>
      </c>
    </row>
    <row r="165" spans="1:18" x14ac:dyDescent="0.25">
      <c r="A165" t="s">
        <v>216</v>
      </c>
      <c r="B165" s="1">
        <v>45013</v>
      </c>
      <c r="C165" s="1">
        <v>45015</v>
      </c>
      <c r="D165" t="s">
        <v>52</v>
      </c>
      <c r="E165" t="s">
        <v>30</v>
      </c>
      <c r="F165" t="s">
        <v>31</v>
      </c>
      <c r="G165" t="s">
        <v>21</v>
      </c>
      <c r="H165" t="s">
        <v>32</v>
      </c>
      <c r="I165">
        <v>2</v>
      </c>
      <c r="J165">
        <v>34.86</v>
      </c>
      <c r="K165">
        <v>12</v>
      </c>
      <c r="L165">
        <v>26</v>
      </c>
      <c r="M165">
        <v>21.88</v>
      </c>
      <c r="N165" t="s">
        <v>23</v>
      </c>
      <c r="O165">
        <v>2</v>
      </c>
      <c r="P165">
        <v>69.72</v>
      </c>
      <c r="Q165">
        <v>81.72</v>
      </c>
      <c r="R165" t="s">
        <v>2055</v>
      </c>
    </row>
    <row r="166" spans="1:18" x14ac:dyDescent="0.25">
      <c r="A166" t="s">
        <v>217</v>
      </c>
      <c r="B166" s="1">
        <v>45013</v>
      </c>
      <c r="C166" s="1">
        <v>45018</v>
      </c>
      <c r="D166" t="s">
        <v>34</v>
      </c>
      <c r="E166" t="s">
        <v>30</v>
      </c>
      <c r="F166" t="s">
        <v>31</v>
      </c>
      <c r="G166" t="s">
        <v>21</v>
      </c>
      <c r="H166" t="s">
        <v>22</v>
      </c>
      <c r="I166">
        <v>1</v>
      </c>
      <c r="J166">
        <v>123.06</v>
      </c>
      <c r="K166">
        <v>12</v>
      </c>
      <c r="L166">
        <v>226</v>
      </c>
      <c r="M166">
        <v>43.22</v>
      </c>
      <c r="N166" t="s">
        <v>23</v>
      </c>
      <c r="O166">
        <v>5</v>
      </c>
      <c r="P166">
        <v>123.06</v>
      </c>
      <c r="Q166">
        <v>135.06</v>
      </c>
      <c r="R166" t="s">
        <v>2054</v>
      </c>
    </row>
    <row r="167" spans="1:18" x14ac:dyDescent="0.25">
      <c r="A167" t="s">
        <v>218</v>
      </c>
      <c r="B167" s="1">
        <v>45014</v>
      </c>
      <c r="C167" s="1">
        <v>45015</v>
      </c>
      <c r="D167" t="s">
        <v>25</v>
      </c>
      <c r="E167" t="s">
        <v>19</v>
      </c>
      <c r="F167" t="s">
        <v>20</v>
      </c>
      <c r="G167" t="s">
        <v>21</v>
      </c>
      <c r="H167" t="s">
        <v>27</v>
      </c>
      <c r="I167">
        <v>12</v>
      </c>
      <c r="J167">
        <v>38.94</v>
      </c>
      <c r="K167">
        <v>8</v>
      </c>
      <c r="L167">
        <v>105</v>
      </c>
      <c r="M167">
        <v>33.380000000000003</v>
      </c>
      <c r="N167" t="s">
        <v>23</v>
      </c>
      <c r="O167">
        <v>1</v>
      </c>
      <c r="P167">
        <v>467.28</v>
      </c>
      <c r="Q167">
        <v>475.28</v>
      </c>
      <c r="R167" t="s">
        <v>2054</v>
      </c>
    </row>
    <row r="168" spans="1:18" x14ac:dyDescent="0.25">
      <c r="A168" t="s">
        <v>219</v>
      </c>
      <c r="B168" s="1">
        <v>45014</v>
      </c>
      <c r="C168" s="1">
        <v>45029</v>
      </c>
      <c r="D168" t="s">
        <v>34</v>
      </c>
      <c r="E168" t="s">
        <v>30</v>
      </c>
      <c r="F168" t="s">
        <v>31</v>
      </c>
      <c r="G168" t="s">
        <v>35</v>
      </c>
      <c r="H168" t="s">
        <v>40</v>
      </c>
      <c r="I168">
        <v>3</v>
      </c>
      <c r="J168">
        <v>86.37</v>
      </c>
      <c r="K168">
        <v>18</v>
      </c>
      <c r="L168">
        <v>290</v>
      </c>
      <c r="M168">
        <v>94.65</v>
      </c>
      <c r="N168" t="s">
        <v>47</v>
      </c>
      <c r="O168">
        <v>15</v>
      </c>
      <c r="P168">
        <v>259.11</v>
      </c>
      <c r="Q168">
        <v>277.11</v>
      </c>
      <c r="R168" t="s">
        <v>2054</v>
      </c>
    </row>
    <row r="169" spans="1:18" x14ac:dyDescent="0.25">
      <c r="A169" t="s">
        <v>220</v>
      </c>
      <c r="B169" s="1">
        <v>45015</v>
      </c>
      <c r="C169" s="1">
        <v>45016</v>
      </c>
      <c r="D169" t="s">
        <v>25</v>
      </c>
      <c r="E169" t="s">
        <v>19</v>
      </c>
      <c r="F169" t="s">
        <v>20</v>
      </c>
      <c r="G169" t="s">
        <v>35</v>
      </c>
      <c r="H169" t="s">
        <v>32</v>
      </c>
      <c r="I169">
        <v>13</v>
      </c>
      <c r="J169">
        <v>29.17</v>
      </c>
      <c r="K169">
        <v>8</v>
      </c>
      <c r="L169">
        <v>135</v>
      </c>
      <c r="M169">
        <v>26.34</v>
      </c>
      <c r="N169" t="s">
        <v>23</v>
      </c>
      <c r="O169">
        <v>1</v>
      </c>
      <c r="P169">
        <v>379.21000000000004</v>
      </c>
      <c r="Q169">
        <v>387.21000000000004</v>
      </c>
      <c r="R169" t="s">
        <v>2054</v>
      </c>
    </row>
    <row r="170" spans="1:18" x14ac:dyDescent="0.25">
      <c r="A170" t="s">
        <v>221</v>
      </c>
      <c r="B170" s="1">
        <v>45016</v>
      </c>
      <c r="C170" s="1">
        <v>45028</v>
      </c>
      <c r="D170" t="s">
        <v>52</v>
      </c>
      <c r="E170" t="s">
        <v>30</v>
      </c>
      <c r="F170" t="s">
        <v>31</v>
      </c>
      <c r="G170" t="s">
        <v>35</v>
      </c>
      <c r="H170" t="s">
        <v>22</v>
      </c>
      <c r="I170">
        <v>5</v>
      </c>
      <c r="J170">
        <v>50.1</v>
      </c>
      <c r="K170">
        <v>12</v>
      </c>
      <c r="L170">
        <v>240</v>
      </c>
      <c r="M170">
        <v>94.2</v>
      </c>
      <c r="N170" t="s">
        <v>47</v>
      </c>
      <c r="O170">
        <v>12</v>
      </c>
      <c r="P170">
        <v>250.5</v>
      </c>
      <c r="Q170">
        <v>262.5</v>
      </c>
      <c r="R170" t="s">
        <v>2054</v>
      </c>
    </row>
    <row r="171" spans="1:18" x14ac:dyDescent="0.25">
      <c r="A171" t="s">
        <v>222</v>
      </c>
      <c r="B171" s="1">
        <v>45016</v>
      </c>
      <c r="C171" s="1">
        <v>45019</v>
      </c>
      <c r="D171" t="s">
        <v>25</v>
      </c>
      <c r="E171" t="s">
        <v>19</v>
      </c>
      <c r="F171" t="s">
        <v>20</v>
      </c>
      <c r="G171" t="s">
        <v>26</v>
      </c>
      <c r="H171" t="s">
        <v>27</v>
      </c>
      <c r="I171">
        <v>8</v>
      </c>
      <c r="J171">
        <v>24.98</v>
      </c>
      <c r="K171">
        <v>8</v>
      </c>
      <c r="L171">
        <v>115</v>
      </c>
      <c r="M171">
        <v>11.99</v>
      </c>
      <c r="N171" t="s">
        <v>23</v>
      </c>
      <c r="O171">
        <v>3</v>
      </c>
      <c r="P171">
        <v>199.84</v>
      </c>
      <c r="Q171">
        <v>207.84</v>
      </c>
      <c r="R171" t="s">
        <v>2054</v>
      </c>
    </row>
    <row r="172" spans="1:18" x14ac:dyDescent="0.25">
      <c r="A172" t="s">
        <v>223</v>
      </c>
      <c r="B172" s="1">
        <v>45016</v>
      </c>
      <c r="C172" s="1">
        <v>45017</v>
      </c>
      <c r="D172" t="s">
        <v>56</v>
      </c>
      <c r="E172" t="s">
        <v>38</v>
      </c>
      <c r="F172" t="s">
        <v>39</v>
      </c>
      <c r="G172" t="s">
        <v>21</v>
      </c>
      <c r="H172" t="s">
        <v>32</v>
      </c>
      <c r="I172">
        <v>2</v>
      </c>
      <c r="J172">
        <v>102.13</v>
      </c>
      <c r="K172">
        <v>75</v>
      </c>
      <c r="L172">
        <v>226</v>
      </c>
      <c r="M172">
        <v>3.35</v>
      </c>
      <c r="N172" t="s">
        <v>23</v>
      </c>
      <c r="O172">
        <v>1</v>
      </c>
      <c r="P172">
        <v>204.26</v>
      </c>
      <c r="Q172">
        <v>279.26</v>
      </c>
      <c r="R172" t="s">
        <v>2054</v>
      </c>
    </row>
    <row r="173" spans="1:18" x14ac:dyDescent="0.25">
      <c r="A173" t="s">
        <v>224</v>
      </c>
      <c r="B173" s="1">
        <v>45016</v>
      </c>
      <c r="C173" s="1">
        <v>45033</v>
      </c>
      <c r="D173" t="s">
        <v>29</v>
      </c>
      <c r="E173" t="s">
        <v>30</v>
      </c>
      <c r="F173" t="s">
        <v>31</v>
      </c>
      <c r="G173" t="s">
        <v>35</v>
      </c>
      <c r="H173" t="s">
        <v>22</v>
      </c>
      <c r="I173">
        <v>2</v>
      </c>
      <c r="J173">
        <v>87.74</v>
      </c>
      <c r="K173">
        <v>12</v>
      </c>
      <c r="L173">
        <v>374</v>
      </c>
      <c r="M173">
        <v>64.19</v>
      </c>
      <c r="N173" t="s">
        <v>47</v>
      </c>
      <c r="O173">
        <v>17</v>
      </c>
      <c r="P173">
        <v>175.48</v>
      </c>
      <c r="Q173">
        <v>187.48</v>
      </c>
      <c r="R173" t="s">
        <v>2054</v>
      </c>
    </row>
    <row r="174" spans="1:18" x14ac:dyDescent="0.25">
      <c r="A174" t="s">
        <v>225</v>
      </c>
      <c r="B174" s="1">
        <v>45016</v>
      </c>
      <c r="C174" s="1">
        <v>45018</v>
      </c>
      <c r="D174" t="s">
        <v>75</v>
      </c>
      <c r="E174" t="s">
        <v>44</v>
      </c>
      <c r="F174" t="s">
        <v>45</v>
      </c>
      <c r="G174" t="s">
        <v>21</v>
      </c>
      <c r="H174" t="s">
        <v>40</v>
      </c>
      <c r="I174">
        <v>3</v>
      </c>
      <c r="J174">
        <v>358.68</v>
      </c>
      <c r="K174">
        <v>37.5</v>
      </c>
      <c r="L174">
        <v>296</v>
      </c>
      <c r="M174">
        <v>357.86</v>
      </c>
      <c r="N174" t="s">
        <v>23</v>
      </c>
      <c r="O174">
        <v>2</v>
      </c>
      <c r="P174">
        <v>1076.04</v>
      </c>
      <c r="Q174">
        <v>1113.54</v>
      </c>
      <c r="R174" t="s">
        <v>2054</v>
      </c>
    </row>
    <row r="175" spans="1:18" x14ac:dyDescent="0.25">
      <c r="A175" t="s">
        <v>226</v>
      </c>
      <c r="B175" s="1">
        <v>45017</v>
      </c>
      <c r="C175" s="1">
        <v>45034</v>
      </c>
      <c r="D175" t="s">
        <v>118</v>
      </c>
      <c r="E175" t="s">
        <v>79</v>
      </c>
      <c r="F175" t="s">
        <v>80</v>
      </c>
      <c r="G175" t="s">
        <v>35</v>
      </c>
      <c r="H175" t="s">
        <v>27</v>
      </c>
      <c r="I175">
        <v>2</v>
      </c>
      <c r="J175">
        <v>40.340000000000003</v>
      </c>
      <c r="K175">
        <v>12</v>
      </c>
      <c r="L175">
        <v>286</v>
      </c>
      <c r="M175">
        <v>30.31</v>
      </c>
      <c r="N175" t="s">
        <v>47</v>
      </c>
      <c r="O175">
        <v>17</v>
      </c>
      <c r="P175">
        <v>80.680000000000007</v>
      </c>
      <c r="Q175">
        <v>92.68</v>
      </c>
      <c r="R175" t="s">
        <v>2054</v>
      </c>
    </row>
    <row r="176" spans="1:18" x14ac:dyDescent="0.25">
      <c r="A176" t="s">
        <v>227</v>
      </c>
      <c r="B176" s="1">
        <v>45018</v>
      </c>
      <c r="C176" s="1">
        <v>45022</v>
      </c>
      <c r="D176" t="s">
        <v>78</v>
      </c>
      <c r="E176" t="s">
        <v>79</v>
      </c>
      <c r="F176" t="s">
        <v>80</v>
      </c>
      <c r="G176" t="s">
        <v>35</v>
      </c>
      <c r="H176" t="s">
        <v>32</v>
      </c>
      <c r="I176">
        <v>1</v>
      </c>
      <c r="J176">
        <v>44.43</v>
      </c>
      <c r="K176">
        <v>12</v>
      </c>
      <c r="L176">
        <v>197</v>
      </c>
      <c r="M176">
        <v>13.99</v>
      </c>
      <c r="N176" t="s">
        <v>23</v>
      </c>
      <c r="O176">
        <v>4</v>
      </c>
      <c r="P176">
        <v>44.43</v>
      </c>
      <c r="Q176">
        <v>56.43</v>
      </c>
      <c r="R176" t="s">
        <v>2054</v>
      </c>
    </row>
    <row r="177" spans="1:18" x14ac:dyDescent="0.25">
      <c r="A177" t="s">
        <v>228</v>
      </c>
      <c r="B177" s="1">
        <v>45018</v>
      </c>
      <c r="C177" s="1">
        <v>45023</v>
      </c>
      <c r="D177" t="s">
        <v>34</v>
      </c>
      <c r="E177" t="s">
        <v>30</v>
      </c>
      <c r="F177" t="s">
        <v>31</v>
      </c>
      <c r="G177" t="s">
        <v>21</v>
      </c>
      <c r="H177" t="s">
        <v>32</v>
      </c>
      <c r="I177">
        <v>3</v>
      </c>
      <c r="J177">
        <v>110.01</v>
      </c>
      <c r="K177">
        <v>12</v>
      </c>
      <c r="L177">
        <v>241</v>
      </c>
      <c r="M177">
        <v>126.01</v>
      </c>
      <c r="N177" t="s">
        <v>23</v>
      </c>
      <c r="O177">
        <v>5</v>
      </c>
      <c r="P177">
        <v>330.03000000000003</v>
      </c>
      <c r="Q177">
        <v>342.03000000000003</v>
      </c>
      <c r="R177" t="s">
        <v>2054</v>
      </c>
    </row>
    <row r="178" spans="1:18" x14ac:dyDescent="0.25">
      <c r="A178" t="s">
        <v>229</v>
      </c>
      <c r="B178" s="1">
        <v>45018</v>
      </c>
      <c r="C178" s="1">
        <v>45020</v>
      </c>
      <c r="D178" t="s">
        <v>54</v>
      </c>
      <c r="E178" t="s">
        <v>38</v>
      </c>
      <c r="F178" t="s">
        <v>39</v>
      </c>
      <c r="G178" t="s">
        <v>35</v>
      </c>
      <c r="H178" t="s">
        <v>40</v>
      </c>
      <c r="I178">
        <v>1</v>
      </c>
      <c r="J178">
        <v>211.38</v>
      </c>
      <c r="K178">
        <v>112.5</v>
      </c>
      <c r="L178">
        <v>297</v>
      </c>
      <c r="M178">
        <v>-13.97</v>
      </c>
      <c r="N178" t="s">
        <v>23</v>
      </c>
      <c r="O178">
        <v>2</v>
      </c>
      <c r="P178">
        <v>211.38</v>
      </c>
      <c r="Q178">
        <v>323.88</v>
      </c>
      <c r="R178" t="s">
        <v>2054</v>
      </c>
    </row>
    <row r="179" spans="1:18" x14ac:dyDescent="0.25">
      <c r="A179" t="s">
        <v>230</v>
      </c>
      <c r="B179" s="1">
        <v>45018</v>
      </c>
      <c r="C179" s="1">
        <v>45022</v>
      </c>
      <c r="D179" t="s">
        <v>58</v>
      </c>
      <c r="E179" t="s">
        <v>19</v>
      </c>
      <c r="F179" t="s">
        <v>20</v>
      </c>
      <c r="G179" t="s">
        <v>26</v>
      </c>
      <c r="H179" t="s">
        <v>27</v>
      </c>
      <c r="I179">
        <v>8</v>
      </c>
      <c r="J179">
        <v>17.510000000000002</v>
      </c>
      <c r="K179">
        <v>8</v>
      </c>
      <c r="L179">
        <v>180</v>
      </c>
      <c r="M179">
        <v>7.21</v>
      </c>
      <c r="N179" t="s">
        <v>23</v>
      </c>
      <c r="O179">
        <v>4</v>
      </c>
      <c r="P179">
        <v>140.08000000000001</v>
      </c>
      <c r="Q179">
        <v>148.08000000000001</v>
      </c>
      <c r="R179" t="s">
        <v>2054</v>
      </c>
    </row>
    <row r="180" spans="1:18" x14ac:dyDescent="0.25">
      <c r="A180" t="s">
        <v>231</v>
      </c>
      <c r="B180" s="1">
        <v>45018</v>
      </c>
      <c r="C180" s="1">
        <v>45020</v>
      </c>
      <c r="D180" t="s">
        <v>43</v>
      </c>
      <c r="E180" t="s">
        <v>44</v>
      </c>
      <c r="F180" t="s">
        <v>45</v>
      </c>
      <c r="G180" t="s">
        <v>35</v>
      </c>
      <c r="H180" t="s">
        <v>22</v>
      </c>
      <c r="I180">
        <v>3</v>
      </c>
      <c r="J180">
        <v>615.24</v>
      </c>
      <c r="K180">
        <v>25</v>
      </c>
      <c r="L180">
        <v>335</v>
      </c>
      <c r="M180">
        <v>633.5</v>
      </c>
      <c r="N180" t="s">
        <v>23</v>
      </c>
      <c r="O180">
        <v>2</v>
      </c>
      <c r="P180">
        <v>1845.72</v>
      </c>
      <c r="Q180">
        <v>1870.72</v>
      </c>
      <c r="R180" t="s">
        <v>2054</v>
      </c>
    </row>
    <row r="181" spans="1:18" x14ac:dyDescent="0.25">
      <c r="A181" t="s">
        <v>232</v>
      </c>
      <c r="B181" s="1">
        <v>45019</v>
      </c>
      <c r="C181" s="1">
        <v>45022</v>
      </c>
      <c r="D181" t="s">
        <v>52</v>
      </c>
      <c r="E181" t="s">
        <v>30</v>
      </c>
      <c r="F181" t="s">
        <v>31</v>
      </c>
      <c r="G181" t="s">
        <v>35</v>
      </c>
      <c r="H181" t="s">
        <v>40</v>
      </c>
      <c r="I181">
        <v>5</v>
      </c>
      <c r="J181">
        <v>137.12</v>
      </c>
      <c r="K181">
        <v>18</v>
      </c>
      <c r="L181">
        <v>277</v>
      </c>
      <c r="M181">
        <v>265.25</v>
      </c>
      <c r="N181" t="s">
        <v>23</v>
      </c>
      <c r="O181">
        <v>3</v>
      </c>
      <c r="P181">
        <v>685.6</v>
      </c>
      <c r="Q181">
        <v>703.6</v>
      </c>
      <c r="R181" t="s">
        <v>2054</v>
      </c>
    </row>
    <row r="182" spans="1:18" x14ac:dyDescent="0.25">
      <c r="A182" t="s">
        <v>233</v>
      </c>
      <c r="B182" s="1">
        <v>45019</v>
      </c>
      <c r="C182" s="1">
        <v>45024</v>
      </c>
      <c r="D182" t="s">
        <v>58</v>
      </c>
      <c r="E182" t="s">
        <v>19</v>
      </c>
      <c r="F182" t="s">
        <v>20</v>
      </c>
      <c r="G182" t="s">
        <v>26</v>
      </c>
      <c r="H182" t="s">
        <v>32</v>
      </c>
      <c r="I182">
        <v>14</v>
      </c>
      <c r="J182">
        <v>47.34</v>
      </c>
      <c r="K182">
        <v>8</v>
      </c>
      <c r="L182">
        <v>370</v>
      </c>
      <c r="M182">
        <v>-99.42</v>
      </c>
      <c r="N182" t="s">
        <v>23</v>
      </c>
      <c r="O182">
        <v>5</v>
      </c>
      <c r="P182">
        <v>662.76</v>
      </c>
      <c r="Q182">
        <v>670.76</v>
      </c>
      <c r="R182" t="s">
        <v>2054</v>
      </c>
    </row>
    <row r="183" spans="1:18" x14ac:dyDescent="0.25">
      <c r="A183" t="s">
        <v>234</v>
      </c>
      <c r="B183" s="1">
        <v>45020</v>
      </c>
      <c r="C183" s="1">
        <v>45025</v>
      </c>
      <c r="D183" t="s">
        <v>37</v>
      </c>
      <c r="E183" t="s">
        <v>38</v>
      </c>
      <c r="F183" t="s">
        <v>39</v>
      </c>
      <c r="G183" t="s">
        <v>26</v>
      </c>
      <c r="H183" t="s">
        <v>32</v>
      </c>
      <c r="I183">
        <v>2</v>
      </c>
      <c r="J183">
        <v>439.67</v>
      </c>
      <c r="K183">
        <v>75</v>
      </c>
      <c r="L183">
        <v>323</v>
      </c>
      <c r="M183">
        <v>138.37</v>
      </c>
      <c r="N183" t="s">
        <v>23</v>
      </c>
      <c r="O183">
        <v>5</v>
      </c>
      <c r="P183">
        <v>879.34</v>
      </c>
      <c r="Q183">
        <v>954.34</v>
      </c>
      <c r="R183" t="s">
        <v>2054</v>
      </c>
    </row>
    <row r="184" spans="1:18" x14ac:dyDescent="0.25">
      <c r="A184" t="s">
        <v>235</v>
      </c>
      <c r="B184" s="1">
        <v>45021</v>
      </c>
      <c r="C184" s="1">
        <v>45023</v>
      </c>
      <c r="D184" t="s">
        <v>43</v>
      </c>
      <c r="E184" t="s">
        <v>44</v>
      </c>
      <c r="F184" t="s">
        <v>45</v>
      </c>
      <c r="G184" t="s">
        <v>35</v>
      </c>
      <c r="H184" t="s">
        <v>40</v>
      </c>
      <c r="I184">
        <v>3</v>
      </c>
      <c r="J184">
        <v>906.16</v>
      </c>
      <c r="K184">
        <v>37.5</v>
      </c>
      <c r="L184">
        <v>254</v>
      </c>
      <c r="M184">
        <v>932.72</v>
      </c>
      <c r="N184" t="s">
        <v>23</v>
      </c>
      <c r="O184">
        <v>2</v>
      </c>
      <c r="P184">
        <v>2718.48</v>
      </c>
      <c r="Q184">
        <v>2755.98</v>
      </c>
      <c r="R184" t="s">
        <v>2054</v>
      </c>
    </row>
    <row r="185" spans="1:18" x14ac:dyDescent="0.25">
      <c r="A185" t="s">
        <v>236</v>
      </c>
      <c r="B185" s="1">
        <v>45021</v>
      </c>
      <c r="C185" s="1">
        <v>45025</v>
      </c>
      <c r="D185" t="s">
        <v>58</v>
      </c>
      <c r="E185" t="s">
        <v>19</v>
      </c>
      <c r="F185" t="s">
        <v>20</v>
      </c>
      <c r="G185" t="s">
        <v>35</v>
      </c>
      <c r="H185" t="s">
        <v>32</v>
      </c>
      <c r="I185">
        <v>7</v>
      </c>
      <c r="J185">
        <v>33.24</v>
      </c>
      <c r="K185">
        <v>8</v>
      </c>
      <c r="L185">
        <v>172</v>
      </c>
      <c r="M185">
        <v>14.61</v>
      </c>
      <c r="N185" t="s">
        <v>23</v>
      </c>
      <c r="O185">
        <v>4</v>
      </c>
      <c r="P185">
        <v>232.68</v>
      </c>
      <c r="Q185">
        <v>240.68</v>
      </c>
      <c r="R185" t="s">
        <v>2054</v>
      </c>
    </row>
    <row r="186" spans="1:18" x14ac:dyDescent="0.25">
      <c r="A186" t="s">
        <v>237</v>
      </c>
      <c r="B186" s="1">
        <v>45021</v>
      </c>
      <c r="C186" s="1">
        <v>45025</v>
      </c>
      <c r="D186" t="s">
        <v>78</v>
      </c>
      <c r="E186" t="s">
        <v>79</v>
      </c>
      <c r="F186" t="s">
        <v>80</v>
      </c>
      <c r="G186" t="s">
        <v>35</v>
      </c>
      <c r="H186" t="s">
        <v>22</v>
      </c>
      <c r="I186">
        <v>3</v>
      </c>
      <c r="J186">
        <v>100.41</v>
      </c>
      <c r="K186">
        <v>12</v>
      </c>
      <c r="L186">
        <v>168</v>
      </c>
      <c r="M186">
        <v>129.55000000000001</v>
      </c>
      <c r="N186" t="s">
        <v>23</v>
      </c>
      <c r="O186">
        <v>4</v>
      </c>
      <c r="P186">
        <v>301.23</v>
      </c>
      <c r="Q186">
        <v>313.23</v>
      </c>
      <c r="R186" t="s">
        <v>2054</v>
      </c>
    </row>
    <row r="187" spans="1:18" x14ac:dyDescent="0.25">
      <c r="A187" t="s">
        <v>238</v>
      </c>
      <c r="B187" s="1">
        <v>45021</v>
      </c>
      <c r="C187" s="1">
        <v>45038</v>
      </c>
      <c r="D187" t="s">
        <v>82</v>
      </c>
      <c r="E187" t="s">
        <v>79</v>
      </c>
      <c r="F187" t="s">
        <v>80</v>
      </c>
      <c r="G187" t="s">
        <v>35</v>
      </c>
      <c r="H187" t="s">
        <v>22</v>
      </c>
      <c r="I187">
        <v>3</v>
      </c>
      <c r="J187">
        <v>85.52</v>
      </c>
      <c r="K187">
        <v>12</v>
      </c>
      <c r="L187">
        <v>174</v>
      </c>
      <c r="M187">
        <v>109.45</v>
      </c>
      <c r="N187" t="s">
        <v>47</v>
      </c>
      <c r="O187">
        <v>17</v>
      </c>
      <c r="P187">
        <v>256.56</v>
      </c>
      <c r="Q187">
        <v>268.56</v>
      </c>
      <c r="R187" t="s">
        <v>2054</v>
      </c>
    </row>
    <row r="188" spans="1:18" x14ac:dyDescent="0.25">
      <c r="A188" t="s">
        <v>239</v>
      </c>
      <c r="B188" s="1">
        <v>45022</v>
      </c>
      <c r="C188" s="1">
        <v>45023</v>
      </c>
      <c r="D188" t="s">
        <v>50</v>
      </c>
      <c r="E188" t="s">
        <v>44</v>
      </c>
      <c r="F188" t="s">
        <v>45</v>
      </c>
      <c r="G188" t="s">
        <v>21</v>
      </c>
      <c r="H188" t="s">
        <v>22</v>
      </c>
      <c r="I188">
        <v>1</v>
      </c>
      <c r="J188">
        <v>897.14</v>
      </c>
      <c r="K188">
        <v>25</v>
      </c>
      <c r="L188">
        <v>358</v>
      </c>
      <c r="M188">
        <v>301.5</v>
      </c>
      <c r="N188" t="s">
        <v>23</v>
      </c>
      <c r="O188">
        <v>1</v>
      </c>
      <c r="P188">
        <v>897.14</v>
      </c>
      <c r="Q188">
        <v>922.14</v>
      </c>
      <c r="R188" t="s">
        <v>2054</v>
      </c>
    </row>
    <row r="189" spans="1:18" x14ac:dyDescent="0.25">
      <c r="A189" t="s">
        <v>240</v>
      </c>
      <c r="B189" s="1">
        <v>45022</v>
      </c>
      <c r="C189" s="1">
        <v>45024</v>
      </c>
      <c r="D189" t="s">
        <v>25</v>
      </c>
      <c r="E189" t="s">
        <v>19</v>
      </c>
      <c r="F189" t="s">
        <v>20</v>
      </c>
      <c r="G189" t="s">
        <v>26</v>
      </c>
      <c r="H189" t="s">
        <v>27</v>
      </c>
      <c r="I189">
        <v>5</v>
      </c>
      <c r="J189">
        <v>28.21</v>
      </c>
      <c r="K189">
        <v>8</v>
      </c>
      <c r="L189">
        <v>3</v>
      </c>
      <c r="M189">
        <v>7.28</v>
      </c>
      <c r="N189" t="s">
        <v>23</v>
      </c>
      <c r="O189">
        <v>2</v>
      </c>
      <c r="P189">
        <v>141.05000000000001</v>
      </c>
      <c r="Q189">
        <v>149.05000000000001</v>
      </c>
      <c r="R189" t="s">
        <v>2056</v>
      </c>
    </row>
    <row r="190" spans="1:18" x14ac:dyDescent="0.25">
      <c r="A190" t="s">
        <v>241</v>
      </c>
      <c r="B190" s="1">
        <v>45022</v>
      </c>
      <c r="C190" s="1">
        <v>45024</v>
      </c>
      <c r="D190" t="s">
        <v>58</v>
      </c>
      <c r="E190" t="s">
        <v>19</v>
      </c>
      <c r="F190" t="s">
        <v>20</v>
      </c>
      <c r="G190" t="s">
        <v>26</v>
      </c>
      <c r="H190" t="s">
        <v>27</v>
      </c>
      <c r="I190">
        <v>10</v>
      </c>
      <c r="J190">
        <v>43.53</v>
      </c>
      <c r="K190">
        <v>8</v>
      </c>
      <c r="L190">
        <v>175</v>
      </c>
      <c r="M190">
        <v>30.82</v>
      </c>
      <c r="N190" t="s">
        <v>23</v>
      </c>
      <c r="O190">
        <v>2</v>
      </c>
      <c r="P190">
        <v>435.3</v>
      </c>
      <c r="Q190">
        <v>443.3</v>
      </c>
      <c r="R190" t="s">
        <v>2054</v>
      </c>
    </row>
    <row r="191" spans="1:18" x14ac:dyDescent="0.25">
      <c r="A191" t="s">
        <v>242</v>
      </c>
      <c r="B191" s="1">
        <v>45024</v>
      </c>
      <c r="C191" s="1">
        <v>45038</v>
      </c>
      <c r="D191" t="s">
        <v>34</v>
      </c>
      <c r="E191" t="s">
        <v>30</v>
      </c>
      <c r="F191" t="s">
        <v>31</v>
      </c>
      <c r="G191" t="s">
        <v>35</v>
      </c>
      <c r="H191" t="s">
        <v>40</v>
      </c>
      <c r="I191">
        <v>2</v>
      </c>
      <c r="J191">
        <v>103.54</v>
      </c>
      <c r="K191">
        <v>18</v>
      </c>
      <c r="L191">
        <v>383</v>
      </c>
      <c r="M191">
        <v>73.83</v>
      </c>
      <c r="N191" t="s">
        <v>47</v>
      </c>
      <c r="O191">
        <v>14</v>
      </c>
      <c r="P191">
        <v>207.08</v>
      </c>
      <c r="Q191">
        <v>225.08</v>
      </c>
      <c r="R191" t="s">
        <v>2054</v>
      </c>
    </row>
    <row r="192" spans="1:18" x14ac:dyDescent="0.25">
      <c r="A192" t="s">
        <v>243</v>
      </c>
      <c r="B192" s="1">
        <v>45024</v>
      </c>
      <c r="C192" s="1">
        <v>45029</v>
      </c>
      <c r="D192" t="s">
        <v>72</v>
      </c>
      <c r="E192" t="s">
        <v>44</v>
      </c>
      <c r="F192" t="s">
        <v>45</v>
      </c>
      <c r="G192" t="s">
        <v>21</v>
      </c>
      <c r="H192" t="s">
        <v>40</v>
      </c>
      <c r="I192">
        <v>2</v>
      </c>
      <c r="J192">
        <v>1080.97</v>
      </c>
      <c r="K192">
        <v>37.5</v>
      </c>
      <c r="L192">
        <v>26</v>
      </c>
      <c r="M192">
        <v>737.93</v>
      </c>
      <c r="N192" t="s">
        <v>23</v>
      </c>
      <c r="O192">
        <v>5</v>
      </c>
      <c r="P192">
        <v>2161.94</v>
      </c>
      <c r="Q192">
        <v>2199.44</v>
      </c>
      <c r="R192" t="s">
        <v>2055</v>
      </c>
    </row>
    <row r="193" spans="1:18" x14ac:dyDescent="0.25">
      <c r="A193" t="s">
        <v>244</v>
      </c>
      <c r="B193" s="1">
        <v>45025</v>
      </c>
      <c r="C193" s="1">
        <v>45030</v>
      </c>
      <c r="D193" t="s">
        <v>82</v>
      </c>
      <c r="E193" t="s">
        <v>79</v>
      </c>
      <c r="F193" t="s">
        <v>80</v>
      </c>
      <c r="G193" t="s">
        <v>26</v>
      </c>
      <c r="H193" t="s">
        <v>27</v>
      </c>
      <c r="I193">
        <v>1</v>
      </c>
      <c r="J193">
        <v>124.01</v>
      </c>
      <c r="K193">
        <v>12</v>
      </c>
      <c r="L193">
        <v>231</v>
      </c>
      <c r="M193">
        <v>49.8</v>
      </c>
      <c r="N193" t="s">
        <v>23</v>
      </c>
      <c r="O193">
        <v>5</v>
      </c>
      <c r="P193">
        <v>124.01</v>
      </c>
      <c r="Q193">
        <v>136.01</v>
      </c>
      <c r="R193" t="s">
        <v>2054</v>
      </c>
    </row>
    <row r="194" spans="1:18" x14ac:dyDescent="0.25">
      <c r="A194" t="s">
        <v>245</v>
      </c>
      <c r="B194" s="1">
        <v>45025</v>
      </c>
      <c r="C194" s="1">
        <v>45029</v>
      </c>
      <c r="D194" t="s">
        <v>82</v>
      </c>
      <c r="E194" t="s">
        <v>79</v>
      </c>
      <c r="F194" t="s">
        <v>80</v>
      </c>
      <c r="G194" t="s">
        <v>26</v>
      </c>
      <c r="H194" t="s">
        <v>27</v>
      </c>
      <c r="I194">
        <v>5</v>
      </c>
      <c r="J194">
        <v>80.45</v>
      </c>
      <c r="K194">
        <v>12</v>
      </c>
      <c r="L194">
        <v>295</v>
      </c>
      <c r="M194">
        <v>175.02</v>
      </c>
      <c r="N194" t="s">
        <v>23</v>
      </c>
      <c r="O194">
        <v>4</v>
      </c>
      <c r="P194">
        <v>402.25</v>
      </c>
      <c r="Q194">
        <v>414.25</v>
      </c>
      <c r="R194" t="s">
        <v>2054</v>
      </c>
    </row>
    <row r="195" spans="1:18" x14ac:dyDescent="0.25">
      <c r="A195" t="s">
        <v>246</v>
      </c>
      <c r="B195" s="1">
        <v>45025</v>
      </c>
      <c r="C195" s="1">
        <v>45027</v>
      </c>
      <c r="D195" t="s">
        <v>75</v>
      </c>
      <c r="E195" t="s">
        <v>44</v>
      </c>
      <c r="F195" t="s">
        <v>45</v>
      </c>
      <c r="G195" t="s">
        <v>21</v>
      </c>
      <c r="H195" t="s">
        <v>32</v>
      </c>
      <c r="I195">
        <v>2</v>
      </c>
      <c r="J195">
        <v>1052.55</v>
      </c>
      <c r="K195">
        <v>25</v>
      </c>
      <c r="L195">
        <v>30</v>
      </c>
      <c r="M195">
        <v>724.28</v>
      </c>
      <c r="N195" t="s">
        <v>23</v>
      </c>
      <c r="O195">
        <v>2</v>
      </c>
      <c r="P195">
        <v>2105.1</v>
      </c>
      <c r="Q195">
        <v>2130.1</v>
      </c>
      <c r="R195" t="s">
        <v>2055</v>
      </c>
    </row>
    <row r="196" spans="1:18" x14ac:dyDescent="0.25">
      <c r="A196" t="s">
        <v>247</v>
      </c>
      <c r="B196" s="1">
        <v>45026</v>
      </c>
      <c r="C196" s="1">
        <v>45031</v>
      </c>
      <c r="D196" t="s">
        <v>72</v>
      </c>
      <c r="E196" t="s">
        <v>44</v>
      </c>
      <c r="F196" t="s">
        <v>45</v>
      </c>
      <c r="G196" t="s">
        <v>35</v>
      </c>
      <c r="H196" t="s">
        <v>40</v>
      </c>
      <c r="I196">
        <v>2</v>
      </c>
      <c r="J196">
        <v>255.22</v>
      </c>
      <c r="K196">
        <v>37.5</v>
      </c>
      <c r="L196">
        <v>290</v>
      </c>
      <c r="M196">
        <v>159.91</v>
      </c>
      <c r="N196" t="s">
        <v>23</v>
      </c>
      <c r="O196">
        <v>5</v>
      </c>
      <c r="P196">
        <v>510.44</v>
      </c>
      <c r="Q196">
        <v>547.94000000000005</v>
      </c>
      <c r="R196" t="s">
        <v>2054</v>
      </c>
    </row>
    <row r="197" spans="1:18" x14ac:dyDescent="0.25">
      <c r="A197" t="s">
        <v>248</v>
      </c>
      <c r="B197" s="1">
        <v>45027</v>
      </c>
      <c r="C197" s="1">
        <v>45034</v>
      </c>
      <c r="D197" t="s">
        <v>78</v>
      </c>
      <c r="E197" t="s">
        <v>79</v>
      </c>
      <c r="F197" t="s">
        <v>80</v>
      </c>
      <c r="G197" t="s">
        <v>35</v>
      </c>
      <c r="H197" t="s">
        <v>40</v>
      </c>
      <c r="I197">
        <v>5</v>
      </c>
      <c r="J197">
        <v>123.78</v>
      </c>
      <c r="K197">
        <v>18</v>
      </c>
      <c r="L197">
        <v>79</v>
      </c>
      <c r="M197">
        <v>269.5</v>
      </c>
      <c r="N197" t="s">
        <v>63</v>
      </c>
      <c r="O197">
        <v>7</v>
      </c>
      <c r="P197">
        <v>618.9</v>
      </c>
      <c r="Q197">
        <v>636.9</v>
      </c>
      <c r="R197" t="s">
        <v>2054</v>
      </c>
    </row>
    <row r="198" spans="1:18" x14ac:dyDescent="0.25">
      <c r="A198" t="s">
        <v>249</v>
      </c>
      <c r="B198" s="1">
        <v>45027</v>
      </c>
      <c r="C198" s="1">
        <v>45029</v>
      </c>
      <c r="D198" t="s">
        <v>54</v>
      </c>
      <c r="E198" t="s">
        <v>38</v>
      </c>
      <c r="F198" t="s">
        <v>39</v>
      </c>
      <c r="G198" t="s">
        <v>21</v>
      </c>
      <c r="H198" t="s">
        <v>40</v>
      </c>
      <c r="I198">
        <v>1</v>
      </c>
      <c r="J198">
        <v>423.61</v>
      </c>
      <c r="K198">
        <v>112.5</v>
      </c>
      <c r="L198">
        <v>185</v>
      </c>
      <c r="M198">
        <v>28.47</v>
      </c>
      <c r="N198" t="s">
        <v>23</v>
      </c>
      <c r="O198">
        <v>2</v>
      </c>
      <c r="P198">
        <v>423.61</v>
      </c>
      <c r="Q198">
        <v>536.11</v>
      </c>
      <c r="R198" t="s">
        <v>2054</v>
      </c>
    </row>
    <row r="199" spans="1:18" x14ac:dyDescent="0.25">
      <c r="A199" t="s">
        <v>250</v>
      </c>
      <c r="B199" s="1">
        <v>45028</v>
      </c>
      <c r="C199" s="1">
        <v>45041</v>
      </c>
      <c r="D199" t="s">
        <v>25</v>
      </c>
      <c r="E199" t="s">
        <v>19</v>
      </c>
      <c r="F199" t="s">
        <v>20</v>
      </c>
      <c r="G199" t="s">
        <v>35</v>
      </c>
      <c r="H199" t="s">
        <v>27</v>
      </c>
      <c r="I199">
        <v>10</v>
      </c>
      <c r="J199">
        <v>15.49</v>
      </c>
      <c r="K199">
        <v>8</v>
      </c>
      <c r="L199">
        <v>374</v>
      </c>
      <c r="M199">
        <v>8.39</v>
      </c>
      <c r="N199" t="s">
        <v>47</v>
      </c>
      <c r="O199">
        <v>13</v>
      </c>
      <c r="P199">
        <v>154.9</v>
      </c>
      <c r="Q199">
        <v>162.9</v>
      </c>
      <c r="R199" t="s">
        <v>2054</v>
      </c>
    </row>
    <row r="200" spans="1:18" x14ac:dyDescent="0.25">
      <c r="A200" t="s">
        <v>251</v>
      </c>
      <c r="B200" s="1">
        <v>45028</v>
      </c>
      <c r="C200" s="1">
        <v>45029</v>
      </c>
      <c r="D200" t="s">
        <v>43</v>
      </c>
      <c r="E200" t="s">
        <v>44</v>
      </c>
      <c r="F200" t="s">
        <v>45</v>
      </c>
      <c r="G200" t="s">
        <v>26</v>
      </c>
      <c r="H200" t="s">
        <v>22</v>
      </c>
      <c r="I200">
        <v>2</v>
      </c>
      <c r="J200">
        <v>1022.38</v>
      </c>
      <c r="K200">
        <v>25</v>
      </c>
      <c r="L200">
        <v>245</v>
      </c>
      <c r="M200">
        <v>703.17</v>
      </c>
      <c r="N200" t="s">
        <v>23</v>
      </c>
      <c r="O200">
        <v>1</v>
      </c>
      <c r="P200">
        <v>2044.76</v>
      </c>
      <c r="Q200">
        <v>2069.7600000000002</v>
      </c>
      <c r="R200" t="s">
        <v>2054</v>
      </c>
    </row>
    <row r="201" spans="1:18" x14ac:dyDescent="0.25">
      <c r="A201" t="s">
        <v>252</v>
      </c>
      <c r="B201" s="1">
        <v>45028</v>
      </c>
      <c r="C201" s="1">
        <v>45033</v>
      </c>
      <c r="D201" t="s">
        <v>72</v>
      </c>
      <c r="E201" t="s">
        <v>44</v>
      </c>
      <c r="F201" t="s">
        <v>45</v>
      </c>
      <c r="G201" t="s">
        <v>35</v>
      </c>
      <c r="H201" t="s">
        <v>40</v>
      </c>
      <c r="I201">
        <v>3</v>
      </c>
      <c r="J201">
        <v>977.05</v>
      </c>
      <c r="K201">
        <v>37.5</v>
      </c>
      <c r="L201">
        <v>338</v>
      </c>
      <c r="M201">
        <v>1007.15</v>
      </c>
      <c r="N201" t="s">
        <v>23</v>
      </c>
      <c r="O201">
        <v>5</v>
      </c>
      <c r="P201">
        <v>2931.1499999999996</v>
      </c>
      <c r="Q201">
        <v>2968.6499999999996</v>
      </c>
      <c r="R201" t="s">
        <v>2054</v>
      </c>
    </row>
    <row r="202" spans="1:18" x14ac:dyDescent="0.25">
      <c r="A202" t="s">
        <v>253</v>
      </c>
      <c r="B202" s="1">
        <v>45029</v>
      </c>
      <c r="C202" s="1">
        <v>45032</v>
      </c>
      <c r="D202" t="s">
        <v>82</v>
      </c>
      <c r="E202" t="s">
        <v>79</v>
      </c>
      <c r="F202" t="s">
        <v>80</v>
      </c>
      <c r="G202" t="s">
        <v>26</v>
      </c>
      <c r="H202" t="s">
        <v>22</v>
      </c>
      <c r="I202">
        <v>1</v>
      </c>
      <c r="J202">
        <v>83.62</v>
      </c>
      <c r="K202">
        <v>12</v>
      </c>
      <c r="L202">
        <v>57</v>
      </c>
      <c r="M202">
        <v>31.63</v>
      </c>
      <c r="N202" t="s">
        <v>23</v>
      </c>
      <c r="O202">
        <v>3</v>
      </c>
      <c r="P202">
        <v>83.62</v>
      </c>
      <c r="Q202">
        <v>95.62</v>
      </c>
      <c r="R202" t="s">
        <v>2054</v>
      </c>
    </row>
    <row r="203" spans="1:18" x14ac:dyDescent="0.25">
      <c r="A203" t="s">
        <v>254</v>
      </c>
      <c r="B203" s="1">
        <v>45030</v>
      </c>
      <c r="C203" s="1">
        <v>45031</v>
      </c>
      <c r="D203" t="s">
        <v>58</v>
      </c>
      <c r="E203" t="s">
        <v>19</v>
      </c>
      <c r="F203" t="s">
        <v>20</v>
      </c>
      <c r="G203" t="s">
        <v>35</v>
      </c>
      <c r="H203" t="s">
        <v>40</v>
      </c>
      <c r="I203">
        <v>13</v>
      </c>
      <c r="J203">
        <v>37.94</v>
      </c>
      <c r="K203">
        <v>12</v>
      </c>
      <c r="L203">
        <v>384</v>
      </c>
      <c r="M203">
        <v>33.46</v>
      </c>
      <c r="N203" t="s">
        <v>23</v>
      </c>
      <c r="O203">
        <v>1</v>
      </c>
      <c r="P203">
        <v>493.21999999999997</v>
      </c>
      <c r="Q203">
        <v>505.21999999999997</v>
      </c>
      <c r="R203" t="s">
        <v>2054</v>
      </c>
    </row>
    <row r="204" spans="1:18" x14ac:dyDescent="0.25">
      <c r="A204" t="s">
        <v>255</v>
      </c>
      <c r="B204" s="1">
        <v>45030</v>
      </c>
      <c r="C204" s="1">
        <v>45031</v>
      </c>
      <c r="D204" t="s">
        <v>34</v>
      </c>
      <c r="E204" t="s">
        <v>30</v>
      </c>
      <c r="F204" t="s">
        <v>31</v>
      </c>
      <c r="G204" t="s">
        <v>35</v>
      </c>
      <c r="H204" t="s">
        <v>27</v>
      </c>
      <c r="I204">
        <v>4</v>
      </c>
      <c r="J204">
        <v>103.82</v>
      </c>
      <c r="K204">
        <v>12</v>
      </c>
      <c r="L204">
        <v>91</v>
      </c>
      <c r="M204">
        <v>160.11000000000001</v>
      </c>
      <c r="N204" t="s">
        <v>23</v>
      </c>
      <c r="O204">
        <v>1</v>
      </c>
      <c r="P204">
        <v>415.28</v>
      </c>
      <c r="Q204">
        <v>427.28</v>
      </c>
      <c r="R204" t="s">
        <v>2054</v>
      </c>
    </row>
    <row r="205" spans="1:18" x14ac:dyDescent="0.25">
      <c r="A205" t="s">
        <v>256</v>
      </c>
      <c r="B205" s="1">
        <v>45031</v>
      </c>
      <c r="C205" s="1">
        <v>45033</v>
      </c>
      <c r="D205" t="s">
        <v>56</v>
      </c>
      <c r="E205" t="s">
        <v>38</v>
      </c>
      <c r="F205" t="s">
        <v>39</v>
      </c>
      <c r="G205" t="s">
        <v>21</v>
      </c>
      <c r="H205" t="s">
        <v>40</v>
      </c>
      <c r="I205">
        <v>2</v>
      </c>
      <c r="J205">
        <v>211.46</v>
      </c>
      <c r="K205">
        <v>112.5</v>
      </c>
      <c r="L205">
        <v>265</v>
      </c>
      <c r="M205">
        <v>28.33</v>
      </c>
      <c r="N205" t="s">
        <v>23</v>
      </c>
      <c r="O205">
        <v>2</v>
      </c>
      <c r="P205">
        <v>422.92</v>
      </c>
      <c r="Q205">
        <v>535.42000000000007</v>
      </c>
      <c r="R205" t="s">
        <v>2054</v>
      </c>
    </row>
    <row r="206" spans="1:18" x14ac:dyDescent="0.25">
      <c r="A206" t="s">
        <v>257</v>
      </c>
      <c r="B206" s="1">
        <v>45031</v>
      </c>
      <c r="C206" s="1">
        <v>45034</v>
      </c>
      <c r="D206" t="s">
        <v>78</v>
      </c>
      <c r="E206" t="s">
        <v>79</v>
      </c>
      <c r="F206" t="s">
        <v>80</v>
      </c>
      <c r="G206" t="s">
        <v>35</v>
      </c>
      <c r="H206" t="s">
        <v>27</v>
      </c>
      <c r="I206">
        <v>1</v>
      </c>
      <c r="J206">
        <v>94.26</v>
      </c>
      <c r="K206">
        <v>12</v>
      </c>
      <c r="L206">
        <v>51</v>
      </c>
      <c r="M206">
        <v>36.42</v>
      </c>
      <c r="N206" t="s">
        <v>23</v>
      </c>
      <c r="O206">
        <v>3</v>
      </c>
      <c r="P206">
        <v>94.26</v>
      </c>
      <c r="Q206">
        <v>106.26</v>
      </c>
      <c r="R206" t="s">
        <v>2054</v>
      </c>
    </row>
    <row r="207" spans="1:18" x14ac:dyDescent="0.25">
      <c r="A207" t="s">
        <v>258</v>
      </c>
      <c r="B207" s="1">
        <v>45032</v>
      </c>
      <c r="C207" s="1">
        <v>45037</v>
      </c>
      <c r="D207" t="s">
        <v>82</v>
      </c>
      <c r="E207" t="s">
        <v>79</v>
      </c>
      <c r="F207" t="s">
        <v>80</v>
      </c>
      <c r="G207" t="s">
        <v>35</v>
      </c>
      <c r="H207" t="s">
        <v>40</v>
      </c>
      <c r="I207">
        <v>4</v>
      </c>
      <c r="J207">
        <v>123.47</v>
      </c>
      <c r="K207">
        <v>18</v>
      </c>
      <c r="L207">
        <v>306</v>
      </c>
      <c r="M207">
        <v>213.25</v>
      </c>
      <c r="N207" t="s">
        <v>23</v>
      </c>
      <c r="O207">
        <v>5</v>
      </c>
      <c r="P207">
        <v>493.88</v>
      </c>
      <c r="Q207">
        <v>511.88</v>
      </c>
      <c r="R207" t="s">
        <v>2054</v>
      </c>
    </row>
    <row r="208" spans="1:18" x14ac:dyDescent="0.25">
      <c r="A208" t="s">
        <v>259</v>
      </c>
      <c r="B208" s="1">
        <v>45032</v>
      </c>
      <c r="C208" s="1">
        <v>45039</v>
      </c>
      <c r="D208" t="s">
        <v>50</v>
      </c>
      <c r="E208" t="s">
        <v>44</v>
      </c>
      <c r="F208" t="s">
        <v>45</v>
      </c>
      <c r="G208" t="s">
        <v>35</v>
      </c>
      <c r="H208" t="s">
        <v>40</v>
      </c>
      <c r="I208">
        <v>1</v>
      </c>
      <c r="J208">
        <v>800.28</v>
      </c>
      <c r="K208">
        <v>37.5</v>
      </c>
      <c r="L208">
        <v>224</v>
      </c>
      <c r="M208">
        <v>261.35000000000002</v>
      </c>
      <c r="N208" t="s">
        <v>63</v>
      </c>
      <c r="O208">
        <v>7</v>
      </c>
      <c r="P208">
        <v>800.28</v>
      </c>
      <c r="Q208">
        <v>837.78</v>
      </c>
      <c r="R208" t="s">
        <v>2054</v>
      </c>
    </row>
    <row r="209" spans="1:18" x14ac:dyDescent="0.25">
      <c r="A209" t="s">
        <v>260</v>
      </c>
      <c r="B209" s="1">
        <v>45033</v>
      </c>
      <c r="C209" s="1">
        <v>45038</v>
      </c>
      <c r="D209" t="s">
        <v>34</v>
      </c>
      <c r="E209" t="s">
        <v>30</v>
      </c>
      <c r="F209" t="s">
        <v>31</v>
      </c>
      <c r="G209" t="s">
        <v>35</v>
      </c>
      <c r="H209" t="s">
        <v>40</v>
      </c>
      <c r="I209">
        <v>3</v>
      </c>
      <c r="J209">
        <v>143.31</v>
      </c>
      <c r="K209">
        <v>18</v>
      </c>
      <c r="L209">
        <v>206</v>
      </c>
      <c r="M209">
        <v>162.97</v>
      </c>
      <c r="N209" t="s">
        <v>23</v>
      </c>
      <c r="O209">
        <v>5</v>
      </c>
      <c r="P209">
        <v>429.93</v>
      </c>
      <c r="Q209">
        <v>447.93</v>
      </c>
      <c r="R209" t="s">
        <v>2054</v>
      </c>
    </row>
    <row r="210" spans="1:18" x14ac:dyDescent="0.25">
      <c r="A210" t="s">
        <v>261</v>
      </c>
      <c r="B210" s="1">
        <v>45034</v>
      </c>
      <c r="C210" s="1">
        <v>45036</v>
      </c>
      <c r="D210" t="s">
        <v>34</v>
      </c>
      <c r="E210" t="s">
        <v>30</v>
      </c>
      <c r="F210" t="s">
        <v>31</v>
      </c>
      <c r="G210" t="s">
        <v>26</v>
      </c>
      <c r="H210" t="s">
        <v>27</v>
      </c>
      <c r="I210">
        <v>1</v>
      </c>
      <c r="J210">
        <v>118.86</v>
      </c>
      <c r="K210">
        <v>12</v>
      </c>
      <c r="L210">
        <v>32</v>
      </c>
      <c r="M210">
        <v>41.54</v>
      </c>
      <c r="N210" t="s">
        <v>23</v>
      </c>
      <c r="O210">
        <v>2</v>
      </c>
      <c r="P210">
        <v>118.86</v>
      </c>
      <c r="Q210">
        <v>130.86000000000001</v>
      </c>
      <c r="R210" t="s">
        <v>2055</v>
      </c>
    </row>
    <row r="211" spans="1:18" x14ac:dyDescent="0.25">
      <c r="A211" t="s">
        <v>262</v>
      </c>
      <c r="B211" s="1">
        <v>45035</v>
      </c>
      <c r="C211" s="1">
        <v>45038</v>
      </c>
      <c r="D211" t="s">
        <v>37</v>
      </c>
      <c r="E211" t="s">
        <v>38</v>
      </c>
      <c r="F211" t="s">
        <v>39</v>
      </c>
      <c r="G211" t="s">
        <v>21</v>
      </c>
      <c r="H211" t="s">
        <v>32</v>
      </c>
      <c r="I211">
        <v>1</v>
      </c>
      <c r="J211">
        <v>112.19</v>
      </c>
      <c r="K211">
        <v>75</v>
      </c>
      <c r="L211">
        <v>356</v>
      </c>
      <c r="M211">
        <v>-15.06</v>
      </c>
      <c r="N211" t="s">
        <v>23</v>
      </c>
      <c r="O211">
        <v>3</v>
      </c>
      <c r="P211">
        <v>112.19</v>
      </c>
      <c r="Q211">
        <v>187.19</v>
      </c>
      <c r="R211" t="s">
        <v>2054</v>
      </c>
    </row>
    <row r="212" spans="1:18" x14ac:dyDescent="0.25">
      <c r="A212" t="s">
        <v>263</v>
      </c>
      <c r="B212" s="1">
        <v>45035</v>
      </c>
      <c r="C212" s="1">
        <v>45036</v>
      </c>
      <c r="D212" t="s">
        <v>58</v>
      </c>
      <c r="E212" t="s">
        <v>19</v>
      </c>
      <c r="F212" t="s">
        <v>20</v>
      </c>
      <c r="G212" t="s">
        <v>35</v>
      </c>
      <c r="H212" t="s">
        <v>32</v>
      </c>
      <c r="I212">
        <v>8</v>
      </c>
      <c r="J212">
        <v>14.94</v>
      </c>
      <c r="K212">
        <v>8</v>
      </c>
      <c r="L212">
        <v>156</v>
      </c>
      <c r="M212">
        <v>5.56</v>
      </c>
      <c r="N212" t="s">
        <v>23</v>
      </c>
      <c r="O212">
        <v>1</v>
      </c>
      <c r="P212">
        <v>119.52</v>
      </c>
      <c r="Q212">
        <v>127.52</v>
      </c>
      <c r="R212" t="s">
        <v>2054</v>
      </c>
    </row>
    <row r="213" spans="1:18" x14ac:dyDescent="0.25">
      <c r="A213" t="s">
        <v>264</v>
      </c>
      <c r="B213" s="1">
        <v>45037</v>
      </c>
      <c r="C213" s="1">
        <v>45051</v>
      </c>
      <c r="D213" t="s">
        <v>18</v>
      </c>
      <c r="E213" t="s">
        <v>19</v>
      </c>
      <c r="F213" t="s">
        <v>20</v>
      </c>
      <c r="G213" t="s">
        <v>35</v>
      </c>
      <c r="H213" t="s">
        <v>40</v>
      </c>
      <c r="I213">
        <v>13</v>
      </c>
      <c r="J213">
        <v>40.94</v>
      </c>
      <c r="K213">
        <v>12</v>
      </c>
      <c r="L213">
        <v>209</v>
      </c>
      <c r="M213">
        <v>36.57</v>
      </c>
      <c r="N213" t="s">
        <v>47</v>
      </c>
      <c r="O213">
        <v>14</v>
      </c>
      <c r="P213">
        <v>532.22</v>
      </c>
      <c r="Q213">
        <v>544.22</v>
      </c>
      <c r="R213" t="s">
        <v>2054</v>
      </c>
    </row>
    <row r="214" spans="1:18" x14ac:dyDescent="0.25">
      <c r="A214" t="s">
        <v>265</v>
      </c>
      <c r="B214" s="1">
        <v>45037</v>
      </c>
      <c r="C214" s="1">
        <v>45046</v>
      </c>
      <c r="D214" t="s">
        <v>50</v>
      </c>
      <c r="E214" t="s">
        <v>44</v>
      </c>
      <c r="F214" t="s">
        <v>45</v>
      </c>
      <c r="G214" t="s">
        <v>35</v>
      </c>
      <c r="H214" t="s">
        <v>40</v>
      </c>
      <c r="I214">
        <v>2</v>
      </c>
      <c r="J214">
        <v>972.77</v>
      </c>
      <c r="K214">
        <v>37.5</v>
      </c>
      <c r="L214">
        <v>360</v>
      </c>
      <c r="M214">
        <v>662.19</v>
      </c>
      <c r="N214" t="s">
        <v>63</v>
      </c>
      <c r="O214">
        <v>9</v>
      </c>
      <c r="P214">
        <v>1945.54</v>
      </c>
      <c r="Q214">
        <v>1983.04</v>
      </c>
      <c r="R214" t="s">
        <v>2054</v>
      </c>
    </row>
    <row r="215" spans="1:18" x14ac:dyDescent="0.25">
      <c r="A215" t="s">
        <v>266</v>
      </c>
      <c r="B215" s="1">
        <v>45037</v>
      </c>
      <c r="C215" s="1">
        <v>45040</v>
      </c>
      <c r="D215" t="s">
        <v>52</v>
      </c>
      <c r="E215" t="s">
        <v>30</v>
      </c>
      <c r="F215" t="s">
        <v>31</v>
      </c>
      <c r="G215" t="s">
        <v>26</v>
      </c>
      <c r="H215" t="s">
        <v>27</v>
      </c>
      <c r="I215">
        <v>1</v>
      </c>
      <c r="J215">
        <v>64.86</v>
      </c>
      <c r="K215">
        <v>12</v>
      </c>
      <c r="L215">
        <v>82</v>
      </c>
      <c r="M215">
        <v>19.940000000000001</v>
      </c>
      <c r="N215" t="s">
        <v>23</v>
      </c>
      <c r="O215">
        <v>3</v>
      </c>
      <c r="P215">
        <v>64.86</v>
      </c>
      <c r="Q215">
        <v>76.86</v>
      </c>
      <c r="R215" t="s">
        <v>2054</v>
      </c>
    </row>
    <row r="216" spans="1:18" x14ac:dyDescent="0.25">
      <c r="A216" t="s">
        <v>267</v>
      </c>
      <c r="B216" s="1">
        <v>45037</v>
      </c>
      <c r="C216" s="1">
        <v>45044</v>
      </c>
      <c r="D216" t="s">
        <v>58</v>
      </c>
      <c r="E216" t="s">
        <v>19</v>
      </c>
      <c r="F216" t="s">
        <v>20</v>
      </c>
      <c r="G216" t="s">
        <v>35</v>
      </c>
      <c r="H216" t="s">
        <v>27</v>
      </c>
      <c r="I216">
        <v>6</v>
      </c>
      <c r="J216">
        <v>17.690000000000001</v>
      </c>
      <c r="K216">
        <v>8</v>
      </c>
      <c r="L216">
        <v>263</v>
      </c>
      <c r="M216">
        <v>4.49</v>
      </c>
      <c r="N216" t="s">
        <v>63</v>
      </c>
      <c r="O216">
        <v>7</v>
      </c>
      <c r="P216">
        <v>106.14000000000001</v>
      </c>
      <c r="Q216">
        <v>114.14000000000001</v>
      </c>
      <c r="R216" t="s">
        <v>2054</v>
      </c>
    </row>
    <row r="217" spans="1:18" x14ac:dyDescent="0.25">
      <c r="A217" t="s">
        <v>268</v>
      </c>
      <c r="B217" s="1">
        <v>45039</v>
      </c>
      <c r="C217" s="1">
        <v>45053</v>
      </c>
      <c r="D217" t="s">
        <v>56</v>
      </c>
      <c r="E217" t="s">
        <v>38</v>
      </c>
      <c r="F217" t="s">
        <v>39</v>
      </c>
      <c r="G217" t="s">
        <v>35</v>
      </c>
      <c r="H217" t="s">
        <v>32</v>
      </c>
      <c r="I217">
        <v>1</v>
      </c>
      <c r="J217">
        <v>382.5</v>
      </c>
      <c r="K217">
        <v>75</v>
      </c>
      <c r="L217">
        <v>102</v>
      </c>
      <c r="M217">
        <v>39</v>
      </c>
      <c r="N217" t="s">
        <v>47</v>
      </c>
      <c r="O217">
        <v>14</v>
      </c>
      <c r="P217">
        <v>382.5</v>
      </c>
      <c r="Q217">
        <v>457.5</v>
      </c>
      <c r="R217" t="s">
        <v>2054</v>
      </c>
    </row>
    <row r="218" spans="1:18" x14ac:dyDescent="0.25">
      <c r="A218" t="s">
        <v>269</v>
      </c>
      <c r="B218" s="1">
        <v>45039</v>
      </c>
      <c r="C218" s="1">
        <v>45041</v>
      </c>
      <c r="D218" t="s">
        <v>54</v>
      </c>
      <c r="E218" t="s">
        <v>38</v>
      </c>
      <c r="F218" t="s">
        <v>39</v>
      </c>
      <c r="G218" t="s">
        <v>35</v>
      </c>
      <c r="H218" t="s">
        <v>32</v>
      </c>
      <c r="I218">
        <v>1</v>
      </c>
      <c r="J218">
        <v>496.68</v>
      </c>
      <c r="K218">
        <v>75</v>
      </c>
      <c r="L218">
        <v>227</v>
      </c>
      <c r="M218">
        <v>61.84</v>
      </c>
      <c r="N218" t="s">
        <v>23</v>
      </c>
      <c r="O218">
        <v>2</v>
      </c>
      <c r="P218">
        <v>496.68</v>
      </c>
      <c r="Q218">
        <v>571.68000000000006</v>
      </c>
      <c r="R218" t="s">
        <v>2054</v>
      </c>
    </row>
    <row r="219" spans="1:18" x14ac:dyDescent="0.25">
      <c r="A219" t="s">
        <v>270</v>
      </c>
      <c r="B219" s="1">
        <v>45039</v>
      </c>
      <c r="C219" s="1">
        <v>45053</v>
      </c>
      <c r="D219" t="s">
        <v>72</v>
      </c>
      <c r="E219" t="s">
        <v>44</v>
      </c>
      <c r="F219" t="s">
        <v>45</v>
      </c>
      <c r="G219" t="s">
        <v>35</v>
      </c>
      <c r="H219" t="s">
        <v>40</v>
      </c>
      <c r="I219">
        <v>3</v>
      </c>
      <c r="J219">
        <v>472.95</v>
      </c>
      <c r="K219">
        <v>37.5</v>
      </c>
      <c r="L219">
        <v>44</v>
      </c>
      <c r="M219">
        <v>477.85</v>
      </c>
      <c r="N219" t="s">
        <v>47</v>
      </c>
      <c r="O219">
        <v>14</v>
      </c>
      <c r="P219">
        <v>1418.85</v>
      </c>
      <c r="Q219">
        <v>1456.35</v>
      </c>
      <c r="R219" t="s">
        <v>2055</v>
      </c>
    </row>
    <row r="220" spans="1:18" x14ac:dyDescent="0.25">
      <c r="A220" t="s">
        <v>271</v>
      </c>
      <c r="B220" s="1">
        <v>45040</v>
      </c>
      <c r="C220" s="1">
        <v>45055</v>
      </c>
      <c r="D220" t="s">
        <v>34</v>
      </c>
      <c r="E220" t="s">
        <v>30</v>
      </c>
      <c r="F220" t="s">
        <v>31</v>
      </c>
      <c r="G220" t="s">
        <v>35</v>
      </c>
      <c r="H220" t="s">
        <v>27</v>
      </c>
      <c r="I220">
        <v>5</v>
      </c>
      <c r="J220">
        <v>43.04</v>
      </c>
      <c r="K220">
        <v>12</v>
      </c>
      <c r="L220">
        <v>302</v>
      </c>
      <c r="M220">
        <v>80.069999999999993</v>
      </c>
      <c r="N220" t="s">
        <v>47</v>
      </c>
      <c r="O220">
        <v>15</v>
      </c>
      <c r="P220">
        <v>215.2</v>
      </c>
      <c r="Q220">
        <v>227.2</v>
      </c>
      <c r="R220" t="s">
        <v>2054</v>
      </c>
    </row>
    <row r="221" spans="1:18" x14ac:dyDescent="0.25">
      <c r="A221" t="s">
        <v>272</v>
      </c>
      <c r="B221" s="1">
        <v>45040</v>
      </c>
      <c r="C221" s="1">
        <v>45041</v>
      </c>
      <c r="D221" t="s">
        <v>58</v>
      </c>
      <c r="E221" t="s">
        <v>19</v>
      </c>
      <c r="F221" t="s">
        <v>20</v>
      </c>
      <c r="G221" t="s">
        <v>35</v>
      </c>
      <c r="H221" t="s">
        <v>22</v>
      </c>
      <c r="I221">
        <v>8</v>
      </c>
      <c r="J221">
        <v>45.38</v>
      </c>
      <c r="K221">
        <v>8</v>
      </c>
      <c r="L221">
        <v>195</v>
      </c>
      <c r="M221">
        <v>25.05</v>
      </c>
      <c r="N221" t="s">
        <v>23</v>
      </c>
      <c r="O221">
        <v>1</v>
      </c>
      <c r="P221">
        <v>363.04</v>
      </c>
      <c r="Q221">
        <v>371.04</v>
      </c>
      <c r="R221" t="s">
        <v>2054</v>
      </c>
    </row>
    <row r="222" spans="1:18" x14ac:dyDescent="0.25">
      <c r="A222" t="s">
        <v>273</v>
      </c>
      <c r="B222" s="1">
        <v>45040</v>
      </c>
      <c r="C222" s="1">
        <v>45045</v>
      </c>
      <c r="D222" t="s">
        <v>18</v>
      </c>
      <c r="E222" t="s">
        <v>19</v>
      </c>
      <c r="F222" t="s">
        <v>20</v>
      </c>
      <c r="G222" t="s">
        <v>21</v>
      </c>
      <c r="H222" t="s">
        <v>32</v>
      </c>
      <c r="I222">
        <v>8</v>
      </c>
      <c r="J222">
        <v>44.53</v>
      </c>
      <c r="K222">
        <v>8</v>
      </c>
      <c r="L222">
        <v>391</v>
      </c>
      <c r="M222">
        <v>24.5</v>
      </c>
      <c r="N222" t="s">
        <v>23</v>
      </c>
      <c r="O222">
        <v>5</v>
      </c>
      <c r="P222">
        <v>356.24</v>
      </c>
      <c r="Q222">
        <v>364.24</v>
      </c>
      <c r="R222" t="s">
        <v>2054</v>
      </c>
    </row>
    <row r="223" spans="1:18" x14ac:dyDescent="0.25">
      <c r="A223" t="s">
        <v>274</v>
      </c>
      <c r="B223" s="1">
        <v>45041</v>
      </c>
      <c r="C223" s="1">
        <v>45054</v>
      </c>
      <c r="D223" t="s">
        <v>34</v>
      </c>
      <c r="E223" t="s">
        <v>30</v>
      </c>
      <c r="F223" t="s">
        <v>31</v>
      </c>
      <c r="G223" t="s">
        <v>35</v>
      </c>
      <c r="H223" t="s">
        <v>40</v>
      </c>
      <c r="I223">
        <v>1</v>
      </c>
      <c r="J223">
        <v>102.19</v>
      </c>
      <c r="K223">
        <v>18</v>
      </c>
      <c r="L223">
        <v>89</v>
      </c>
      <c r="M223">
        <v>31.88</v>
      </c>
      <c r="N223" t="s">
        <v>47</v>
      </c>
      <c r="O223">
        <v>13</v>
      </c>
      <c r="P223">
        <v>102.19</v>
      </c>
      <c r="Q223">
        <v>120.19</v>
      </c>
      <c r="R223" t="s">
        <v>2054</v>
      </c>
    </row>
    <row r="224" spans="1:18" x14ac:dyDescent="0.25">
      <c r="A224" t="s">
        <v>275</v>
      </c>
      <c r="B224" s="1">
        <v>45041</v>
      </c>
      <c r="C224" s="1">
        <v>45042</v>
      </c>
      <c r="D224" t="s">
        <v>25</v>
      </c>
      <c r="E224" t="s">
        <v>19</v>
      </c>
      <c r="F224" t="s">
        <v>20</v>
      </c>
      <c r="G224" t="s">
        <v>26</v>
      </c>
      <c r="H224" t="s">
        <v>32</v>
      </c>
      <c r="I224">
        <v>7</v>
      </c>
      <c r="J224">
        <v>30.93</v>
      </c>
      <c r="K224">
        <v>8</v>
      </c>
      <c r="L224">
        <v>199</v>
      </c>
      <c r="M224">
        <v>13.32</v>
      </c>
      <c r="N224" t="s">
        <v>23</v>
      </c>
      <c r="O224">
        <v>1</v>
      </c>
      <c r="P224">
        <v>216.51</v>
      </c>
      <c r="Q224">
        <v>224.51</v>
      </c>
      <c r="R224" t="s">
        <v>2054</v>
      </c>
    </row>
    <row r="225" spans="1:18" x14ac:dyDescent="0.25">
      <c r="A225" t="s">
        <v>276</v>
      </c>
      <c r="B225" s="1">
        <v>45042</v>
      </c>
      <c r="C225" s="1">
        <v>45059</v>
      </c>
      <c r="D225" t="s">
        <v>43</v>
      </c>
      <c r="E225" t="s">
        <v>44</v>
      </c>
      <c r="F225" t="s">
        <v>45</v>
      </c>
      <c r="G225" t="s">
        <v>35</v>
      </c>
      <c r="H225" t="s">
        <v>40</v>
      </c>
      <c r="I225">
        <v>3</v>
      </c>
      <c r="J225">
        <v>776.86</v>
      </c>
      <c r="K225">
        <v>37.5</v>
      </c>
      <c r="L225">
        <v>256</v>
      </c>
      <c r="M225">
        <v>796.95</v>
      </c>
      <c r="N225" t="s">
        <v>47</v>
      </c>
      <c r="O225">
        <v>17</v>
      </c>
      <c r="P225">
        <v>2330.58</v>
      </c>
      <c r="Q225">
        <v>2368.08</v>
      </c>
      <c r="R225" t="s">
        <v>2054</v>
      </c>
    </row>
    <row r="226" spans="1:18" x14ac:dyDescent="0.25">
      <c r="A226" t="s">
        <v>277</v>
      </c>
      <c r="B226" s="1">
        <v>45042</v>
      </c>
      <c r="C226" s="1">
        <v>45047</v>
      </c>
      <c r="D226" t="s">
        <v>34</v>
      </c>
      <c r="E226" t="s">
        <v>30</v>
      </c>
      <c r="F226" t="s">
        <v>31</v>
      </c>
      <c r="G226" t="s">
        <v>26</v>
      </c>
      <c r="H226" t="s">
        <v>27</v>
      </c>
      <c r="I226">
        <v>4</v>
      </c>
      <c r="J226">
        <v>132.25</v>
      </c>
      <c r="K226">
        <v>12</v>
      </c>
      <c r="L226">
        <v>109</v>
      </c>
      <c r="M226">
        <v>205.6</v>
      </c>
      <c r="N226" t="s">
        <v>23</v>
      </c>
      <c r="O226">
        <v>5</v>
      </c>
      <c r="P226">
        <v>529</v>
      </c>
      <c r="Q226">
        <v>541</v>
      </c>
      <c r="R226" t="s">
        <v>2054</v>
      </c>
    </row>
    <row r="227" spans="1:18" x14ac:dyDescent="0.25">
      <c r="A227" t="s">
        <v>278</v>
      </c>
      <c r="B227" s="1">
        <v>45043</v>
      </c>
      <c r="C227" s="1">
        <v>45048</v>
      </c>
      <c r="D227" t="s">
        <v>34</v>
      </c>
      <c r="E227" t="s">
        <v>30</v>
      </c>
      <c r="F227" t="s">
        <v>31</v>
      </c>
      <c r="G227" t="s">
        <v>21</v>
      </c>
      <c r="H227" t="s">
        <v>40</v>
      </c>
      <c r="I227">
        <v>1</v>
      </c>
      <c r="J227">
        <v>75.06</v>
      </c>
      <c r="K227">
        <v>18</v>
      </c>
      <c r="L227">
        <v>205</v>
      </c>
      <c r="M227">
        <v>-11.26</v>
      </c>
      <c r="N227" t="s">
        <v>23</v>
      </c>
      <c r="O227">
        <v>5</v>
      </c>
      <c r="P227">
        <v>75.06</v>
      </c>
      <c r="Q227">
        <v>93.06</v>
      </c>
      <c r="R227" t="s">
        <v>2054</v>
      </c>
    </row>
    <row r="228" spans="1:18" x14ac:dyDescent="0.25">
      <c r="A228" t="s">
        <v>279</v>
      </c>
      <c r="B228" s="1">
        <v>45043</v>
      </c>
      <c r="C228" s="1">
        <v>45059</v>
      </c>
      <c r="D228" t="s">
        <v>75</v>
      </c>
      <c r="E228" t="s">
        <v>44</v>
      </c>
      <c r="F228" t="s">
        <v>45</v>
      </c>
      <c r="G228" t="s">
        <v>35</v>
      </c>
      <c r="H228" t="s">
        <v>40</v>
      </c>
      <c r="I228">
        <v>3</v>
      </c>
      <c r="J228">
        <v>892.01</v>
      </c>
      <c r="K228">
        <v>37.5</v>
      </c>
      <c r="L228">
        <v>120</v>
      </c>
      <c r="M228">
        <v>917.86</v>
      </c>
      <c r="N228" t="s">
        <v>47</v>
      </c>
      <c r="O228">
        <v>16</v>
      </c>
      <c r="P228">
        <v>2676.0299999999997</v>
      </c>
      <c r="Q228">
        <v>2713.5299999999997</v>
      </c>
      <c r="R228" t="s">
        <v>2054</v>
      </c>
    </row>
    <row r="229" spans="1:18" x14ac:dyDescent="0.25">
      <c r="A229" t="s">
        <v>280</v>
      </c>
      <c r="B229" s="1">
        <v>45043</v>
      </c>
      <c r="C229" s="1">
        <v>45044</v>
      </c>
      <c r="D229" t="s">
        <v>54</v>
      </c>
      <c r="E229" t="s">
        <v>38</v>
      </c>
      <c r="F229" t="s">
        <v>39</v>
      </c>
      <c r="G229" t="s">
        <v>21</v>
      </c>
      <c r="H229" t="s">
        <v>32</v>
      </c>
      <c r="I229">
        <v>1</v>
      </c>
      <c r="J229">
        <v>290.94</v>
      </c>
      <c r="K229">
        <v>75</v>
      </c>
      <c r="L229">
        <v>209</v>
      </c>
      <c r="M229">
        <v>20.69</v>
      </c>
      <c r="N229" t="s">
        <v>23</v>
      </c>
      <c r="O229">
        <v>1</v>
      </c>
      <c r="P229">
        <v>290.94</v>
      </c>
      <c r="Q229">
        <v>365.94</v>
      </c>
      <c r="R229" t="s">
        <v>2054</v>
      </c>
    </row>
    <row r="230" spans="1:18" x14ac:dyDescent="0.25">
      <c r="A230" t="s">
        <v>281</v>
      </c>
      <c r="B230" s="1">
        <v>45044</v>
      </c>
      <c r="C230" s="1">
        <v>45049</v>
      </c>
      <c r="D230" t="s">
        <v>56</v>
      </c>
      <c r="E230" t="s">
        <v>38</v>
      </c>
      <c r="F230" t="s">
        <v>39</v>
      </c>
      <c r="G230" t="s">
        <v>35</v>
      </c>
      <c r="H230" t="s">
        <v>40</v>
      </c>
      <c r="I230">
        <v>1</v>
      </c>
      <c r="J230">
        <v>243.33</v>
      </c>
      <c r="K230">
        <v>112.5</v>
      </c>
      <c r="L230">
        <v>385</v>
      </c>
      <c r="M230">
        <v>-7.58</v>
      </c>
      <c r="N230" t="s">
        <v>23</v>
      </c>
      <c r="O230">
        <v>5</v>
      </c>
      <c r="P230">
        <v>243.33</v>
      </c>
      <c r="Q230">
        <v>355.83000000000004</v>
      </c>
      <c r="R230" t="s">
        <v>2054</v>
      </c>
    </row>
    <row r="231" spans="1:18" x14ac:dyDescent="0.25">
      <c r="A231" t="s">
        <v>282</v>
      </c>
      <c r="B231" s="1">
        <v>45044</v>
      </c>
      <c r="C231" s="1">
        <v>45045</v>
      </c>
      <c r="D231" t="s">
        <v>18</v>
      </c>
      <c r="E231" t="s">
        <v>19</v>
      </c>
      <c r="F231" t="s">
        <v>20</v>
      </c>
      <c r="G231" t="s">
        <v>26</v>
      </c>
      <c r="H231" t="s">
        <v>27</v>
      </c>
      <c r="I231">
        <v>10</v>
      </c>
      <c r="J231">
        <v>18.170000000000002</v>
      </c>
      <c r="K231">
        <v>8</v>
      </c>
      <c r="L231">
        <v>6</v>
      </c>
      <c r="M231">
        <v>10.54</v>
      </c>
      <c r="N231" t="s">
        <v>23</v>
      </c>
      <c r="O231">
        <v>1</v>
      </c>
      <c r="P231">
        <v>181.70000000000002</v>
      </c>
      <c r="Q231">
        <v>189.70000000000002</v>
      </c>
      <c r="R231" t="s">
        <v>2056</v>
      </c>
    </row>
    <row r="232" spans="1:18" x14ac:dyDescent="0.25">
      <c r="A232" t="s">
        <v>283</v>
      </c>
      <c r="B232" s="1">
        <v>45045</v>
      </c>
      <c r="C232" s="1">
        <v>45058</v>
      </c>
      <c r="D232" t="s">
        <v>25</v>
      </c>
      <c r="E232" t="s">
        <v>19</v>
      </c>
      <c r="F232" t="s">
        <v>20</v>
      </c>
      <c r="G232" t="s">
        <v>35</v>
      </c>
      <c r="H232" t="s">
        <v>32</v>
      </c>
      <c r="I232">
        <v>6</v>
      </c>
      <c r="J232">
        <v>16.45</v>
      </c>
      <c r="K232">
        <v>8</v>
      </c>
      <c r="L232">
        <v>33</v>
      </c>
      <c r="M232">
        <v>3.9</v>
      </c>
      <c r="N232" t="s">
        <v>47</v>
      </c>
      <c r="O232">
        <v>13</v>
      </c>
      <c r="P232">
        <v>98.699999999999989</v>
      </c>
      <c r="Q232">
        <v>106.69999999999999</v>
      </c>
      <c r="R232" t="s">
        <v>2055</v>
      </c>
    </row>
    <row r="233" spans="1:18" x14ac:dyDescent="0.25">
      <c r="A233" t="s">
        <v>284</v>
      </c>
      <c r="B233" s="1">
        <v>45045</v>
      </c>
      <c r="C233" s="1">
        <v>45047</v>
      </c>
      <c r="D233" t="s">
        <v>52</v>
      </c>
      <c r="E233" t="s">
        <v>30</v>
      </c>
      <c r="F233" t="s">
        <v>31</v>
      </c>
      <c r="G233" t="s">
        <v>26</v>
      </c>
      <c r="H233" t="s">
        <v>27</v>
      </c>
      <c r="I233">
        <v>3</v>
      </c>
      <c r="J233">
        <v>29.98</v>
      </c>
      <c r="K233">
        <v>12</v>
      </c>
      <c r="L233">
        <v>182</v>
      </c>
      <c r="M233">
        <v>29.98</v>
      </c>
      <c r="N233" t="s">
        <v>23</v>
      </c>
      <c r="O233">
        <v>2</v>
      </c>
      <c r="P233">
        <v>89.94</v>
      </c>
      <c r="Q233">
        <v>101.94</v>
      </c>
      <c r="R233" t="s">
        <v>2054</v>
      </c>
    </row>
    <row r="234" spans="1:18" x14ac:dyDescent="0.25">
      <c r="A234" t="s">
        <v>285</v>
      </c>
      <c r="B234" s="1">
        <v>45046</v>
      </c>
      <c r="C234" s="1">
        <v>45048</v>
      </c>
      <c r="D234" t="s">
        <v>18</v>
      </c>
      <c r="E234" t="s">
        <v>19</v>
      </c>
      <c r="F234" t="s">
        <v>20</v>
      </c>
      <c r="G234" t="s">
        <v>21</v>
      </c>
      <c r="H234" t="s">
        <v>32</v>
      </c>
      <c r="I234">
        <v>6</v>
      </c>
      <c r="J234">
        <v>24.94</v>
      </c>
      <c r="K234">
        <v>8</v>
      </c>
      <c r="L234">
        <v>160</v>
      </c>
      <c r="M234">
        <v>7.97</v>
      </c>
      <c r="N234" t="s">
        <v>23</v>
      </c>
      <c r="O234">
        <v>2</v>
      </c>
      <c r="P234">
        <v>149.64000000000001</v>
      </c>
      <c r="Q234">
        <v>157.64000000000001</v>
      </c>
      <c r="R234" t="s">
        <v>2054</v>
      </c>
    </row>
    <row r="235" spans="1:18" x14ac:dyDescent="0.25">
      <c r="A235" t="s">
        <v>286</v>
      </c>
      <c r="B235" s="1">
        <v>45048</v>
      </c>
      <c r="C235" s="1">
        <v>45052</v>
      </c>
      <c r="D235" t="s">
        <v>34</v>
      </c>
      <c r="E235" t="s">
        <v>30</v>
      </c>
      <c r="F235" t="s">
        <v>31</v>
      </c>
      <c r="G235" t="s">
        <v>35</v>
      </c>
      <c r="H235" t="s">
        <v>40</v>
      </c>
      <c r="I235">
        <v>3</v>
      </c>
      <c r="J235">
        <v>43.63</v>
      </c>
      <c r="K235">
        <v>18</v>
      </c>
      <c r="L235">
        <v>209</v>
      </c>
      <c r="M235">
        <v>-19.63</v>
      </c>
      <c r="N235" t="s">
        <v>23</v>
      </c>
      <c r="O235">
        <v>4</v>
      </c>
      <c r="P235">
        <v>130.89000000000001</v>
      </c>
      <c r="Q235">
        <v>148.89000000000001</v>
      </c>
      <c r="R235" t="s">
        <v>2054</v>
      </c>
    </row>
    <row r="236" spans="1:18" x14ac:dyDescent="0.25">
      <c r="A236" t="s">
        <v>287</v>
      </c>
      <c r="B236" s="1">
        <v>45048</v>
      </c>
      <c r="C236" s="1">
        <v>45053</v>
      </c>
      <c r="D236" t="s">
        <v>50</v>
      </c>
      <c r="E236" t="s">
        <v>44</v>
      </c>
      <c r="F236" t="s">
        <v>45</v>
      </c>
      <c r="G236" t="s">
        <v>26</v>
      </c>
      <c r="H236" t="s">
        <v>32</v>
      </c>
      <c r="I236">
        <v>3</v>
      </c>
      <c r="J236">
        <v>431.38</v>
      </c>
      <c r="K236">
        <v>25</v>
      </c>
      <c r="L236">
        <v>220</v>
      </c>
      <c r="M236">
        <v>440.45</v>
      </c>
      <c r="N236" t="s">
        <v>23</v>
      </c>
      <c r="O236">
        <v>5</v>
      </c>
      <c r="P236">
        <v>1294.1399999999999</v>
      </c>
      <c r="Q236">
        <v>1319.1399999999999</v>
      </c>
      <c r="R236" t="s">
        <v>2054</v>
      </c>
    </row>
    <row r="237" spans="1:18" x14ac:dyDescent="0.25">
      <c r="A237" t="s">
        <v>288</v>
      </c>
      <c r="B237" s="1">
        <v>45048</v>
      </c>
      <c r="C237" s="1">
        <v>45059</v>
      </c>
      <c r="D237" t="s">
        <v>58</v>
      </c>
      <c r="E237" t="s">
        <v>19</v>
      </c>
      <c r="F237" t="s">
        <v>20</v>
      </c>
      <c r="G237" t="s">
        <v>35</v>
      </c>
      <c r="H237" t="s">
        <v>40</v>
      </c>
      <c r="I237">
        <v>13</v>
      </c>
      <c r="J237">
        <v>35.42</v>
      </c>
      <c r="K237">
        <v>12</v>
      </c>
      <c r="L237">
        <v>5</v>
      </c>
      <c r="M237">
        <v>30.83</v>
      </c>
      <c r="N237" t="s">
        <v>47</v>
      </c>
      <c r="O237">
        <v>11</v>
      </c>
      <c r="P237">
        <v>460.46000000000004</v>
      </c>
      <c r="Q237">
        <v>472.46000000000004</v>
      </c>
      <c r="R237" t="s">
        <v>2056</v>
      </c>
    </row>
    <row r="238" spans="1:18" x14ac:dyDescent="0.25">
      <c r="A238" t="s">
        <v>289</v>
      </c>
      <c r="B238" s="1">
        <v>45048</v>
      </c>
      <c r="C238" s="1">
        <v>45053</v>
      </c>
      <c r="D238" t="s">
        <v>34</v>
      </c>
      <c r="E238" t="s">
        <v>30</v>
      </c>
      <c r="F238" t="s">
        <v>31</v>
      </c>
      <c r="G238" t="s">
        <v>26</v>
      </c>
      <c r="H238" t="s">
        <v>27</v>
      </c>
      <c r="I238">
        <v>5</v>
      </c>
      <c r="J238">
        <v>39.04</v>
      </c>
      <c r="K238">
        <v>12</v>
      </c>
      <c r="L238">
        <v>141</v>
      </c>
      <c r="M238">
        <v>-29.28</v>
      </c>
      <c r="N238" t="s">
        <v>23</v>
      </c>
      <c r="O238">
        <v>5</v>
      </c>
      <c r="P238">
        <v>195.2</v>
      </c>
      <c r="Q238">
        <v>207.2</v>
      </c>
      <c r="R238" t="s">
        <v>2054</v>
      </c>
    </row>
    <row r="239" spans="1:18" x14ac:dyDescent="0.25">
      <c r="A239" t="s">
        <v>290</v>
      </c>
      <c r="B239" s="1">
        <v>45049</v>
      </c>
      <c r="C239" s="1">
        <v>45050</v>
      </c>
      <c r="D239" t="s">
        <v>34</v>
      </c>
      <c r="E239" t="s">
        <v>30</v>
      </c>
      <c r="F239" t="s">
        <v>31</v>
      </c>
      <c r="G239" t="s">
        <v>26</v>
      </c>
      <c r="H239" t="s">
        <v>22</v>
      </c>
      <c r="I239">
        <v>2</v>
      </c>
      <c r="J239">
        <v>52.65</v>
      </c>
      <c r="K239">
        <v>12</v>
      </c>
      <c r="L239">
        <v>397</v>
      </c>
      <c r="M239">
        <v>36.119999999999997</v>
      </c>
      <c r="N239" t="s">
        <v>23</v>
      </c>
      <c r="O239">
        <v>1</v>
      </c>
      <c r="P239">
        <v>105.3</v>
      </c>
      <c r="Q239">
        <v>117.3</v>
      </c>
      <c r="R239" t="s">
        <v>2054</v>
      </c>
    </row>
    <row r="240" spans="1:18" x14ac:dyDescent="0.25">
      <c r="A240" t="s">
        <v>291</v>
      </c>
      <c r="B240" s="1">
        <v>45050</v>
      </c>
      <c r="C240" s="1">
        <v>45054</v>
      </c>
      <c r="D240" t="s">
        <v>37</v>
      </c>
      <c r="E240" t="s">
        <v>38</v>
      </c>
      <c r="F240" t="s">
        <v>39</v>
      </c>
      <c r="G240" t="s">
        <v>26</v>
      </c>
      <c r="H240" t="s">
        <v>27</v>
      </c>
      <c r="I240">
        <v>1</v>
      </c>
      <c r="J240">
        <v>208.8</v>
      </c>
      <c r="K240">
        <v>75</v>
      </c>
      <c r="L240">
        <v>115</v>
      </c>
      <c r="M240">
        <v>4.26</v>
      </c>
      <c r="N240" t="s">
        <v>23</v>
      </c>
      <c r="O240">
        <v>4</v>
      </c>
      <c r="P240">
        <v>208.8</v>
      </c>
      <c r="Q240">
        <v>283.8</v>
      </c>
      <c r="R240" t="s">
        <v>2054</v>
      </c>
    </row>
    <row r="241" spans="1:18" x14ac:dyDescent="0.25">
      <c r="A241" t="s">
        <v>292</v>
      </c>
      <c r="B241" s="1">
        <v>45050</v>
      </c>
      <c r="C241" s="1">
        <v>45053</v>
      </c>
      <c r="D241" t="s">
        <v>54</v>
      </c>
      <c r="E241" t="s">
        <v>38</v>
      </c>
      <c r="F241" t="s">
        <v>39</v>
      </c>
      <c r="G241" t="s">
        <v>35</v>
      </c>
      <c r="H241" t="s">
        <v>40</v>
      </c>
      <c r="I241">
        <v>1</v>
      </c>
      <c r="J241">
        <v>428.17</v>
      </c>
      <c r="K241">
        <v>112.5</v>
      </c>
      <c r="L241">
        <v>169</v>
      </c>
      <c r="M241">
        <v>29.38</v>
      </c>
      <c r="N241" t="s">
        <v>23</v>
      </c>
      <c r="O241">
        <v>3</v>
      </c>
      <c r="P241">
        <v>428.17</v>
      </c>
      <c r="Q241">
        <v>540.67000000000007</v>
      </c>
      <c r="R241" t="s">
        <v>2054</v>
      </c>
    </row>
    <row r="242" spans="1:18" x14ac:dyDescent="0.25">
      <c r="A242" t="s">
        <v>293</v>
      </c>
      <c r="B242" s="1">
        <v>45052</v>
      </c>
      <c r="C242" s="1">
        <v>45055</v>
      </c>
      <c r="D242" t="s">
        <v>25</v>
      </c>
      <c r="E242" t="s">
        <v>19</v>
      </c>
      <c r="F242" t="s">
        <v>20</v>
      </c>
      <c r="G242" t="s">
        <v>26</v>
      </c>
      <c r="H242" t="s">
        <v>32</v>
      </c>
      <c r="I242">
        <v>5</v>
      </c>
      <c r="J242">
        <v>37.520000000000003</v>
      </c>
      <c r="K242">
        <v>8</v>
      </c>
      <c r="L242">
        <v>9</v>
      </c>
      <c r="M242">
        <v>11.01</v>
      </c>
      <c r="N242" t="s">
        <v>23</v>
      </c>
      <c r="O242">
        <v>3</v>
      </c>
      <c r="P242">
        <v>187.60000000000002</v>
      </c>
      <c r="Q242">
        <v>195.60000000000002</v>
      </c>
      <c r="R242" t="s">
        <v>2056</v>
      </c>
    </row>
    <row r="243" spans="1:18" x14ac:dyDescent="0.25">
      <c r="A243" t="s">
        <v>294</v>
      </c>
      <c r="B243" s="1">
        <v>45052</v>
      </c>
      <c r="C243" s="1">
        <v>45053</v>
      </c>
      <c r="D243" t="s">
        <v>118</v>
      </c>
      <c r="E243" t="s">
        <v>79</v>
      </c>
      <c r="F243" t="s">
        <v>80</v>
      </c>
      <c r="G243" t="s">
        <v>26</v>
      </c>
      <c r="H243" t="s">
        <v>22</v>
      </c>
      <c r="I243">
        <v>2</v>
      </c>
      <c r="J243">
        <v>120.92</v>
      </c>
      <c r="K243">
        <v>12</v>
      </c>
      <c r="L243">
        <v>387</v>
      </c>
      <c r="M243">
        <v>102.83</v>
      </c>
      <c r="N243" t="s">
        <v>23</v>
      </c>
      <c r="O243">
        <v>1</v>
      </c>
      <c r="P243">
        <v>241.84</v>
      </c>
      <c r="Q243">
        <v>253.84</v>
      </c>
      <c r="R243" t="s">
        <v>2054</v>
      </c>
    </row>
    <row r="244" spans="1:18" x14ac:dyDescent="0.25">
      <c r="A244" t="s">
        <v>295</v>
      </c>
      <c r="B244" s="1">
        <v>45052</v>
      </c>
      <c r="C244" s="1">
        <v>45069</v>
      </c>
      <c r="D244" t="s">
        <v>25</v>
      </c>
      <c r="E244" t="s">
        <v>19</v>
      </c>
      <c r="F244" t="s">
        <v>20</v>
      </c>
      <c r="G244" t="s">
        <v>35</v>
      </c>
      <c r="H244" t="s">
        <v>27</v>
      </c>
      <c r="I244">
        <v>13</v>
      </c>
      <c r="J244">
        <v>23.62</v>
      </c>
      <c r="K244">
        <v>8</v>
      </c>
      <c r="L244">
        <v>1</v>
      </c>
      <c r="M244">
        <v>20.57</v>
      </c>
      <c r="N244" t="s">
        <v>47</v>
      </c>
      <c r="O244">
        <v>17</v>
      </c>
      <c r="P244">
        <v>307.06</v>
      </c>
      <c r="Q244">
        <v>315.06</v>
      </c>
      <c r="R244" t="s">
        <v>2056</v>
      </c>
    </row>
    <row r="245" spans="1:18" x14ac:dyDescent="0.25">
      <c r="A245" t="s">
        <v>296</v>
      </c>
      <c r="B245" s="1">
        <v>45053</v>
      </c>
      <c r="C245" s="1">
        <v>45056</v>
      </c>
      <c r="D245" t="s">
        <v>58</v>
      </c>
      <c r="E245" t="s">
        <v>19</v>
      </c>
      <c r="F245" t="s">
        <v>20</v>
      </c>
      <c r="G245" t="s">
        <v>26</v>
      </c>
      <c r="H245" t="s">
        <v>32</v>
      </c>
      <c r="I245">
        <v>6</v>
      </c>
      <c r="J245">
        <v>20.58</v>
      </c>
      <c r="K245">
        <v>8</v>
      </c>
      <c r="L245">
        <v>73</v>
      </c>
      <c r="M245">
        <v>5.88</v>
      </c>
      <c r="N245" t="s">
        <v>23</v>
      </c>
      <c r="O245">
        <v>3</v>
      </c>
      <c r="P245">
        <v>123.47999999999999</v>
      </c>
      <c r="Q245">
        <v>131.47999999999999</v>
      </c>
      <c r="R245" t="s">
        <v>2054</v>
      </c>
    </row>
    <row r="246" spans="1:18" x14ac:dyDescent="0.25">
      <c r="A246" t="s">
        <v>297</v>
      </c>
      <c r="B246" s="1">
        <v>45054</v>
      </c>
      <c r="C246" s="1">
        <v>45070</v>
      </c>
      <c r="D246" t="s">
        <v>50</v>
      </c>
      <c r="E246" t="s">
        <v>44</v>
      </c>
      <c r="F246" t="s">
        <v>45</v>
      </c>
      <c r="G246" t="s">
        <v>35</v>
      </c>
      <c r="H246" t="s">
        <v>27</v>
      </c>
      <c r="I246">
        <v>2</v>
      </c>
      <c r="J246">
        <v>228.65</v>
      </c>
      <c r="K246">
        <v>25</v>
      </c>
      <c r="L246">
        <v>383</v>
      </c>
      <c r="M246">
        <v>147.56</v>
      </c>
      <c r="N246" t="s">
        <v>47</v>
      </c>
      <c r="O246">
        <v>16</v>
      </c>
      <c r="P246">
        <v>457.3</v>
      </c>
      <c r="Q246">
        <v>482.3</v>
      </c>
      <c r="R246" t="s">
        <v>2054</v>
      </c>
    </row>
    <row r="247" spans="1:18" x14ac:dyDescent="0.25">
      <c r="A247" t="s">
        <v>298</v>
      </c>
      <c r="B247" s="1">
        <v>45054</v>
      </c>
      <c r="C247" s="1">
        <v>45058</v>
      </c>
      <c r="D247" t="s">
        <v>34</v>
      </c>
      <c r="E247" t="s">
        <v>30</v>
      </c>
      <c r="F247" t="s">
        <v>31</v>
      </c>
      <c r="G247" t="s">
        <v>26</v>
      </c>
      <c r="H247" t="s">
        <v>22</v>
      </c>
      <c r="I247">
        <v>3</v>
      </c>
      <c r="J247">
        <v>90.75</v>
      </c>
      <c r="K247">
        <v>12</v>
      </c>
      <c r="L247">
        <v>98</v>
      </c>
      <c r="M247">
        <v>102.9</v>
      </c>
      <c r="N247" t="s">
        <v>23</v>
      </c>
      <c r="O247">
        <v>4</v>
      </c>
      <c r="P247">
        <v>272.25</v>
      </c>
      <c r="Q247">
        <v>284.25</v>
      </c>
      <c r="R247" t="s">
        <v>2054</v>
      </c>
    </row>
    <row r="248" spans="1:18" x14ac:dyDescent="0.25">
      <c r="A248" t="s">
        <v>299</v>
      </c>
      <c r="B248" s="1">
        <v>45054</v>
      </c>
      <c r="C248" s="1">
        <v>45056</v>
      </c>
      <c r="D248" t="s">
        <v>52</v>
      </c>
      <c r="E248" t="s">
        <v>30</v>
      </c>
      <c r="F248" t="s">
        <v>31</v>
      </c>
      <c r="G248" t="s">
        <v>21</v>
      </c>
      <c r="H248" t="s">
        <v>32</v>
      </c>
      <c r="I248">
        <v>4</v>
      </c>
      <c r="J248">
        <v>49.16</v>
      </c>
      <c r="K248">
        <v>12</v>
      </c>
      <c r="L248">
        <v>344</v>
      </c>
      <c r="M248">
        <v>72.66</v>
      </c>
      <c r="N248" t="s">
        <v>23</v>
      </c>
      <c r="O248">
        <v>2</v>
      </c>
      <c r="P248">
        <v>196.64</v>
      </c>
      <c r="Q248">
        <v>208.64</v>
      </c>
      <c r="R248" t="s">
        <v>2054</v>
      </c>
    </row>
    <row r="249" spans="1:18" x14ac:dyDescent="0.25">
      <c r="A249" t="s">
        <v>300</v>
      </c>
      <c r="B249" s="1">
        <v>45054</v>
      </c>
      <c r="C249" s="1">
        <v>45056</v>
      </c>
      <c r="D249" t="s">
        <v>50</v>
      </c>
      <c r="E249" t="s">
        <v>44</v>
      </c>
      <c r="F249" t="s">
        <v>45</v>
      </c>
      <c r="G249" t="s">
        <v>21</v>
      </c>
      <c r="H249" t="s">
        <v>22</v>
      </c>
      <c r="I249">
        <v>2</v>
      </c>
      <c r="J249">
        <v>1070.69</v>
      </c>
      <c r="K249">
        <v>25</v>
      </c>
      <c r="L249">
        <v>289</v>
      </c>
      <c r="M249">
        <v>736.98</v>
      </c>
      <c r="N249" t="s">
        <v>23</v>
      </c>
      <c r="O249">
        <v>2</v>
      </c>
      <c r="P249">
        <v>2141.38</v>
      </c>
      <c r="Q249">
        <v>2166.38</v>
      </c>
      <c r="R249" t="s">
        <v>2054</v>
      </c>
    </row>
    <row r="250" spans="1:18" x14ac:dyDescent="0.25">
      <c r="A250" t="s">
        <v>301</v>
      </c>
      <c r="B250" s="1">
        <v>45055</v>
      </c>
      <c r="C250" s="1">
        <v>45060</v>
      </c>
      <c r="D250" t="s">
        <v>18</v>
      </c>
      <c r="E250" t="s">
        <v>19</v>
      </c>
      <c r="F250" t="s">
        <v>20</v>
      </c>
      <c r="G250" t="s">
        <v>21</v>
      </c>
      <c r="H250" t="s">
        <v>32</v>
      </c>
      <c r="I250">
        <v>8</v>
      </c>
      <c r="J250">
        <v>39.1</v>
      </c>
      <c r="K250">
        <v>8</v>
      </c>
      <c r="L250">
        <v>125</v>
      </c>
      <c r="M250">
        <v>21.02</v>
      </c>
      <c r="N250" t="s">
        <v>23</v>
      </c>
      <c r="O250">
        <v>5</v>
      </c>
      <c r="P250">
        <v>312.8</v>
      </c>
      <c r="Q250">
        <v>320.8</v>
      </c>
      <c r="R250" t="s">
        <v>2054</v>
      </c>
    </row>
    <row r="251" spans="1:18" x14ac:dyDescent="0.25">
      <c r="A251" t="s">
        <v>302</v>
      </c>
      <c r="B251" s="1">
        <v>45055</v>
      </c>
      <c r="C251" s="1">
        <v>45060</v>
      </c>
      <c r="D251" t="s">
        <v>18</v>
      </c>
      <c r="E251" t="s">
        <v>19</v>
      </c>
      <c r="F251" t="s">
        <v>20</v>
      </c>
      <c r="G251" t="s">
        <v>21</v>
      </c>
      <c r="H251" t="s">
        <v>27</v>
      </c>
      <c r="I251">
        <v>8</v>
      </c>
      <c r="J251">
        <v>20.73</v>
      </c>
      <c r="K251">
        <v>8</v>
      </c>
      <c r="L251">
        <v>1</v>
      </c>
      <c r="M251">
        <v>9.27</v>
      </c>
      <c r="N251" t="s">
        <v>23</v>
      </c>
      <c r="O251">
        <v>5</v>
      </c>
      <c r="P251">
        <v>165.84</v>
      </c>
      <c r="Q251">
        <v>173.84</v>
      </c>
      <c r="R251" t="s">
        <v>2056</v>
      </c>
    </row>
    <row r="252" spans="1:18" x14ac:dyDescent="0.25">
      <c r="A252" t="s">
        <v>303</v>
      </c>
      <c r="B252" s="1">
        <v>45056</v>
      </c>
      <c r="C252" s="1">
        <v>45060</v>
      </c>
      <c r="D252" t="s">
        <v>58</v>
      </c>
      <c r="E252" t="s">
        <v>19</v>
      </c>
      <c r="F252" t="s">
        <v>20</v>
      </c>
      <c r="G252" t="s">
        <v>26</v>
      </c>
      <c r="H252" t="s">
        <v>27</v>
      </c>
      <c r="I252">
        <v>10</v>
      </c>
      <c r="J252">
        <v>42.11</v>
      </c>
      <c r="K252">
        <v>8</v>
      </c>
      <c r="L252">
        <v>386</v>
      </c>
      <c r="M252">
        <v>29.69</v>
      </c>
      <c r="N252" t="s">
        <v>23</v>
      </c>
      <c r="O252">
        <v>4</v>
      </c>
      <c r="P252">
        <v>421.1</v>
      </c>
      <c r="Q252">
        <v>429.1</v>
      </c>
      <c r="R252" t="s">
        <v>2054</v>
      </c>
    </row>
    <row r="253" spans="1:18" x14ac:dyDescent="0.25">
      <c r="A253" t="s">
        <v>304</v>
      </c>
      <c r="B253" s="1">
        <v>45056</v>
      </c>
      <c r="C253" s="1">
        <v>45067</v>
      </c>
      <c r="D253" t="s">
        <v>72</v>
      </c>
      <c r="E253" t="s">
        <v>44</v>
      </c>
      <c r="F253" t="s">
        <v>45</v>
      </c>
      <c r="G253" t="s">
        <v>35</v>
      </c>
      <c r="H253" t="s">
        <v>40</v>
      </c>
      <c r="I253">
        <v>1</v>
      </c>
      <c r="J253">
        <v>872.38</v>
      </c>
      <c r="K253">
        <v>37.5</v>
      </c>
      <c r="L253">
        <v>307</v>
      </c>
      <c r="M253">
        <v>286.58</v>
      </c>
      <c r="N253" t="s">
        <v>47</v>
      </c>
      <c r="O253">
        <v>11</v>
      </c>
      <c r="P253">
        <v>872.38</v>
      </c>
      <c r="Q253">
        <v>909.88</v>
      </c>
      <c r="R253" t="s">
        <v>2054</v>
      </c>
    </row>
    <row r="254" spans="1:18" x14ac:dyDescent="0.25">
      <c r="A254" t="s">
        <v>305</v>
      </c>
      <c r="B254" s="1">
        <v>45056</v>
      </c>
      <c r="C254" s="1">
        <v>45058</v>
      </c>
      <c r="D254" t="s">
        <v>43</v>
      </c>
      <c r="E254" t="s">
        <v>44</v>
      </c>
      <c r="F254" t="s">
        <v>45</v>
      </c>
      <c r="G254" t="s">
        <v>21</v>
      </c>
      <c r="H254" t="s">
        <v>27</v>
      </c>
      <c r="I254">
        <v>1</v>
      </c>
      <c r="J254">
        <v>871.27</v>
      </c>
      <c r="K254">
        <v>25</v>
      </c>
      <c r="L254">
        <v>96</v>
      </c>
      <c r="M254">
        <v>292.44</v>
      </c>
      <c r="N254" t="s">
        <v>23</v>
      </c>
      <c r="O254">
        <v>2</v>
      </c>
      <c r="P254">
        <v>871.27</v>
      </c>
      <c r="Q254">
        <v>896.27</v>
      </c>
      <c r="R254" t="s">
        <v>2054</v>
      </c>
    </row>
    <row r="255" spans="1:18" x14ac:dyDescent="0.25">
      <c r="A255" t="s">
        <v>306</v>
      </c>
      <c r="B255" s="1">
        <v>45056</v>
      </c>
      <c r="C255" s="1">
        <v>45059</v>
      </c>
      <c r="D255" t="s">
        <v>34</v>
      </c>
      <c r="E255" t="s">
        <v>30</v>
      </c>
      <c r="F255" t="s">
        <v>31</v>
      </c>
      <c r="G255" t="s">
        <v>26</v>
      </c>
      <c r="H255" t="s">
        <v>22</v>
      </c>
      <c r="I255">
        <v>3</v>
      </c>
      <c r="J255">
        <v>123.2</v>
      </c>
      <c r="K255">
        <v>12</v>
      </c>
      <c r="L255">
        <v>208</v>
      </c>
      <c r="M255">
        <v>141.84</v>
      </c>
      <c r="N255" t="s">
        <v>23</v>
      </c>
      <c r="O255">
        <v>3</v>
      </c>
      <c r="P255">
        <v>369.6</v>
      </c>
      <c r="Q255">
        <v>381.6</v>
      </c>
      <c r="R255" t="s">
        <v>2054</v>
      </c>
    </row>
    <row r="256" spans="1:18" x14ac:dyDescent="0.25">
      <c r="A256" t="s">
        <v>307</v>
      </c>
      <c r="B256" s="1">
        <v>45057</v>
      </c>
      <c r="C256" s="1">
        <v>45062</v>
      </c>
      <c r="D256" t="s">
        <v>118</v>
      </c>
      <c r="E256" t="s">
        <v>79</v>
      </c>
      <c r="F256" t="s">
        <v>80</v>
      </c>
      <c r="G256" t="s">
        <v>26</v>
      </c>
      <c r="H256" t="s">
        <v>27</v>
      </c>
      <c r="I256">
        <v>4</v>
      </c>
      <c r="J256">
        <v>75.569999999999993</v>
      </c>
      <c r="K256">
        <v>12</v>
      </c>
      <c r="L256">
        <v>371</v>
      </c>
      <c r="M256">
        <v>130.03</v>
      </c>
      <c r="N256" t="s">
        <v>23</v>
      </c>
      <c r="O256">
        <v>5</v>
      </c>
      <c r="P256">
        <v>302.27999999999997</v>
      </c>
      <c r="Q256">
        <v>314.27999999999997</v>
      </c>
      <c r="R256" t="s">
        <v>2054</v>
      </c>
    </row>
    <row r="257" spans="1:18" x14ac:dyDescent="0.25">
      <c r="A257" t="s">
        <v>308</v>
      </c>
      <c r="B257" s="1">
        <v>45057</v>
      </c>
      <c r="C257" s="1">
        <v>45058</v>
      </c>
      <c r="D257" t="s">
        <v>29</v>
      </c>
      <c r="E257" t="s">
        <v>30</v>
      </c>
      <c r="F257" t="s">
        <v>31</v>
      </c>
      <c r="G257" t="s">
        <v>35</v>
      </c>
      <c r="H257" t="s">
        <v>40</v>
      </c>
      <c r="I257">
        <v>2</v>
      </c>
      <c r="J257">
        <v>121.34</v>
      </c>
      <c r="K257">
        <v>18</v>
      </c>
      <c r="L257">
        <v>114</v>
      </c>
      <c r="M257">
        <v>88.07</v>
      </c>
      <c r="N257" t="s">
        <v>23</v>
      </c>
      <c r="O257">
        <v>1</v>
      </c>
      <c r="P257">
        <v>242.68</v>
      </c>
      <c r="Q257">
        <v>260.68</v>
      </c>
      <c r="R257" t="s">
        <v>2054</v>
      </c>
    </row>
    <row r="258" spans="1:18" x14ac:dyDescent="0.25">
      <c r="A258" t="s">
        <v>309</v>
      </c>
      <c r="B258" s="1">
        <v>45057</v>
      </c>
      <c r="C258" s="1">
        <v>45071</v>
      </c>
      <c r="D258" t="s">
        <v>118</v>
      </c>
      <c r="E258" t="s">
        <v>79</v>
      </c>
      <c r="F258" t="s">
        <v>80</v>
      </c>
      <c r="G258" t="s">
        <v>35</v>
      </c>
      <c r="H258" t="s">
        <v>40</v>
      </c>
      <c r="I258">
        <v>2</v>
      </c>
      <c r="J258">
        <v>122.89</v>
      </c>
      <c r="K258">
        <v>18</v>
      </c>
      <c r="L258">
        <v>127</v>
      </c>
      <c r="M258">
        <v>101.6</v>
      </c>
      <c r="N258" t="s">
        <v>47</v>
      </c>
      <c r="O258">
        <v>14</v>
      </c>
      <c r="P258">
        <v>245.78</v>
      </c>
      <c r="Q258">
        <v>263.77999999999997</v>
      </c>
      <c r="R258" t="s">
        <v>2054</v>
      </c>
    </row>
    <row r="259" spans="1:18" x14ac:dyDescent="0.25">
      <c r="A259" t="s">
        <v>310</v>
      </c>
      <c r="B259" s="1">
        <v>45058</v>
      </c>
      <c r="C259" s="1">
        <v>45060</v>
      </c>
      <c r="D259" t="s">
        <v>72</v>
      </c>
      <c r="E259" t="s">
        <v>44</v>
      </c>
      <c r="F259" t="s">
        <v>45</v>
      </c>
      <c r="G259" t="s">
        <v>26</v>
      </c>
      <c r="H259" t="s">
        <v>32</v>
      </c>
      <c r="I259">
        <v>3</v>
      </c>
      <c r="J259">
        <v>351.78</v>
      </c>
      <c r="K259">
        <v>25</v>
      </c>
      <c r="L259">
        <v>324</v>
      </c>
      <c r="M259">
        <v>356.87</v>
      </c>
      <c r="N259" t="s">
        <v>23</v>
      </c>
      <c r="O259">
        <v>2</v>
      </c>
      <c r="P259">
        <v>1055.3399999999999</v>
      </c>
      <c r="Q259">
        <v>1080.3399999999999</v>
      </c>
      <c r="R259" t="s">
        <v>2054</v>
      </c>
    </row>
    <row r="260" spans="1:18" x14ac:dyDescent="0.25">
      <c r="A260" t="s">
        <v>311</v>
      </c>
      <c r="B260" s="1">
        <v>45059</v>
      </c>
      <c r="C260" s="1">
        <v>45060</v>
      </c>
      <c r="D260" t="s">
        <v>29</v>
      </c>
      <c r="E260" t="s">
        <v>30</v>
      </c>
      <c r="F260" t="s">
        <v>31</v>
      </c>
      <c r="G260" t="s">
        <v>35</v>
      </c>
      <c r="H260" t="s">
        <v>22</v>
      </c>
      <c r="I260">
        <v>2</v>
      </c>
      <c r="J260">
        <v>22.39</v>
      </c>
      <c r="K260">
        <v>12</v>
      </c>
      <c r="L260">
        <v>315</v>
      </c>
      <c r="M260">
        <v>11.91</v>
      </c>
      <c r="N260" t="s">
        <v>23</v>
      </c>
      <c r="O260">
        <v>1</v>
      </c>
      <c r="P260">
        <v>44.78</v>
      </c>
      <c r="Q260">
        <v>56.78</v>
      </c>
      <c r="R260" t="s">
        <v>2054</v>
      </c>
    </row>
    <row r="261" spans="1:18" x14ac:dyDescent="0.25">
      <c r="A261" t="s">
        <v>312</v>
      </c>
      <c r="B261" s="1">
        <v>45059</v>
      </c>
      <c r="C261" s="1">
        <v>45061</v>
      </c>
      <c r="D261" t="s">
        <v>18</v>
      </c>
      <c r="E261" t="s">
        <v>19</v>
      </c>
      <c r="F261" t="s">
        <v>20</v>
      </c>
      <c r="G261" t="s">
        <v>35</v>
      </c>
      <c r="H261" t="s">
        <v>40</v>
      </c>
      <c r="I261">
        <v>8</v>
      </c>
      <c r="J261">
        <v>34.24</v>
      </c>
      <c r="K261">
        <v>12</v>
      </c>
      <c r="L261">
        <v>1</v>
      </c>
      <c r="M261">
        <v>15.91</v>
      </c>
      <c r="N261" t="s">
        <v>23</v>
      </c>
      <c r="O261">
        <v>2</v>
      </c>
      <c r="P261">
        <v>273.92</v>
      </c>
      <c r="Q261">
        <v>285.92</v>
      </c>
      <c r="R261" t="s">
        <v>2056</v>
      </c>
    </row>
    <row r="262" spans="1:18" x14ac:dyDescent="0.25">
      <c r="A262" t="s">
        <v>313</v>
      </c>
      <c r="B262" s="1">
        <v>45059</v>
      </c>
      <c r="C262" s="1">
        <v>45063</v>
      </c>
      <c r="D262" t="s">
        <v>34</v>
      </c>
      <c r="E262" t="s">
        <v>30</v>
      </c>
      <c r="F262" t="s">
        <v>31</v>
      </c>
      <c r="G262" t="s">
        <v>35</v>
      </c>
      <c r="H262" t="s">
        <v>40</v>
      </c>
      <c r="I262">
        <v>2</v>
      </c>
      <c r="J262">
        <v>30.61</v>
      </c>
      <c r="K262">
        <v>18</v>
      </c>
      <c r="L262">
        <v>58</v>
      </c>
      <c r="M262">
        <v>15.49</v>
      </c>
      <c r="N262" t="s">
        <v>23</v>
      </c>
      <c r="O262">
        <v>4</v>
      </c>
      <c r="P262">
        <v>61.22</v>
      </c>
      <c r="Q262">
        <v>79.22</v>
      </c>
      <c r="R262" t="s">
        <v>2054</v>
      </c>
    </row>
    <row r="263" spans="1:18" x14ac:dyDescent="0.25">
      <c r="A263" t="s">
        <v>314</v>
      </c>
      <c r="B263" s="1">
        <v>45060</v>
      </c>
      <c r="C263" s="1">
        <v>45073</v>
      </c>
      <c r="D263" t="s">
        <v>58</v>
      </c>
      <c r="E263" t="s">
        <v>19</v>
      </c>
      <c r="F263" t="s">
        <v>20</v>
      </c>
      <c r="G263" t="s">
        <v>35</v>
      </c>
      <c r="H263" t="s">
        <v>27</v>
      </c>
      <c r="I263">
        <v>13</v>
      </c>
      <c r="J263">
        <v>35.340000000000003</v>
      </c>
      <c r="K263">
        <v>8</v>
      </c>
      <c r="L263">
        <v>4</v>
      </c>
      <c r="M263">
        <v>32.75</v>
      </c>
      <c r="N263" t="s">
        <v>47</v>
      </c>
      <c r="O263">
        <v>13</v>
      </c>
      <c r="P263">
        <v>459.42000000000007</v>
      </c>
      <c r="Q263">
        <v>467.42000000000007</v>
      </c>
      <c r="R263" t="s">
        <v>2056</v>
      </c>
    </row>
    <row r="264" spans="1:18" x14ac:dyDescent="0.25">
      <c r="A264" t="s">
        <v>315</v>
      </c>
      <c r="B264" s="1">
        <v>45060</v>
      </c>
      <c r="C264" s="1">
        <v>45064</v>
      </c>
      <c r="D264" t="s">
        <v>34</v>
      </c>
      <c r="E264" t="s">
        <v>30</v>
      </c>
      <c r="F264" t="s">
        <v>31</v>
      </c>
      <c r="G264" t="s">
        <v>35</v>
      </c>
      <c r="H264" t="s">
        <v>40</v>
      </c>
      <c r="I264">
        <v>2</v>
      </c>
      <c r="J264">
        <v>36.57</v>
      </c>
      <c r="K264">
        <v>18</v>
      </c>
      <c r="L264">
        <v>351</v>
      </c>
      <c r="M264">
        <v>20.260000000000002</v>
      </c>
      <c r="N264" t="s">
        <v>23</v>
      </c>
      <c r="O264">
        <v>4</v>
      </c>
      <c r="P264">
        <v>73.14</v>
      </c>
      <c r="Q264">
        <v>91.14</v>
      </c>
      <c r="R264" t="s">
        <v>2054</v>
      </c>
    </row>
    <row r="265" spans="1:18" x14ac:dyDescent="0.25">
      <c r="A265" t="s">
        <v>316</v>
      </c>
      <c r="B265" s="1">
        <v>45061</v>
      </c>
      <c r="C265" s="1">
        <v>45066</v>
      </c>
      <c r="D265" t="s">
        <v>18</v>
      </c>
      <c r="E265" t="s">
        <v>19</v>
      </c>
      <c r="F265" t="s">
        <v>20</v>
      </c>
      <c r="G265" t="s">
        <v>21</v>
      </c>
      <c r="H265" t="s">
        <v>27</v>
      </c>
      <c r="I265">
        <v>8</v>
      </c>
      <c r="J265">
        <v>22.32</v>
      </c>
      <c r="K265">
        <v>8</v>
      </c>
      <c r="L265">
        <v>170</v>
      </c>
      <c r="M265">
        <v>10.28</v>
      </c>
      <c r="N265" t="s">
        <v>23</v>
      </c>
      <c r="O265">
        <v>5</v>
      </c>
      <c r="P265">
        <v>178.56</v>
      </c>
      <c r="Q265">
        <v>186.56</v>
      </c>
      <c r="R265" t="s">
        <v>2054</v>
      </c>
    </row>
    <row r="266" spans="1:18" x14ac:dyDescent="0.25">
      <c r="A266" t="s">
        <v>317</v>
      </c>
      <c r="B266" s="1">
        <v>45063</v>
      </c>
      <c r="C266" s="1">
        <v>45068</v>
      </c>
      <c r="D266" t="s">
        <v>37</v>
      </c>
      <c r="E266" t="s">
        <v>38</v>
      </c>
      <c r="F266" t="s">
        <v>39</v>
      </c>
      <c r="G266" t="s">
        <v>35</v>
      </c>
      <c r="H266" t="s">
        <v>40</v>
      </c>
      <c r="I266">
        <v>1</v>
      </c>
      <c r="J266">
        <v>337.38</v>
      </c>
      <c r="K266">
        <v>112.5</v>
      </c>
      <c r="L266">
        <v>356</v>
      </c>
      <c r="M266">
        <v>11.23</v>
      </c>
      <c r="N266" t="s">
        <v>23</v>
      </c>
      <c r="O266">
        <v>5</v>
      </c>
      <c r="P266">
        <v>337.38</v>
      </c>
      <c r="Q266">
        <v>449.88</v>
      </c>
      <c r="R266" t="s">
        <v>2054</v>
      </c>
    </row>
    <row r="267" spans="1:18" x14ac:dyDescent="0.25">
      <c r="A267" t="s">
        <v>318</v>
      </c>
      <c r="B267" s="1">
        <v>45064</v>
      </c>
      <c r="C267" s="1">
        <v>45069</v>
      </c>
      <c r="D267" t="s">
        <v>75</v>
      </c>
      <c r="E267" t="s">
        <v>44</v>
      </c>
      <c r="F267" t="s">
        <v>45</v>
      </c>
      <c r="G267" t="s">
        <v>35</v>
      </c>
      <c r="H267" t="s">
        <v>40</v>
      </c>
      <c r="I267">
        <v>3</v>
      </c>
      <c r="J267">
        <v>1031.52</v>
      </c>
      <c r="K267">
        <v>37.5</v>
      </c>
      <c r="L267">
        <v>280</v>
      </c>
      <c r="M267">
        <v>1064.3399999999999</v>
      </c>
      <c r="N267" t="s">
        <v>23</v>
      </c>
      <c r="O267">
        <v>5</v>
      </c>
      <c r="P267">
        <v>3094.56</v>
      </c>
      <c r="Q267">
        <v>3132.06</v>
      </c>
      <c r="R267" t="s">
        <v>2054</v>
      </c>
    </row>
    <row r="268" spans="1:18" x14ac:dyDescent="0.25">
      <c r="A268" t="s">
        <v>319</v>
      </c>
      <c r="B268" s="1">
        <v>45064</v>
      </c>
      <c r="C268" s="1">
        <v>45069</v>
      </c>
      <c r="D268" t="s">
        <v>58</v>
      </c>
      <c r="E268" t="s">
        <v>19</v>
      </c>
      <c r="F268" t="s">
        <v>20</v>
      </c>
      <c r="G268" t="s">
        <v>35</v>
      </c>
      <c r="H268" t="s">
        <v>40</v>
      </c>
      <c r="I268">
        <v>7</v>
      </c>
      <c r="J268">
        <v>10</v>
      </c>
      <c r="K268">
        <v>12</v>
      </c>
      <c r="L268">
        <v>209</v>
      </c>
      <c r="M268">
        <v>-0.4</v>
      </c>
      <c r="N268" t="s">
        <v>23</v>
      </c>
      <c r="O268">
        <v>5</v>
      </c>
      <c r="P268">
        <v>70</v>
      </c>
      <c r="Q268">
        <v>82</v>
      </c>
      <c r="R268" t="s">
        <v>2054</v>
      </c>
    </row>
    <row r="269" spans="1:18" x14ac:dyDescent="0.25">
      <c r="A269" t="s">
        <v>320</v>
      </c>
      <c r="B269" s="1">
        <v>45065</v>
      </c>
      <c r="C269" s="1">
        <v>45072</v>
      </c>
      <c r="D269" t="s">
        <v>52</v>
      </c>
      <c r="E269" t="s">
        <v>30</v>
      </c>
      <c r="F269" t="s">
        <v>31</v>
      </c>
      <c r="G269" t="s">
        <v>35</v>
      </c>
      <c r="H269" t="s">
        <v>22</v>
      </c>
      <c r="I269">
        <v>2</v>
      </c>
      <c r="J269">
        <v>91.35</v>
      </c>
      <c r="K269">
        <v>12</v>
      </c>
      <c r="L269">
        <v>238</v>
      </c>
      <c r="M269">
        <v>67.08</v>
      </c>
      <c r="N269" t="s">
        <v>63</v>
      </c>
      <c r="O269">
        <v>7</v>
      </c>
      <c r="P269">
        <v>182.7</v>
      </c>
      <c r="Q269">
        <v>194.7</v>
      </c>
      <c r="R269" t="s">
        <v>2054</v>
      </c>
    </row>
    <row r="270" spans="1:18" x14ac:dyDescent="0.25">
      <c r="A270" t="s">
        <v>321</v>
      </c>
      <c r="B270" s="1">
        <v>45066</v>
      </c>
      <c r="C270" s="1">
        <v>45069</v>
      </c>
      <c r="D270" t="s">
        <v>37</v>
      </c>
      <c r="E270" t="s">
        <v>38</v>
      </c>
      <c r="F270" t="s">
        <v>39</v>
      </c>
      <c r="G270" t="s">
        <v>35</v>
      </c>
      <c r="H270" t="s">
        <v>40</v>
      </c>
      <c r="I270">
        <v>1</v>
      </c>
      <c r="J270">
        <v>490.72</v>
      </c>
      <c r="K270">
        <v>112.5</v>
      </c>
      <c r="L270">
        <v>237</v>
      </c>
      <c r="M270">
        <v>41.89</v>
      </c>
      <c r="N270" t="s">
        <v>23</v>
      </c>
      <c r="O270">
        <v>3</v>
      </c>
      <c r="P270">
        <v>490.72</v>
      </c>
      <c r="Q270">
        <v>603.22</v>
      </c>
      <c r="R270" t="s">
        <v>2054</v>
      </c>
    </row>
    <row r="271" spans="1:18" x14ac:dyDescent="0.25">
      <c r="A271" t="s">
        <v>322</v>
      </c>
      <c r="B271" s="1">
        <v>45067</v>
      </c>
      <c r="C271" s="1">
        <v>45072</v>
      </c>
      <c r="D271" t="s">
        <v>29</v>
      </c>
      <c r="E271" t="s">
        <v>30</v>
      </c>
      <c r="F271" t="s">
        <v>31</v>
      </c>
      <c r="G271" t="s">
        <v>35</v>
      </c>
      <c r="H271" t="s">
        <v>40</v>
      </c>
      <c r="I271">
        <v>5</v>
      </c>
      <c r="J271">
        <v>72.349999999999994</v>
      </c>
      <c r="K271">
        <v>18</v>
      </c>
      <c r="L271">
        <v>27</v>
      </c>
      <c r="M271">
        <v>135.69999999999999</v>
      </c>
      <c r="N271" t="s">
        <v>23</v>
      </c>
      <c r="O271">
        <v>5</v>
      </c>
      <c r="P271">
        <v>361.75</v>
      </c>
      <c r="Q271">
        <v>379.75</v>
      </c>
      <c r="R271" t="s">
        <v>2055</v>
      </c>
    </row>
    <row r="272" spans="1:18" x14ac:dyDescent="0.25">
      <c r="A272" t="s">
        <v>323</v>
      </c>
      <c r="B272" s="1">
        <v>45067</v>
      </c>
      <c r="C272" s="1">
        <v>45071</v>
      </c>
      <c r="D272" t="s">
        <v>37</v>
      </c>
      <c r="E272" t="s">
        <v>38</v>
      </c>
      <c r="F272" t="s">
        <v>39</v>
      </c>
      <c r="G272" t="s">
        <v>21</v>
      </c>
      <c r="H272" t="s">
        <v>27</v>
      </c>
      <c r="I272">
        <v>2</v>
      </c>
      <c r="J272">
        <v>147.82</v>
      </c>
      <c r="K272">
        <v>75</v>
      </c>
      <c r="L272">
        <v>92</v>
      </c>
      <c r="M272">
        <v>21.63</v>
      </c>
      <c r="N272" t="s">
        <v>23</v>
      </c>
      <c r="O272">
        <v>4</v>
      </c>
      <c r="P272">
        <v>295.64</v>
      </c>
      <c r="Q272">
        <v>370.64</v>
      </c>
      <c r="R272" t="s">
        <v>2054</v>
      </c>
    </row>
    <row r="273" spans="1:18" x14ac:dyDescent="0.25">
      <c r="A273" t="s">
        <v>324</v>
      </c>
      <c r="B273" s="1">
        <v>45067</v>
      </c>
      <c r="C273" s="1">
        <v>45071</v>
      </c>
      <c r="D273" t="s">
        <v>29</v>
      </c>
      <c r="E273" t="s">
        <v>30</v>
      </c>
      <c r="F273" t="s">
        <v>31</v>
      </c>
      <c r="G273" t="s">
        <v>26</v>
      </c>
      <c r="H273" t="s">
        <v>32</v>
      </c>
      <c r="I273">
        <v>5</v>
      </c>
      <c r="J273">
        <v>121.45</v>
      </c>
      <c r="K273">
        <v>12</v>
      </c>
      <c r="L273">
        <v>105</v>
      </c>
      <c r="M273">
        <v>-91.08</v>
      </c>
      <c r="N273" t="s">
        <v>23</v>
      </c>
      <c r="O273">
        <v>4</v>
      </c>
      <c r="P273">
        <v>607.25</v>
      </c>
      <c r="Q273">
        <v>619.25</v>
      </c>
      <c r="R273" t="s">
        <v>2054</v>
      </c>
    </row>
    <row r="274" spans="1:18" x14ac:dyDescent="0.25">
      <c r="A274" t="s">
        <v>325</v>
      </c>
      <c r="B274" s="1">
        <v>45069</v>
      </c>
      <c r="C274" s="1">
        <v>45072</v>
      </c>
      <c r="D274" t="s">
        <v>52</v>
      </c>
      <c r="E274" t="s">
        <v>30</v>
      </c>
      <c r="F274" t="s">
        <v>31</v>
      </c>
      <c r="G274" t="s">
        <v>35</v>
      </c>
      <c r="H274" t="s">
        <v>27</v>
      </c>
      <c r="I274">
        <v>4</v>
      </c>
      <c r="J274">
        <v>45.51</v>
      </c>
      <c r="K274">
        <v>12</v>
      </c>
      <c r="L274">
        <v>365</v>
      </c>
      <c r="M274">
        <v>66.819999999999993</v>
      </c>
      <c r="N274" t="s">
        <v>23</v>
      </c>
      <c r="O274">
        <v>3</v>
      </c>
      <c r="P274">
        <v>182.04</v>
      </c>
      <c r="Q274">
        <v>194.04</v>
      </c>
      <c r="R274" t="s">
        <v>2054</v>
      </c>
    </row>
    <row r="275" spans="1:18" x14ac:dyDescent="0.25">
      <c r="A275" t="s">
        <v>326</v>
      </c>
      <c r="B275" s="1">
        <v>45069</v>
      </c>
      <c r="C275" s="1">
        <v>45071</v>
      </c>
      <c r="D275" t="s">
        <v>52</v>
      </c>
      <c r="E275" t="s">
        <v>30</v>
      </c>
      <c r="F275" t="s">
        <v>31</v>
      </c>
      <c r="G275" t="s">
        <v>26</v>
      </c>
      <c r="H275" t="s">
        <v>22</v>
      </c>
      <c r="I275">
        <v>3</v>
      </c>
      <c r="J275">
        <v>146.81</v>
      </c>
      <c r="K275">
        <v>12</v>
      </c>
      <c r="L275">
        <v>30</v>
      </c>
      <c r="M275">
        <v>170.17</v>
      </c>
      <c r="N275" t="s">
        <v>23</v>
      </c>
      <c r="O275">
        <v>2</v>
      </c>
      <c r="P275">
        <v>440.43</v>
      </c>
      <c r="Q275">
        <v>452.43</v>
      </c>
      <c r="R275" t="s">
        <v>2055</v>
      </c>
    </row>
    <row r="276" spans="1:18" x14ac:dyDescent="0.25">
      <c r="A276" t="s">
        <v>327</v>
      </c>
      <c r="B276" s="1">
        <v>45069</v>
      </c>
      <c r="C276" s="1">
        <v>45083</v>
      </c>
      <c r="D276" t="s">
        <v>34</v>
      </c>
      <c r="E276" t="s">
        <v>30</v>
      </c>
      <c r="F276" t="s">
        <v>31</v>
      </c>
      <c r="G276" t="s">
        <v>35</v>
      </c>
      <c r="H276" t="s">
        <v>27</v>
      </c>
      <c r="I276">
        <v>4</v>
      </c>
      <c r="J276">
        <v>104.88</v>
      </c>
      <c r="K276">
        <v>12</v>
      </c>
      <c r="L276">
        <v>251</v>
      </c>
      <c r="M276">
        <v>161.81</v>
      </c>
      <c r="N276" t="s">
        <v>47</v>
      </c>
      <c r="O276">
        <v>14</v>
      </c>
      <c r="P276">
        <v>419.52</v>
      </c>
      <c r="Q276">
        <v>431.52</v>
      </c>
      <c r="R276" t="s">
        <v>2054</v>
      </c>
    </row>
    <row r="277" spans="1:18" x14ac:dyDescent="0.25">
      <c r="A277" t="s">
        <v>328</v>
      </c>
      <c r="B277" s="1">
        <v>45069</v>
      </c>
      <c r="C277" s="1">
        <v>45074</v>
      </c>
      <c r="D277" t="s">
        <v>72</v>
      </c>
      <c r="E277" t="s">
        <v>44</v>
      </c>
      <c r="F277" t="s">
        <v>45</v>
      </c>
      <c r="G277" t="s">
        <v>21</v>
      </c>
      <c r="H277" t="s">
        <v>32</v>
      </c>
      <c r="I277">
        <v>2</v>
      </c>
      <c r="J277">
        <v>901.74</v>
      </c>
      <c r="K277">
        <v>25</v>
      </c>
      <c r="L277">
        <v>70</v>
      </c>
      <c r="M277">
        <v>618.72</v>
      </c>
      <c r="N277" t="s">
        <v>23</v>
      </c>
      <c r="O277">
        <v>5</v>
      </c>
      <c r="P277">
        <v>1803.48</v>
      </c>
      <c r="Q277">
        <v>1828.48</v>
      </c>
      <c r="R277" t="s">
        <v>2054</v>
      </c>
    </row>
    <row r="278" spans="1:18" x14ac:dyDescent="0.25">
      <c r="A278" t="s">
        <v>329</v>
      </c>
      <c r="B278" s="1">
        <v>45070</v>
      </c>
      <c r="C278" s="1">
        <v>45073</v>
      </c>
      <c r="D278" t="s">
        <v>29</v>
      </c>
      <c r="E278" t="s">
        <v>30</v>
      </c>
      <c r="F278" t="s">
        <v>31</v>
      </c>
      <c r="G278" t="s">
        <v>21</v>
      </c>
      <c r="H278" t="s">
        <v>27</v>
      </c>
      <c r="I278">
        <v>1</v>
      </c>
      <c r="J278">
        <v>119.65</v>
      </c>
      <c r="K278">
        <v>12</v>
      </c>
      <c r="L278">
        <v>279</v>
      </c>
      <c r="M278">
        <v>41.86</v>
      </c>
      <c r="N278" t="s">
        <v>23</v>
      </c>
      <c r="O278">
        <v>3</v>
      </c>
      <c r="P278">
        <v>119.65</v>
      </c>
      <c r="Q278">
        <v>131.65</v>
      </c>
      <c r="R278" t="s">
        <v>2054</v>
      </c>
    </row>
    <row r="279" spans="1:18" x14ac:dyDescent="0.25">
      <c r="A279" t="s">
        <v>330</v>
      </c>
      <c r="B279" s="1">
        <v>45070</v>
      </c>
      <c r="C279" s="1">
        <v>45072</v>
      </c>
      <c r="D279" t="s">
        <v>78</v>
      </c>
      <c r="E279" t="s">
        <v>79</v>
      </c>
      <c r="F279" t="s">
        <v>80</v>
      </c>
      <c r="G279" t="s">
        <v>35</v>
      </c>
      <c r="H279" t="s">
        <v>27</v>
      </c>
      <c r="I279">
        <v>1</v>
      </c>
      <c r="J279">
        <v>68.099999999999994</v>
      </c>
      <c r="K279">
        <v>12</v>
      </c>
      <c r="L279">
        <v>298</v>
      </c>
      <c r="M279">
        <v>24.64</v>
      </c>
      <c r="N279" t="s">
        <v>23</v>
      </c>
      <c r="O279">
        <v>2</v>
      </c>
      <c r="P279">
        <v>68.099999999999994</v>
      </c>
      <c r="Q279">
        <v>80.099999999999994</v>
      </c>
      <c r="R279" t="s">
        <v>2054</v>
      </c>
    </row>
    <row r="280" spans="1:18" x14ac:dyDescent="0.25">
      <c r="A280" t="s">
        <v>331</v>
      </c>
      <c r="B280" s="1">
        <v>45070</v>
      </c>
      <c r="C280" s="1">
        <v>45074</v>
      </c>
      <c r="D280" t="s">
        <v>82</v>
      </c>
      <c r="E280" t="s">
        <v>79</v>
      </c>
      <c r="F280" t="s">
        <v>80</v>
      </c>
      <c r="G280" t="s">
        <v>35</v>
      </c>
      <c r="H280" t="s">
        <v>22</v>
      </c>
      <c r="I280">
        <v>4</v>
      </c>
      <c r="J280">
        <v>64.11</v>
      </c>
      <c r="K280">
        <v>12</v>
      </c>
      <c r="L280">
        <v>54</v>
      </c>
      <c r="M280">
        <v>109.4</v>
      </c>
      <c r="N280" t="s">
        <v>23</v>
      </c>
      <c r="O280">
        <v>4</v>
      </c>
      <c r="P280">
        <v>256.44</v>
      </c>
      <c r="Q280">
        <v>268.44</v>
      </c>
      <c r="R280" t="s">
        <v>2054</v>
      </c>
    </row>
    <row r="281" spans="1:18" x14ac:dyDescent="0.25">
      <c r="A281" t="s">
        <v>332</v>
      </c>
      <c r="B281" s="1">
        <v>45071</v>
      </c>
      <c r="C281" s="1">
        <v>45074</v>
      </c>
      <c r="D281" t="s">
        <v>29</v>
      </c>
      <c r="E281" t="s">
        <v>30</v>
      </c>
      <c r="F281" t="s">
        <v>31</v>
      </c>
      <c r="G281" t="s">
        <v>21</v>
      </c>
      <c r="H281" t="s">
        <v>22</v>
      </c>
      <c r="I281">
        <v>1</v>
      </c>
      <c r="J281">
        <v>34.97</v>
      </c>
      <c r="K281">
        <v>12</v>
      </c>
      <c r="L281">
        <v>125</v>
      </c>
      <c r="M281">
        <v>7.99</v>
      </c>
      <c r="N281" t="s">
        <v>23</v>
      </c>
      <c r="O281">
        <v>3</v>
      </c>
      <c r="P281">
        <v>34.97</v>
      </c>
      <c r="Q281">
        <v>46.97</v>
      </c>
      <c r="R281" t="s">
        <v>2054</v>
      </c>
    </row>
    <row r="282" spans="1:18" x14ac:dyDescent="0.25">
      <c r="A282" t="s">
        <v>333</v>
      </c>
      <c r="B282" s="1">
        <v>45071</v>
      </c>
      <c r="C282" s="1">
        <v>45087</v>
      </c>
      <c r="D282" t="s">
        <v>25</v>
      </c>
      <c r="E282" t="s">
        <v>19</v>
      </c>
      <c r="F282" t="s">
        <v>20</v>
      </c>
      <c r="G282" t="s">
        <v>35</v>
      </c>
      <c r="H282" t="s">
        <v>22</v>
      </c>
      <c r="I282">
        <v>13</v>
      </c>
      <c r="J282">
        <v>28.22</v>
      </c>
      <c r="K282">
        <v>8</v>
      </c>
      <c r="L282">
        <v>229</v>
      </c>
      <c r="M282">
        <v>25.34</v>
      </c>
      <c r="N282" t="s">
        <v>47</v>
      </c>
      <c r="O282">
        <v>16</v>
      </c>
      <c r="P282">
        <v>366.86</v>
      </c>
      <c r="Q282">
        <v>374.86</v>
      </c>
      <c r="R282" t="s">
        <v>2054</v>
      </c>
    </row>
    <row r="283" spans="1:18" x14ac:dyDescent="0.25">
      <c r="A283" t="s">
        <v>334</v>
      </c>
      <c r="B283" s="1">
        <v>45072</v>
      </c>
      <c r="C283" s="1">
        <v>45082</v>
      </c>
      <c r="D283" t="s">
        <v>54</v>
      </c>
      <c r="E283" t="s">
        <v>38</v>
      </c>
      <c r="F283" t="s">
        <v>39</v>
      </c>
      <c r="G283" t="s">
        <v>35</v>
      </c>
      <c r="H283" t="s">
        <v>22</v>
      </c>
      <c r="I283">
        <v>1</v>
      </c>
      <c r="J283">
        <v>447.27</v>
      </c>
      <c r="K283">
        <v>75</v>
      </c>
      <c r="L283">
        <v>207</v>
      </c>
      <c r="M283">
        <v>51.95</v>
      </c>
      <c r="N283" t="s">
        <v>63</v>
      </c>
      <c r="O283">
        <v>10</v>
      </c>
      <c r="P283">
        <v>447.27</v>
      </c>
      <c r="Q283">
        <v>522.27</v>
      </c>
      <c r="R283" t="s">
        <v>2054</v>
      </c>
    </row>
    <row r="284" spans="1:18" x14ac:dyDescent="0.25">
      <c r="A284" t="s">
        <v>335</v>
      </c>
      <c r="B284" s="1">
        <v>45072</v>
      </c>
      <c r="C284" s="1">
        <v>45082</v>
      </c>
      <c r="D284" t="s">
        <v>43</v>
      </c>
      <c r="E284" t="s">
        <v>44</v>
      </c>
      <c r="F284" t="s">
        <v>45</v>
      </c>
      <c r="G284" t="s">
        <v>35</v>
      </c>
      <c r="H284" t="s">
        <v>40</v>
      </c>
      <c r="I284">
        <v>1</v>
      </c>
      <c r="J284">
        <v>563.65</v>
      </c>
      <c r="K284">
        <v>37.5</v>
      </c>
      <c r="L284">
        <v>272</v>
      </c>
      <c r="M284">
        <v>178.53</v>
      </c>
      <c r="N284" t="s">
        <v>63</v>
      </c>
      <c r="O284">
        <v>10</v>
      </c>
      <c r="P284">
        <v>563.65</v>
      </c>
      <c r="Q284">
        <v>601.15</v>
      </c>
      <c r="R284" t="s">
        <v>2054</v>
      </c>
    </row>
    <row r="285" spans="1:18" x14ac:dyDescent="0.25">
      <c r="A285" t="s">
        <v>336</v>
      </c>
      <c r="B285" s="1">
        <v>45072</v>
      </c>
      <c r="C285" s="1">
        <v>45075</v>
      </c>
      <c r="D285" t="s">
        <v>75</v>
      </c>
      <c r="E285" t="s">
        <v>44</v>
      </c>
      <c r="F285" t="s">
        <v>45</v>
      </c>
      <c r="G285" t="s">
        <v>35</v>
      </c>
      <c r="H285" t="s">
        <v>27</v>
      </c>
      <c r="I285">
        <v>1</v>
      </c>
      <c r="J285">
        <v>596.30999999999995</v>
      </c>
      <c r="K285">
        <v>25</v>
      </c>
      <c r="L285">
        <v>66</v>
      </c>
      <c r="M285">
        <v>196.21</v>
      </c>
      <c r="N285" t="s">
        <v>23</v>
      </c>
      <c r="O285">
        <v>3</v>
      </c>
      <c r="P285">
        <v>596.30999999999995</v>
      </c>
      <c r="Q285">
        <v>621.30999999999995</v>
      </c>
      <c r="R285" t="s">
        <v>2054</v>
      </c>
    </row>
    <row r="286" spans="1:18" x14ac:dyDescent="0.25">
      <c r="A286" t="s">
        <v>337</v>
      </c>
      <c r="B286" s="1">
        <v>45073</v>
      </c>
      <c r="C286" s="1">
        <v>45076</v>
      </c>
      <c r="D286" t="s">
        <v>34</v>
      </c>
      <c r="E286" t="s">
        <v>30</v>
      </c>
      <c r="F286" t="s">
        <v>31</v>
      </c>
      <c r="G286" t="s">
        <v>21</v>
      </c>
      <c r="H286" t="s">
        <v>40</v>
      </c>
      <c r="I286">
        <v>1</v>
      </c>
      <c r="J286">
        <v>81.09</v>
      </c>
      <c r="K286">
        <v>18</v>
      </c>
      <c r="L286">
        <v>177</v>
      </c>
      <c r="M286">
        <v>23.44</v>
      </c>
      <c r="N286" t="s">
        <v>23</v>
      </c>
      <c r="O286">
        <v>3</v>
      </c>
      <c r="P286">
        <v>81.09</v>
      </c>
      <c r="Q286">
        <v>99.09</v>
      </c>
      <c r="R286" t="s">
        <v>2054</v>
      </c>
    </row>
    <row r="287" spans="1:18" x14ac:dyDescent="0.25">
      <c r="A287" t="s">
        <v>338</v>
      </c>
      <c r="B287" s="1">
        <v>45073</v>
      </c>
      <c r="C287" s="1">
        <v>45085</v>
      </c>
      <c r="D287" t="s">
        <v>25</v>
      </c>
      <c r="E287" t="s">
        <v>19</v>
      </c>
      <c r="F287" t="s">
        <v>20</v>
      </c>
      <c r="G287" t="s">
        <v>35</v>
      </c>
      <c r="H287" t="s">
        <v>32</v>
      </c>
      <c r="I287">
        <v>11</v>
      </c>
      <c r="J287">
        <v>21.08</v>
      </c>
      <c r="K287">
        <v>8</v>
      </c>
      <c r="L287">
        <v>365</v>
      </c>
      <c r="M287">
        <v>14.55</v>
      </c>
      <c r="N287" t="s">
        <v>47</v>
      </c>
      <c r="O287">
        <v>12</v>
      </c>
      <c r="P287">
        <v>231.88</v>
      </c>
      <c r="Q287">
        <v>239.88</v>
      </c>
      <c r="R287" t="s">
        <v>2054</v>
      </c>
    </row>
    <row r="288" spans="1:18" x14ac:dyDescent="0.25">
      <c r="A288" t="s">
        <v>339</v>
      </c>
      <c r="B288" s="1">
        <v>45074</v>
      </c>
      <c r="C288" s="1">
        <v>45078</v>
      </c>
      <c r="D288" t="s">
        <v>18</v>
      </c>
      <c r="E288" t="s">
        <v>19</v>
      </c>
      <c r="F288" t="s">
        <v>20</v>
      </c>
      <c r="G288" t="s">
        <v>26</v>
      </c>
      <c r="H288" t="s">
        <v>32</v>
      </c>
      <c r="I288">
        <v>9</v>
      </c>
      <c r="J288">
        <v>26.91</v>
      </c>
      <c r="K288">
        <v>8</v>
      </c>
      <c r="L288">
        <v>248</v>
      </c>
      <c r="M288">
        <v>-36.32</v>
      </c>
      <c r="N288" t="s">
        <v>23</v>
      </c>
      <c r="O288">
        <v>4</v>
      </c>
      <c r="P288">
        <v>242.19</v>
      </c>
      <c r="Q288">
        <v>250.19</v>
      </c>
      <c r="R288" t="s">
        <v>2054</v>
      </c>
    </row>
    <row r="289" spans="1:18" x14ac:dyDescent="0.25">
      <c r="A289" t="s">
        <v>340</v>
      </c>
      <c r="B289" s="1">
        <v>45074</v>
      </c>
      <c r="C289" s="1">
        <v>45079</v>
      </c>
      <c r="D289" t="s">
        <v>82</v>
      </c>
      <c r="E289" t="s">
        <v>79</v>
      </c>
      <c r="F289" t="s">
        <v>80</v>
      </c>
      <c r="G289" t="s">
        <v>21</v>
      </c>
      <c r="H289" t="s">
        <v>40</v>
      </c>
      <c r="I289">
        <v>5</v>
      </c>
      <c r="J289">
        <v>21.68</v>
      </c>
      <c r="K289">
        <v>18</v>
      </c>
      <c r="L289">
        <v>209</v>
      </c>
      <c r="M289">
        <v>39.78</v>
      </c>
      <c r="N289" t="s">
        <v>23</v>
      </c>
      <c r="O289">
        <v>5</v>
      </c>
      <c r="P289">
        <v>108.4</v>
      </c>
      <c r="Q289">
        <v>126.4</v>
      </c>
      <c r="R289" t="s">
        <v>2054</v>
      </c>
    </row>
    <row r="290" spans="1:18" x14ac:dyDescent="0.25">
      <c r="A290" t="s">
        <v>341</v>
      </c>
      <c r="B290" s="1">
        <v>45075</v>
      </c>
      <c r="C290" s="1">
        <v>45076</v>
      </c>
      <c r="D290" t="s">
        <v>34</v>
      </c>
      <c r="E290" t="s">
        <v>30</v>
      </c>
      <c r="F290" t="s">
        <v>31</v>
      </c>
      <c r="G290" t="s">
        <v>21</v>
      </c>
      <c r="H290" t="s">
        <v>27</v>
      </c>
      <c r="I290">
        <v>3</v>
      </c>
      <c r="J290">
        <v>36.520000000000003</v>
      </c>
      <c r="K290">
        <v>12</v>
      </c>
      <c r="L290">
        <v>205</v>
      </c>
      <c r="M290">
        <v>37.83</v>
      </c>
      <c r="N290" t="s">
        <v>23</v>
      </c>
      <c r="O290">
        <v>1</v>
      </c>
      <c r="P290">
        <v>109.56</v>
      </c>
      <c r="Q290">
        <v>121.56</v>
      </c>
      <c r="R290" t="s">
        <v>2054</v>
      </c>
    </row>
    <row r="291" spans="1:18" x14ac:dyDescent="0.25">
      <c r="A291" t="s">
        <v>342</v>
      </c>
      <c r="B291" s="1">
        <v>45075</v>
      </c>
      <c r="C291" s="1">
        <v>45079</v>
      </c>
      <c r="D291" t="s">
        <v>58</v>
      </c>
      <c r="E291" t="s">
        <v>19</v>
      </c>
      <c r="F291" t="s">
        <v>20</v>
      </c>
      <c r="G291" t="s">
        <v>35</v>
      </c>
      <c r="H291" t="s">
        <v>40</v>
      </c>
      <c r="I291">
        <v>5</v>
      </c>
      <c r="J291">
        <v>33.520000000000003</v>
      </c>
      <c r="K291">
        <v>12</v>
      </c>
      <c r="L291">
        <v>1</v>
      </c>
      <c r="M291">
        <v>7.41</v>
      </c>
      <c r="N291" t="s">
        <v>23</v>
      </c>
      <c r="O291">
        <v>4</v>
      </c>
      <c r="P291">
        <v>167.60000000000002</v>
      </c>
      <c r="Q291">
        <v>179.60000000000002</v>
      </c>
      <c r="R291" t="s">
        <v>2056</v>
      </c>
    </row>
    <row r="292" spans="1:18" x14ac:dyDescent="0.25">
      <c r="A292" t="s">
        <v>343</v>
      </c>
      <c r="B292" s="1">
        <v>45075</v>
      </c>
      <c r="C292" s="1">
        <v>45076</v>
      </c>
      <c r="D292" t="s">
        <v>52</v>
      </c>
      <c r="E292" t="s">
        <v>30</v>
      </c>
      <c r="F292" t="s">
        <v>31</v>
      </c>
      <c r="G292" t="s">
        <v>21</v>
      </c>
      <c r="H292" t="s">
        <v>22</v>
      </c>
      <c r="I292">
        <v>4</v>
      </c>
      <c r="J292">
        <v>52.16</v>
      </c>
      <c r="K292">
        <v>12</v>
      </c>
      <c r="L292">
        <v>198</v>
      </c>
      <c r="M292">
        <v>77.459999999999994</v>
      </c>
      <c r="N292" t="s">
        <v>23</v>
      </c>
      <c r="O292">
        <v>1</v>
      </c>
      <c r="P292">
        <v>208.64</v>
      </c>
      <c r="Q292">
        <v>220.64</v>
      </c>
      <c r="R292" t="s">
        <v>2054</v>
      </c>
    </row>
    <row r="293" spans="1:18" x14ac:dyDescent="0.25">
      <c r="A293" t="s">
        <v>344</v>
      </c>
      <c r="B293" s="1">
        <v>45075</v>
      </c>
      <c r="C293" s="1">
        <v>45078</v>
      </c>
      <c r="D293" t="s">
        <v>52</v>
      </c>
      <c r="E293" t="s">
        <v>30</v>
      </c>
      <c r="F293" t="s">
        <v>31</v>
      </c>
      <c r="G293" t="s">
        <v>35</v>
      </c>
      <c r="H293" t="s">
        <v>40</v>
      </c>
      <c r="I293">
        <v>5</v>
      </c>
      <c r="J293">
        <v>122.41</v>
      </c>
      <c r="K293">
        <v>18</v>
      </c>
      <c r="L293">
        <v>349</v>
      </c>
      <c r="M293">
        <v>235.81</v>
      </c>
      <c r="N293" t="s">
        <v>23</v>
      </c>
      <c r="O293">
        <v>3</v>
      </c>
      <c r="P293">
        <v>612.04999999999995</v>
      </c>
      <c r="Q293">
        <v>630.04999999999995</v>
      </c>
      <c r="R293" t="s">
        <v>2054</v>
      </c>
    </row>
    <row r="294" spans="1:18" x14ac:dyDescent="0.25">
      <c r="A294" t="s">
        <v>345</v>
      </c>
      <c r="B294" s="1">
        <v>45075</v>
      </c>
      <c r="C294" s="1">
        <v>45079</v>
      </c>
      <c r="D294" t="s">
        <v>50</v>
      </c>
      <c r="E294" t="s">
        <v>44</v>
      </c>
      <c r="F294" t="s">
        <v>45</v>
      </c>
      <c r="G294" t="s">
        <v>26</v>
      </c>
      <c r="H294" t="s">
        <v>22</v>
      </c>
      <c r="I294">
        <v>1</v>
      </c>
      <c r="J294">
        <v>384.46</v>
      </c>
      <c r="K294">
        <v>25</v>
      </c>
      <c r="L294">
        <v>25</v>
      </c>
      <c r="M294">
        <v>122.06</v>
      </c>
      <c r="N294" t="s">
        <v>23</v>
      </c>
      <c r="O294">
        <v>4</v>
      </c>
      <c r="P294">
        <v>384.46</v>
      </c>
      <c r="Q294">
        <v>409.46</v>
      </c>
      <c r="R294" t="s">
        <v>2055</v>
      </c>
    </row>
    <row r="295" spans="1:18" x14ac:dyDescent="0.25">
      <c r="A295" t="s">
        <v>346</v>
      </c>
      <c r="B295" s="1">
        <v>45075</v>
      </c>
      <c r="C295" s="1">
        <v>45079</v>
      </c>
      <c r="D295" t="s">
        <v>37</v>
      </c>
      <c r="E295" t="s">
        <v>38</v>
      </c>
      <c r="F295" t="s">
        <v>39</v>
      </c>
      <c r="G295" t="s">
        <v>26</v>
      </c>
      <c r="H295" t="s">
        <v>22</v>
      </c>
      <c r="I295">
        <v>1</v>
      </c>
      <c r="J295">
        <v>253.11</v>
      </c>
      <c r="K295">
        <v>75</v>
      </c>
      <c r="L295">
        <v>194</v>
      </c>
      <c r="M295">
        <v>13.12</v>
      </c>
      <c r="N295" t="s">
        <v>23</v>
      </c>
      <c r="O295">
        <v>4</v>
      </c>
      <c r="P295">
        <v>253.11</v>
      </c>
      <c r="Q295">
        <v>328.11</v>
      </c>
      <c r="R295" t="s">
        <v>2054</v>
      </c>
    </row>
    <row r="296" spans="1:18" x14ac:dyDescent="0.25">
      <c r="A296" t="s">
        <v>347</v>
      </c>
      <c r="B296" s="1">
        <v>45076</v>
      </c>
      <c r="C296" s="1">
        <v>45089</v>
      </c>
      <c r="D296" t="s">
        <v>72</v>
      </c>
      <c r="E296" t="s">
        <v>44</v>
      </c>
      <c r="F296" t="s">
        <v>45</v>
      </c>
      <c r="G296" t="s">
        <v>35</v>
      </c>
      <c r="H296" t="s">
        <v>40</v>
      </c>
      <c r="I296">
        <v>1</v>
      </c>
      <c r="J296">
        <v>766.02</v>
      </c>
      <c r="K296">
        <v>37.5</v>
      </c>
      <c r="L296">
        <v>352</v>
      </c>
      <c r="M296">
        <v>249.36</v>
      </c>
      <c r="N296" t="s">
        <v>47</v>
      </c>
      <c r="O296">
        <v>13</v>
      </c>
      <c r="P296">
        <v>766.02</v>
      </c>
      <c r="Q296">
        <v>803.52</v>
      </c>
      <c r="R296" t="s">
        <v>2054</v>
      </c>
    </row>
    <row r="297" spans="1:18" x14ac:dyDescent="0.25">
      <c r="A297" t="s">
        <v>348</v>
      </c>
      <c r="B297" s="1">
        <v>45077</v>
      </c>
      <c r="C297" s="1">
        <v>45092</v>
      </c>
      <c r="D297" t="s">
        <v>75</v>
      </c>
      <c r="E297" t="s">
        <v>44</v>
      </c>
      <c r="F297" t="s">
        <v>45</v>
      </c>
      <c r="G297" t="s">
        <v>35</v>
      </c>
      <c r="H297" t="s">
        <v>40</v>
      </c>
      <c r="I297">
        <v>2</v>
      </c>
      <c r="J297">
        <v>651.19000000000005</v>
      </c>
      <c r="K297">
        <v>37.5</v>
      </c>
      <c r="L297">
        <v>129</v>
      </c>
      <c r="M297">
        <v>437.09</v>
      </c>
      <c r="N297" t="s">
        <v>47</v>
      </c>
      <c r="O297">
        <v>15</v>
      </c>
      <c r="P297">
        <v>1302.3800000000001</v>
      </c>
      <c r="Q297">
        <v>1339.88</v>
      </c>
      <c r="R297" t="s">
        <v>2054</v>
      </c>
    </row>
    <row r="298" spans="1:18" x14ac:dyDescent="0.25">
      <c r="A298" t="s">
        <v>349</v>
      </c>
      <c r="B298" s="1">
        <v>45077</v>
      </c>
      <c r="C298" s="1">
        <v>45079</v>
      </c>
      <c r="D298" t="s">
        <v>75</v>
      </c>
      <c r="E298" t="s">
        <v>44</v>
      </c>
      <c r="F298" t="s">
        <v>45</v>
      </c>
      <c r="G298" t="s">
        <v>35</v>
      </c>
      <c r="H298" t="s">
        <v>40</v>
      </c>
      <c r="I298">
        <v>3</v>
      </c>
      <c r="J298">
        <v>366.07</v>
      </c>
      <c r="K298">
        <v>37.5</v>
      </c>
      <c r="L298">
        <v>44</v>
      </c>
      <c r="M298">
        <v>365.63</v>
      </c>
      <c r="N298" t="s">
        <v>23</v>
      </c>
      <c r="O298">
        <v>2</v>
      </c>
      <c r="P298">
        <v>1098.21</v>
      </c>
      <c r="Q298">
        <v>1135.71</v>
      </c>
      <c r="R298" t="s">
        <v>2055</v>
      </c>
    </row>
    <row r="299" spans="1:18" x14ac:dyDescent="0.25">
      <c r="A299" t="s">
        <v>350</v>
      </c>
      <c r="B299" s="1">
        <v>45077</v>
      </c>
      <c r="C299" s="1">
        <v>45078</v>
      </c>
      <c r="D299" t="s">
        <v>50</v>
      </c>
      <c r="E299" t="s">
        <v>44</v>
      </c>
      <c r="F299" t="s">
        <v>45</v>
      </c>
      <c r="G299" t="s">
        <v>35</v>
      </c>
      <c r="H299" t="s">
        <v>40</v>
      </c>
      <c r="I299">
        <v>3</v>
      </c>
      <c r="J299">
        <v>870.43</v>
      </c>
      <c r="K299">
        <v>37.5</v>
      </c>
      <c r="L299">
        <v>179</v>
      </c>
      <c r="M299">
        <v>895.21</v>
      </c>
      <c r="N299" t="s">
        <v>23</v>
      </c>
      <c r="O299">
        <v>1</v>
      </c>
      <c r="P299">
        <v>2611.29</v>
      </c>
      <c r="Q299">
        <v>2648.79</v>
      </c>
      <c r="R299" t="s">
        <v>2054</v>
      </c>
    </row>
    <row r="300" spans="1:18" x14ac:dyDescent="0.25">
      <c r="A300" t="s">
        <v>351</v>
      </c>
      <c r="B300" s="1">
        <v>45078</v>
      </c>
      <c r="C300" s="1">
        <v>45093</v>
      </c>
      <c r="D300" t="s">
        <v>43</v>
      </c>
      <c r="E300" t="s">
        <v>44</v>
      </c>
      <c r="F300" t="s">
        <v>45</v>
      </c>
      <c r="G300" t="s">
        <v>35</v>
      </c>
      <c r="H300" t="s">
        <v>40</v>
      </c>
      <c r="I300">
        <v>2</v>
      </c>
      <c r="J300">
        <v>241.43</v>
      </c>
      <c r="K300">
        <v>37.5</v>
      </c>
      <c r="L300">
        <v>299</v>
      </c>
      <c r="M300">
        <v>150.25</v>
      </c>
      <c r="N300" t="s">
        <v>47</v>
      </c>
      <c r="O300">
        <v>15</v>
      </c>
      <c r="P300">
        <v>482.86</v>
      </c>
      <c r="Q300">
        <v>520.36</v>
      </c>
      <c r="R300" t="s">
        <v>2054</v>
      </c>
    </row>
    <row r="301" spans="1:18" x14ac:dyDescent="0.25">
      <c r="A301" t="s">
        <v>352</v>
      </c>
      <c r="B301" s="1">
        <v>45078</v>
      </c>
      <c r="C301" s="1">
        <v>45086</v>
      </c>
      <c r="D301" t="s">
        <v>43</v>
      </c>
      <c r="E301" t="s">
        <v>44</v>
      </c>
      <c r="F301" t="s">
        <v>45</v>
      </c>
      <c r="G301" t="s">
        <v>35</v>
      </c>
      <c r="H301" t="s">
        <v>27</v>
      </c>
      <c r="I301">
        <v>1</v>
      </c>
      <c r="J301">
        <v>787.7</v>
      </c>
      <c r="K301">
        <v>25</v>
      </c>
      <c r="L301">
        <v>338</v>
      </c>
      <c r="M301">
        <v>263.19</v>
      </c>
      <c r="N301" t="s">
        <v>63</v>
      </c>
      <c r="O301">
        <v>8</v>
      </c>
      <c r="P301">
        <v>787.7</v>
      </c>
      <c r="Q301">
        <v>812.7</v>
      </c>
      <c r="R301" t="s">
        <v>2054</v>
      </c>
    </row>
    <row r="302" spans="1:18" x14ac:dyDescent="0.25">
      <c r="A302" t="s">
        <v>353</v>
      </c>
      <c r="B302" s="1">
        <v>45078</v>
      </c>
      <c r="C302" s="1">
        <v>45079</v>
      </c>
      <c r="D302" t="s">
        <v>58</v>
      </c>
      <c r="E302" t="s">
        <v>19</v>
      </c>
      <c r="F302" t="s">
        <v>20</v>
      </c>
      <c r="G302" t="s">
        <v>26</v>
      </c>
      <c r="H302" t="s">
        <v>27</v>
      </c>
      <c r="I302">
        <v>14</v>
      </c>
      <c r="J302">
        <v>23</v>
      </c>
      <c r="K302">
        <v>8</v>
      </c>
      <c r="L302">
        <v>235</v>
      </c>
      <c r="M302">
        <v>21.76</v>
      </c>
      <c r="N302" t="s">
        <v>23</v>
      </c>
      <c r="O302">
        <v>1</v>
      </c>
      <c r="P302">
        <v>322</v>
      </c>
      <c r="Q302">
        <v>330</v>
      </c>
      <c r="R302" t="s">
        <v>2054</v>
      </c>
    </row>
    <row r="303" spans="1:18" x14ac:dyDescent="0.25">
      <c r="A303" t="s">
        <v>354</v>
      </c>
      <c r="B303" s="1">
        <v>45079</v>
      </c>
      <c r="C303" s="1">
        <v>45083</v>
      </c>
      <c r="D303" t="s">
        <v>58</v>
      </c>
      <c r="E303" t="s">
        <v>19</v>
      </c>
      <c r="F303" t="s">
        <v>20</v>
      </c>
      <c r="G303" t="s">
        <v>35</v>
      </c>
      <c r="H303" t="s">
        <v>27</v>
      </c>
      <c r="I303">
        <v>7</v>
      </c>
      <c r="J303">
        <v>10.67</v>
      </c>
      <c r="K303">
        <v>8</v>
      </c>
      <c r="L303">
        <v>367</v>
      </c>
      <c r="M303">
        <v>1.97</v>
      </c>
      <c r="N303" t="s">
        <v>23</v>
      </c>
      <c r="O303">
        <v>4</v>
      </c>
      <c r="P303">
        <v>74.69</v>
      </c>
      <c r="Q303">
        <v>82.69</v>
      </c>
      <c r="R303" t="s">
        <v>2054</v>
      </c>
    </row>
    <row r="304" spans="1:18" x14ac:dyDescent="0.25">
      <c r="A304" t="s">
        <v>355</v>
      </c>
      <c r="B304" s="1">
        <v>45080</v>
      </c>
      <c r="C304" s="1">
        <v>45085</v>
      </c>
      <c r="D304" t="s">
        <v>25</v>
      </c>
      <c r="E304" t="s">
        <v>19</v>
      </c>
      <c r="F304" t="s">
        <v>20</v>
      </c>
      <c r="G304" t="s">
        <v>21</v>
      </c>
      <c r="H304" t="s">
        <v>32</v>
      </c>
      <c r="I304">
        <v>14</v>
      </c>
      <c r="J304">
        <v>12.38</v>
      </c>
      <c r="K304">
        <v>8</v>
      </c>
      <c r="L304">
        <v>187</v>
      </c>
      <c r="M304">
        <v>9.8699999999999992</v>
      </c>
      <c r="N304" t="s">
        <v>23</v>
      </c>
      <c r="O304">
        <v>5</v>
      </c>
      <c r="P304">
        <v>173.32000000000002</v>
      </c>
      <c r="Q304">
        <v>181.32000000000002</v>
      </c>
      <c r="R304" t="s">
        <v>2054</v>
      </c>
    </row>
    <row r="305" spans="1:18" x14ac:dyDescent="0.25">
      <c r="A305" t="s">
        <v>356</v>
      </c>
      <c r="B305" s="1">
        <v>45080</v>
      </c>
      <c r="C305" s="1">
        <v>45082</v>
      </c>
      <c r="D305" t="s">
        <v>58</v>
      </c>
      <c r="E305" t="s">
        <v>19</v>
      </c>
      <c r="F305" t="s">
        <v>20</v>
      </c>
      <c r="G305" t="s">
        <v>35</v>
      </c>
      <c r="H305" t="s">
        <v>27</v>
      </c>
      <c r="I305">
        <v>12</v>
      </c>
      <c r="J305">
        <v>25.84</v>
      </c>
      <c r="K305">
        <v>8</v>
      </c>
      <c r="L305">
        <v>104</v>
      </c>
      <c r="M305">
        <v>20.81</v>
      </c>
      <c r="N305" t="s">
        <v>23</v>
      </c>
      <c r="O305">
        <v>2</v>
      </c>
      <c r="P305">
        <v>310.08</v>
      </c>
      <c r="Q305">
        <v>318.08</v>
      </c>
      <c r="R305" t="s">
        <v>2054</v>
      </c>
    </row>
    <row r="306" spans="1:18" x14ac:dyDescent="0.25">
      <c r="A306" t="s">
        <v>357</v>
      </c>
      <c r="B306" s="1">
        <v>45080</v>
      </c>
      <c r="C306" s="1">
        <v>45081</v>
      </c>
      <c r="D306" t="s">
        <v>78</v>
      </c>
      <c r="E306" t="s">
        <v>79</v>
      </c>
      <c r="F306" t="s">
        <v>80</v>
      </c>
      <c r="G306" t="s">
        <v>35</v>
      </c>
      <c r="H306" t="s">
        <v>40</v>
      </c>
      <c r="I306">
        <v>5</v>
      </c>
      <c r="J306">
        <v>82.89</v>
      </c>
      <c r="K306">
        <v>18</v>
      </c>
      <c r="L306">
        <v>362</v>
      </c>
      <c r="M306">
        <v>177.51</v>
      </c>
      <c r="N306" t="s">
        <v>23</v>
      </c>
      <c r="O306">
        <v>1</v>
      </c>
      <c r="P306">
        <v>414.45</v>
      </c>
      <c r="Q306">
        <v>432.45</v>
      </c>
      <c r="R306" t="s">
        <v>2054</v>
      </c>
    </row>
    <row r="307" spans="1:18" x14ac:dyDescent="0.25">
      <c r="A307" t="s">
        <v>358</v>
      </c>
      <c r="B307" s="1">
        <v>45081</v>
      </c>
      <c r="C307" s="1">
        <v>45085</v>
      </c>
      <c r="D307" t="s">
        <v>72</v>
      </c>
      <c r="E307" t="s">
        <v>44</v>
      </c>
      <c r="F307" t="s">
        <v>45</v>
      </c>
      <c r="G307" t="s">
        <v>35</v>
      </c>
      <c r="H307" t="s">
        <v>40</v>
      </c>
      <c r="I307">
        <v>3</v>
      </c>
      <c r="J307">
        <v>942.27</v>
      </c>
      <c r="K307">
        <v>37.5</v>
      </c>
      <c r="L307">
        <v>69</v>
      </c>
      <c r="M307">
        <v>970.63</v>
      </c>
      <c r="N307" t="s">
        <v>23</v>
      </c>
      <c r="O307">
        <v>4</v>
      </c>
      <c r="P307">
        <v>2826.81</v>
      </c>
      <c r="Q307">
        <v>2864.31</v>
      </c>
      <c r="R307" t="s">
        <v>2054</v>
      </c>
    </row>
    <row r="308" spans="1:18" x14ac:dyDescent="0.25">
      <c r="A308" t="s">
        <v>359</v>
      </c>
      <c r="B308" s="1">
        <v>45081</v>
      </c>
      <c r="C308" s="1">
        <v>45082</v>
      </c>
      <c r="D308" t="s">
        <v>37</v>
      </c>
      <c r="E308" t="s">
        <v>38</v>
      </c>
      <c r="F308" t="s">
        <v>39</v>
      </c>
      <c r="G308" t="s">
        <v>21</v>
      </c>
      <c r="H308" t="s">
        <v>27</v>
      </c>
      <c r="I308">
        <v>2</v>
      </c>
      <c r="J308">
        <v>178.3</v>
      </c>
      <c r="K308">
        <v>75</v>
      </c>
      <c r="L308">
        <v>96</v>
      </c>
      <c r="M308">
        <v>33.82</v>
      </c>
      <c r="N308" t="s">
        <v>23</v>
      </c>
      <c r="O308">
        <v>1</v>
      </c>
      <c r="P308">
        <v>356.6</v>
      </c>
      <c r="Q308">
        <v>431.6</v>
      </c>
      <c r="R308" t="s">
        <v>2054</v>
      </c>
    </row>
    <row r="309" spans="1:18" x14ac:dyDescent="0.25">
      <c r="A309" t="s">
        <v>360</v>
      </c>
      <c r="B309" s="1">
        <v>45082</v>
      </c>
      <c r="C309" s="1">
        <v>45094</v>
      </c>
      <c r="D309" t="s">
        <v>75</v>
      </c>
      <c r="E309" t="s">
        <v>44</v>
      </c>
      <c r="F309" t="s">
        <v>45</v>
      </c>
      <c r="G309" t="s">
        <v>35</v>
      </c>
      <c r="H309" t="s">
        <v>40</v>
      </c>
      <c r="I309">
        <v>2</v>
      </c>
      <c r="J309">
        <v>894.02</v>
      </c>
      <c r="K309">
        <v>37.5</v>
      </c>
      <c r="L309">
        <v>316</v>
      </c>
      <c r="M309">
        <v>607.05999999999995</v>
      </c>
      <c r="N309" t="s">
        <v>47</v>
      </c>
      <c r="O309">
        <v>12</v>
      </c>
      <c r="P309">
        <v>1788.04</v>
      </c>
      <c r="Q309">
        <v>1825.54</v>
      </c>
      <c r="R309" t="s">
        <v>2054</v>
      </c>
    </row>
    <row r="310" spans="1:18" x14ac:dyDescent="0.25">
      <c r="A310" t="s">
        <v>361</v>
      </c>
      <c r="B310" s="1">
        <v>45082</v>
      </c>
      <c r="C310" s="1">
        <v>45084</v>
      </c>
      <c r="D310" t="s">
        <v>50</v>
      </c>
      <c r="E310" t="s">
        <v>44</v>
      </c>
      <c r="F310" t="s">
        <v>45</v>
      </c>
      <c r="G310" t="s">
        <v>35</v>
      </c>
      <c r="H310" t="s">
        <v>40</v>
      </c>
      <c r="I310">
        <v>3</v>
      </c>
      <c r="J310">
        <v>374.41</v>
      </c>
      <c r="K310">
        <v>37.5</v>
      </c>
      <c r="L310">
        <v>38</v>
      </c>
      <c r="M310">
        <v>374.38</v>
      </c>
      <c r="N310" t="s">
        <v>23</v>
      </c>
      <c r="O310">
        <v>2</v>
      </c>
      <c r="P310">
        <v>1123.23</v>
      </c>
      <c r="Q310">
        <v>1160.73</v>
      </c>
      <c r="R310" t="s">
        <v>2055</v>
      </c>
    </row>
    <row r="311" spans="1:18" x14ac:dyDescent="0.25">
      <c r="A311" t="s">
        <v>362</v>
      </c>
      <c r="B311" s="1">
        <v>45083</v>
      </c>
      <c r="C311" s="1">
        <v>45086</v>
      </c>
      <c r="D311" t="s">
        <v>56</v>
      </c>
      <c r="E311" t="s">
        <v>38</v>
      </c>
      <c r="F311" t="s">
        <v>39</v>
      </c>
      <c r="G311" t="s">
        <v>35</v>
      </c>
      <c r="H311" t="s">
        <v>40</v>
      </c>
      <c r="I311">
        <v>1</v>
      </c>
      <c r="J311">
        <v>178.52</v>
      </c>
      <c r="K311">
        <v>112.5</v>
      </c>
      <c r="L311">
        <v>145</v>
      </c>
      <c r="M311">
        <v>-20.55</v>
      </c>
      <c r="N311" t="s">
        <v>23</v>
      </c>
      <c r="O311">
        <v>3</v>
      </c>
      <c r="P311">
        <v>178.52</v>
      </c>
      <c r="Q311">
        <v>291.02</v>
      </c>
      <c r="R311" t="s">
        <v>2054</v>
      </c>
    </row>
    <row r="312" spans="1:18" x14ac:dyDescent="0.25">
      <c r="A312" t="s">
        <v>363</v>
      </c>
      <c r="B312" s="1">
        <v>45083</v>
      </c>
      <c r="C312" s="1">
        <v>45085</v>
      </c>
      <c r="D312" t="s">
        <v>37</v>
      </c>
      <c r="E312" t="s">
        <v>38</v>
      </c>
      <c r="F312" t="s">
        <v>39</v>
      </c>
      <c r="G312" t="s">
        <v>26</v>
      </c>
      <c r="H312" t="s">
        <v>27</v>
      </c>
      <c r="I312">
        <v>2</v>
      </c>
      <c r="J312">
        <v>344.66</v>
      </c>
      <c r="K312">
        <v>75</v>
      </c>
      <c r="L312">
        <v>148</v>
      </c>
      <c r="M312">
        <v>100.36</v>
      </c>
      <c r="N312" t="s">
        <v>23</v>
      </c>
      <c r="O312">
        <v>2</v>
      </c>
      <c r="P312">
        <v>689.32</v>
      </c>
      <c r="Q312">
        <v>764.32</v>
      </c>
      <c r="R312" t="s">
        <v>2054</v>
      </c>
    </row>
    <row r="313" spans="1:18" x14ac:dyDescent="0.25">
      <c r="A313" t="s">
        <v>364</v>
      </c>
      <c r="B313" s="1">
        <v>45084</v>
      </c>
      <c r="C313" s="1">
        <v>45089</v>
      </c>
      <c r="D313" t="s">
        <v>50</v>
      </c>
      <c r="E313" t="s">
        <v>44</v>
      </c>
      <c r="F313" t="s">
        <v>45</v>
      </c>
      <c r="G313" t="s">
        <v>35</v>
      </c>
      <c r="H313" t="s">
        <v>40</v>
      </c>
      <c r="I313">
        <v>1</v>
      </c>
      <c r="J313">
        <v>584.73</v>
      </c>
      <c r="K313">
        <v>37.5</v>
      </c>
      <c r="L313">
        <v>153</v>
      </c>
      <c r="M313">
        <v>185.91</v>
      </c>
      <c r="N313" t="s">
        <v>23</v>
      </c>
      <c r="O313">
        <v>5</v>
      </c>
      <c r="P313">
        <v>584.73</v>
      </c>
      <c r="Q313">
        <v>622.23</v>
      </c>
      <c r="R313" t="s">
        <v>2054</v>
      </c>
    </row>
    <row r="314" spans="1:18" x14ac:dyDescent="0.25">
      <c r="A314" t="s">
        <v>365</v>
      </c>
      <c r="B314" s="1">
        <v>45085</v>
      </c>
      <c r="C314" s="1">
        <v>45090</v>
      </c>
      <c r="D314" t="s">
        <v>25</v>
      </c>
      <c r="E314" t="s">
        <v>19</v>
      </c>
      <c r="F314" t="s">
        <v>20</v>
      </c>
      <c r="G314" t="s">
        <v>35</v>
      </c>
      <c r="H314" t="s">
        <v>40</v>
      </c>
      <c r="I314">
        <v>13</v>
      </c>
      <c r="J314">
        <v>40.909999999999997</v>
      </c>
      <c r="K314">
        <v>12</v>
      </c>
      <c r="L314">
        <v>263</v>
      </c>
      <c r="M314">
        <v>36.54</v>
      </c>
      <c r="N314" t="s">
        <v>23</v>
      </c>
      <c r="O314">
        <v>5</v>
      </c>
      <c r="P314">
        <v>531.82999999999993</v>
      </c>
      <c r="Q314">
        <v>543.82999999999993</v>
      </c>
      <c r="R314" t="s">
        <v>2054</v>
      </c>
    </row>
    <row r="315" spans="1:18" x14ac:dyDescent="0.25">
      <c r="A315" t="s">
        <v>366</v>
      </c>
      <c r="B315" s="1">
        <v>45085</v>
      </c>
      <c r="C315" s="1">
        <v>45086</v>
      </c>
      <c r="D315" t="s">
        <v>75</v>
      </c>
      <c r="E315" t="s">
        <v>44</v>
      </c>
      <c r="F315" t="s">
        <v>45</v>
      </c>
      <c r="G315" t="s">
        <v>21</v>
      </c>
      <c r="H315" t="s">
        <v>27</v>
      </c>
      <c r="I315">
        <v>1</v>
      </c>
      <c r="J315">
        <v>998.66</v>
      </c>
      <c r="K315">
        <v>25</v>
      </c>
      <c r="L315">
        <v>118</v>
      </c>
      <c r="M315">
        <v>-149.80000000000001</v>
      </c>
      <c r="N315" t="s">
        <v>23</v>
      </c>
      <c r="O315">
        <v>1</v>
      </c>
      <c r="P315">
        <v>998.66</v>
      </c>
      <c r="Q315">
        <v>1023.66</v>
      </c>
      <c r="R315" t="s">
        <v>2054</v>
      </c>
    </row>
    <row r="316" spans="1:18" x14ac:dyDescent="0.25">
      <c r="A316" t="s">
        <v>367</v>
      </c>
      <c r="B316" s="1">
        <v>45086</v>
      </c>
      <c r="C316" s="1">
        <v>45088</v>
      </c>
      <c r="D316" t="s">
        <v>118</v>
      </c>
      <c r="E316" t="s">
        <v>79</v>
      </c>
      <c r="F316" t="s">
        <v>80</v>
      </c>
      <c r="G316" t="s">
        <v>26</v>
      </c>
      <c r="H316" t="s">
        <v>22</v>
      </c>
      <c r="I316">
        <v>5</v>
      </c>
      <c r="J316">
        <v>135.16999999999999</v>
      </c>
      <c r="K316">
        <v>12</v>
      </c>
      <c r="L316">
        <v>128</v>
      </c>
      <c r="M316">
        <v>298.13</v>
      </c>
      <c r="N316" t="s">
        <v>23</v>
      </c>
      <c r="O316">
        <v>2</v>
      </c>
      <c r="P316">
        <v>675.84999999999991</v>
      </c>
      <c r="Q316">
        <v>687.84999999999991</v>
      </c>
      <c r="R316" t="s">
        <v>2054</v>
      </c>
    </row>
    <row r="317" spans="1:18" x14ac:dyDescent="0.25">
      <c r="A317" t="s">
        <v>368</v>
      </c>
      <c r="B317" s="1">
        <v>45086</v>
      </c>
      <c r="C317" s="1">
        <v>45089</v>
      </c>
      <c r="D317" t="s">
        <v>50</v>
      </c>
      <c r="E317" t="s">
        <v>44</v>
      </c>
      <c r="F317" t="s">
        <v>45</v>
      </c>
      <c r="G317" t="s">
        <v>35</v>
      </c>
      <c r="H317" t="s">
        <v>40</v>
      </c>
      <c r="I317">
        <v>1</v>
      </c>
      <c r="J317">
        <v>431.08</v>
      </c>
      <c r="K317">
        <v>37.5</v>
      </c>
      <c r="L317">
        <v>286</v>
      </c>
      <c r="M317">
        <v>132.13</v>
      </c>
      <c r="N317" t="s">
        <v>23</v>
      </c>
      <c r="O317">
        <v>3</v>
      </c>
      <c r="P317">
        <v>431.08</v>
      </c>
      <c r="Q317">
        <v>468.58</v>
      </c>
      <c r="R317" t="s">
        <v>2054</v>
      </c>
    </row>
    <row r="318" spans="1:18" x14ac:dyDescent="0.25">
      <c r="A318" t="s">
        <v>369</v>
      </c>
      <c r="B318" s="1">
        <v>45086</v>
      </c>
      <c r="C318" s="1">
        <v>45100</v>
      </c>
      <c r="D318" t="s">
        <v>75</v>
      </c>
      <c r="E318" t="s">
        <v>44</v>
      </c>
      <c r="F318" t="s">
        <v>45</v>
      </c>
      <c r="G318" t="s">
        <v>35</v>
      </c>
      <c r="H318" t="s">
        <v>40</v>
      </c>
      <c r="I318">
        <v>1</v>
      </c>
      <c r="J318">
        <v>439.07</v>
      </c>
      <c r="K318">
        <v>37.5</v>
      </c>
      <c r="L318">
        <v>149</v>
      </c>
      <c r="M318">
        <v>134.91999999999999</v>
      </c>
      <c r="N318" t="s">
        <v>47</v>
      </c>
      <c r="O318">
        <v>14</v>
      </c>
      <c r="P318">
        <v>439.07</v>
      </c>
      <c r="Q318">
        <v>476.57</v>
      </c>
      <c r="R318" t="s">
        <v>2054</v>
      </c>
    </row>
    <row r="319" spans="1:18" x14ac:dyDescent="0.25">
      <c r="A319" t="s">
        <v>370</v>
      </c>
      <c r="B319" s="1">
        <v>45086</v>
      </c>
      <c r="C319" s="1">
        <v>45094</v>
      </c>
      <c r="D319" t="s">
        <v>25</v>
      </c>
      <c r="E319" t="s">
        <v>19</v>
      </c>
      <c r="F319" t="s">
        <v>20</v>
      </c>
      <c r="G319" t="s">
        <v>35</v>
      </c>
      <c r="H319" t="s">
        <v>40</v>
      </c>
      <c r="I319">
        <v>11</v>
      </c>
      <c r="J319">
        <v>41.28</v>
      </c>
      <c r="K319">
        <v>12</v>
      </c>
      <c r="L319">
        <v>3</v>
      </c>
      <c r="M319">
        <v>30.32</v>
      </c>
      <c r="N319" t="s">
        <v>63</v>
      </c>
      <c r="O319">
        <v>8</v>
      </c>
      <c r="P319">
        <v>454.08000000000004</v>
      </c>
      <c r="Q319">
        <v>466.08000000000004</v>
      </c>
      <c r="R319" t="s">
        <v>2056</v>
      </c>
    </row>
    <row r="320" spans="1:18" x14ac:dyDescent="0.25">
      <c r="A320" t="s">
        <v>371</v>
      </c>
      <c r="B320" s="1">
        <v>45087</v>
      </c>
      <c r="C320" s="1">
        <v>45091</v>
      </c>
      <c r="D320" t="s">
        <v>78</v>
      </c>
      <c r="E320" t="s">
        <v>79</v>
      </c>
      <c r="F320" t="s">
        <v>80</v>
      </c>
      <c r="G320" t="s">
        <v>35</v>
      </c>
      <c r="H320" t="s">
        <v>22</v>
      </c>
      <c r="I320">
        <v>2</v>
      </c>
      <c r="J320">
        <v>85.58</v>
      </c>
      <c r="K320">
        <v>12</v>
      </c>
      <c r="L320">
        <v>94</v>
      </c>
      <c r="M320">
        <v>71.02</v>
      </c>
      <c r="N320" t="s">
        <v>23</v>
      </c>
      <c r="O320">
        <v>4</v>
      </c>
      <c r="P320">
        <v>171.16</v>
      </c>
      <c r="Q320">
        <v>183.16</v>
      </c>
      <c r="R320" t="s">
        <v>2054</v>
      </c>
    </row>
    <row r="321" spans="1:18" x14ac:dyDescent="0.25">
      <c r="A321" t="s">
        <v>372</v>
      </c>
      <c r="B321" s="1">
        <v>45088</v>
      </c>
      <c r="C321" s="1">
        <v>45092</v>
      </c>
      <c r="D321" t="s">
        <v>43</v>
      </c>
      <c r="E321" t="s">
        <v>44</v>
      </c>
      <c r="F321" t="s">
        <v>45</v>
      </c>
      <c r="G321" t="s">
        <v>26</v>
      </c>
      <c r="H321" t="s">
        <v>22</v>
      </c>
      <c r="I321">
        <v>1</v>
      </c>
      <c r="J321">
        <v>398.63</v>
      </c>
      <c r="K321">
        <v>25</v>
      </c>
      <c r="L321">
        <v>236</v>
      </c>
      <c r="M321">
        <v>127.02</v>
      </c>
      <c r="N321" t="s">
        <v>23</v>
      </c>
      <c r="O321">
        <v>4</v>
      </c>
      <c r="P321">
        <v>398.63</v>
      </c>
      <c r="Q321">
        <v>423.63</v>
      </c>
      <c r="R321" t="s">
        <v>2054</v>
      </c>
    </row>
    <row r="322" spans="1:18" x14ac:dyDescent="0.25">
      <c r="A322" t="s">
        <v>373</v>
      </c>
      <c r="B322" s="1">
        <v>45088</v>
      </c>
      <c r="C322" s="1">
        <v>45091</v>
      </c>
      <c r="D322" t="s">
        <v>78</v>
      </c>
      <c r="E322" t="s">
        <v>79</v>
      </c>
      <c r="F322" t="s">
        <v>80</v>
      </c>
      <c r="G322" t="s">
        <v>21</v>
      </c>
      <c r="H322" t="s">
        <v>32</v>
      </c>
      <c r="I322">
        <v>3</v>
      </c>
      <c r="J322">
        <v>144.32</v>
      </c>
      <c r="K322">
        <v>12</v>
      </c>
      <c r="L322">
        <v>163</v>
      </c>
      <c r="M322">
        <v>188.83</v>
      </c>
      <c r="N322" t="s">
        <v>23</v>
      </c>
      <c r="O322">
        <v>3</v>
      </c>
      <c r="P322">
        <v>432.96</v>
      </c>
      <c r="Q322">
        <v>444.96</v>
      </c>
      <c r="R322" t="s">
        <v>2054</v>
      </c>
    </row>
    <row r="323" spans="1:18" x14ac:dyDescent="0.25">
      <c r="A323" t="s">
        <v>374</v>
      </c>
      <c r="B323" s="1">
        <v>45090</v>
      </c>
      <c r="C323" s="1">
        <v>45092</v>
      </c>
      <c r="D323" t="s">
        <v>43</v>
      </c>
      <c r="E323" t="s">
        <v>44</v>
      </c>
      <c r="F323" t="s">
        <v>45</v>
      </c>
      <c r="G323" t="s">
        <v>35</v>
      </c>
      <c r="H323" t="s">
        <v>40</v>
      </c>
      <c r="I323">
        <v>1</v>
      </c>
      <c r="J323">
        <v>745.92</v>
      </c>
      <c r="K323">
        <v>37.5</v>
      </c>
      <c r="L323">
        <v>174</v>
      </c>
      <c r="M323">
        <v>242.32</v>
      </c>
      <c r="N323" t="s">
        <v>23</v>
      </c>
      <c r="O323">
        <v>2</v>
      </c>
      <c r="P323">
        <v>745.92</v>
      </c>
      <c r="Q323">
        <v>783.42</v>
      </c>
      <c r="R323" t="s">
        <v>2054</v>
      </c>
    </row>
    <row r="324" spans="1:18" x14ac:dyDescent="0.25">
      <c r="A324" t="s">
        <v>375</v>
      </c>
      <c r="B324" s="1">
        <v>45090</v>
      </c>
      <c r="C324" s="1">
        <v>45093</v>
      </c>
      <c r="D324" t="s">
        <v>43</v>
      </c>
      <c r="E324" t="s">
        <v>44</v>
      </c>
      <c r="F324" t="s">
        <v>45</v>
      </c>
      <c r="G324" t="s">
        <v>26</v>
      </c>
      <c r="H324" t="s">
        <v>27</v>
      </c>
      <c r="I324">
        <v>1</v>
      </c>
      <c r="J324">
        <v>882.54</v>
      </c>
      <c r="K324">
        <v>25</v>
      </c>
      <c r="L324">
        <v>193</v>
      </c>
      <c r="M324">
        <v>296.39</v>
      </c>
      <c r="N324" t="s">
        <v>23</v>
      </c>
      <c r="O324">
        <v>3</v>
      </c>
      <c r="P324">
        <v>882.54</v>
      </c>
      <c r="Q324">
        <v>907.54</v>
      </c>
      <c r="R324" t="s">
        <v>2054</v>
      </c>
    </row>
    <row r="325" spans="1:18" x14ac:dyDescent="0.25">
      <c r="A325" t="s">
        <v>376</v>
      </c>
      <c r="B325" s="1">
        <v>45091</v>
      </c>
      <c r="C325" s="1">
        <v>45096</v>
      </c>
      <c r="D325" t="s">
        <v>52</v>
      </c>
      <c r="E325" t="s">
        <v>30</v>
      </c>
      <c r="F325" t="s">
        <v>31</v>
      </c>
      <c r="G325" t="s">
        <v>35</v>
      </c>
      <c r="H325" t="s">
        <v>40</v>
      </c>
      <c r="I325">
        <v>5</v>
      </c>
      <c r="J325">
        <v>43.03</v>
      </c>
      <c r="K325">
        <v>18</v>
      </c>
      <c r="L325">
        <v>109</v>
      </c>
      <c r="M325">
        <v>77.05</v>
      </c>
      <c r="N325" t="s">
        <v>23</v>
      </c>
      <c r="O325">
        <v>5</v>
      </c>
      <c r="P325">
        <v>215.15</v>
      </c>
      <c r="Q325">
        <v>233.15</v>
      </c>
      <c r="R325" t="s">
        <v>2054</v>
      </c>
    </row>
    <row r="326" spans="1:18" x14ac:dyDescent="0.25">
      <c r="A326" t="s">
        <v>377</v>
      </c>
      <c r="B326" s="1">
        <v>45091</v>
      </c>
      <c r="C326" s="1">
        <v>45092</v>
      </c>
      <c r="D326" t="s">
        <v>72</v>
      </c>
      <c r="E326" t="s">
        <v>44</v>
      </c>
      <c r="F326" t="s">
        <v>45</v>
      </c>
      <c r="G326" t="s">
        <v>26</v>
      </c>
      <c r="H326" t="s">
        <v>32</v>
      </c>
      <c r="I326">
        <v>2</v>
      </c>
      <c r="J326">
        <v>489.44</v>
      </c>
      <c r="K326">
        <v>25</v>
      </c>
      <c r="L326">
        <v>128</v>
      </c>
      <c r="M326">
        <v>330.11</v>
      </c>
      <c r="N326" t="s">
        <v>23</v>
      </c>
      <c r="O326">
        <v>1</v>
      </c>
      <c r="P326">
        <v>978.88</v>
      </c>
      <c r="Q326">
        <v>1003.88</v>
      </c>
      <c r="R326" t="s">
        <v>2054</v>
      </c>
    </row>
    <row r="327" spans="1:18" x14ac:dyDescent="0.25">
      <c r="A327" t="s">
        <v>378</v>
      </c>
      <c r="B327" s="1">
        <v>45092</v>
      </c>
      <c r="C327" s="1">
        <v>45093</v>
      </c>
      <c r="D327" t="s">
        <v>52</v>
      </c>
      <c r="E327" t="s">
        <v>30</v>
      </c>
      <c r="F327" t="s">
        <v>31</v>
      </c>
      <c r="G327" t="s">
        <v>35</v>
      </c>
      <c r="H327" t="s">
        <v>40</v>
      </c>
      <c r="I327">
        <v>5</v>
      </c>
      <c r="J327">
        <v>133.5</v>
      </c>
      <c r="K327">
        <v>18</v>
      </c>
      <c r="L327">
        <v>302</v>
      </c>
      <c r="M327">
        <v>257.99</v>
      </c>
      <c r="N327" t="s">
        <v>23</v>
      </c>
      <c r="O327">
        <v>1</v>
      </c>
      <c r="P327">
        <v>667.5</v>
      </c>
      <c r="Q327">
        <v>685.5</v>
      </c>
      <c r="R327" t="s">
        <v>2054</v>
      </c>
    </row>
    <row r="328" spans="1:18" x14ac:dyDescent="0.25">
      <c r="A328" t="s">
        <v>379</v>
      </c>
      <c r="B328" s="1">
        <v>45092</v>
      </c>
      <c r="C328" s="1">
        <v>45093</v>
      </c>
      <c r="D328" t="s">
        <v>58</v>
      </c>
      <c r="E328" t="s">
        <v>19</v>
      </c>
      <c r="F328" t="s">
        <v>20</v>
      </c>
      <c r="G328" t="s">
        <v>21</v>
      </c>
      <c r="H328" t="s">
        <v>22</v>
      </c>
      <c r="I328">
        <v>9</v>
      </c>
      <c r="J328">
        <v>43.46</v>
      </c>
      <c r="K328">
        <v>8</v>
      </c>
      <c r="L328">
        <v>184</v>
      </c>
      <c r="M328">
        <v>27.29</v>
      </c>
      <c r="N328" t="s">
        <v>23</v>
      </c>
      <c r="O328">
        <v>1</v>
      </c>
      <c r="P328">
        <v>391.14</v>
      </c>
      <c r="Q328">
        <v>399.14</v>
      </c>
      <c r="R328" t="s">
        <v>2054</v>
      </c>
    </row>
    <row r="329" spans="1:18" x14ac:dyDescent="0.25">
      <c r="A329" t="s">
        <v>380</v>
      </c>
      <c r="B329" s="1">
        <v>45093</v>
      </c>
      <c r="C329" s="1">
        <v>45098</v>
      </c>
      <c r="D329" t="s">
        <v>37</v>
      </c>
      <c r="E329" t="s">
        <v>38</v>
      </c>
      <c r="F329" t="s">
        <v>39</v>
      </c>
      <c r="G329" t="s">
        <v>21</v>
      </c>
      <c r="H329" t="s">
        <v>22</v>
      </c>
      <c r="I329">
        <v>2</v>
      </c>
      <c r="J329">
        <v>383.76</v>
      </c>
      <c r="K329">
        <v>75</v>
      </c>
      <c r="L329">
        <v>289</v>
      </c>
      <c r="M329">
        <v>116</v>
      </c>
      <c r="N329" t="s">
        <v>23</v>
      </c>
      <c r="O329">
        <v>5</v>
      </c>
      <c r="P329">
        <v>767.52</v>
      </c>
      <c r="Q329">
        <v>842.52</v>
      </c>
      <c r="R329" t="s">
        <v>2054</v>
      </c>
    </row>
    <row r="330" spans="1:18" x14ac:dyDescent="0.25">
      <c r="A330" t="s">
        <v>381</v>
      </c>
      <c r="B330" s="1">
        <v>45093</v>
      </c>
      <c r="C330" s="1">
        <v>45096</v>
      </c>
      <c r="D330" t="s">
        <v>78</v>
      </c>
      <c r="E330" t="s">
        <v>79</v>
      </c>
      <c r="F330" t="s">
        <v>80</v>
      </c>
      <c r="G330" t="s">
        <v>35</v>
      </c>
      <c r="H330" t="s">
        <v>40</v>
      </c>
      <c r="I330">
        <v>2</v>
      </c>
      <c r="J330">
        <v>99.56</v>
      </c>
      <c r="K330">
        <v>18</v>
      </c>
      <c r="L330">
        <v>89</v>
      </c>
      <c r="M330">
        <v>80.599999999999994</v>
      </c>
      <c r="N330" t="s">
        <v>23</v>
      </c>
      <c r="O330">
        <v>3</v>
      </c>
      <c r="P330">
        <v>199.12</v>
      </c>
      <c r="Q330">
        <v>217.12</v>
      </c>
      <c r="R330" t="s">
        <v>2054</v>
      </c>
    </row>
    <row r="331" spans="1:18" x14ac:dyDescent="0.25">
      <c r="A331" t="s">
        <v>382</v>
      </c>
      <c r="B331" s="1">
        <v>45094</v>
      </c>
      <c r="C331" s="1">
        <v>45098</v>
      </c>
      <c r="D331" t="s">
        <v>58</v>
      </c>
      <c r="E331" t="s">
        <v>19</v>
      </c>
      <c r="F331" t="s">
        <v>20</v>
      </c>
      <c r="G331" t="s">
        <v>35</v>
      </c>
      <c r="H331" t="s">
        <v>40</v>
      </c>
      <c r="I331">
        <v>6</v>
      </c>
      <c r="J331">
        <v>44.54</v>
      </c>
      <c r="K331">
        <v>12</v>
      </c>
      <c r="L331">
        <v>275</v>
      </c>
      <c r="M331">
        <v>15.38</v>
      </c>
      <c r="N331" t="s">
        <v>23</v>
      </c>
      <c r="O331">
        <v>4</v>
      </c>
      <c r="P331">
        <v>267.24</v>
      </c>
      <c r="Q331">
        <v>279.24</v>
      </c>
      <c r="R331" t="s">
        <v>2054</v>
      </c>
    </row>
    <row r="332" spans="1:18" x14ac:dyDescent="0.25">
      <c r="A332" t="s">
        <v>383</v>
      </c>
      <c r="B332" s="1">
        <v>45095</v>
      </c>
      <c r="C332" s="1">
        <v>45100</v>
      </c>
      <c r="D332" t="s">
        <v>82</v>
      </c>
      <c r="E332" t="s">
        <v>79</v>
      </c>
      <c r="F332" t="s">
        <v>80</v>
      </c>
      <c r="G332" t="s">
        <v>35</v>
      </c>
      <c r="H332" t="s">
        <v>22</v>
      </c>
      <c r="I332">
        <v>2</v>
      </c>
      <c r="J332">
        <v>42.31</v>
      </c>
      <c r="K332">
        <v>12</v>
      </c>
      <c r="L332">
        <v>211</v>
      </c>
      <c r="M332">
        <v>32.08</v>
      </c>
      <c r="N332" t="s">
        <v>23</v>
      </c>
      <c r="O332">
        <v>5</v>
      </c>
      <c r="P332">
        <v>84.62</v>
      </c>
      <c r="Q332">
        <v>96.62</v>
      </c>
      <c r="R332" t="s">
        <v>2054</v>
      </c>
    </row>
    <row r="333" spans="1:18" x14ac:dyDescent="0.25">
      <c r="A333" t="s">
        <v>384</v>
      </c>
      <c r="B333" s="1">
        <v>45096</v>
      </c>
      <c r="C333" s="1">
        <v>45100</v>
      </c>
      <c r="D333" t="s">
        <v>75</v>
      </c>
      <c r="E333" t="s">
        <v>44</v>
      </c>
      <c r="F333" t="s">
        <v>45</v>
      </c>
      <c r="G333" t="s">
        <v>35</v>
      </c>
      <c r="H333" t="s">
        <v>22</v>
      </c>
      <c r="I333">
        <v>1</v>
      </c>
      <c r="J333">
        <v>651.27</v>
      </c>
      <c r="K333">
        <v>25</v>
      </c>
      <c r="L333">
        <v>112</v>
      </c>
      <c r="M333">
        <v>215.44</v>
      </c>
      <c r="N333" t="s">
        <v>23</v>
      </c>
      <c r="O333">
        <v>4</v>
      </c>
      <c r="P333">
        <v>651.27</v>
      </c>
      <c r="Q333">
        <v>676.27</v>
      </c>
      <c r="R333" t="s">
        <v>2054</v>
      </c>
    </row>
    <row r="334" spans="1:18" x14ac:dyDescent="0.25">
      <c r="A334" t="s">
        <v>385</v>
      </c>
      <c r="B334" s="1">
        <v>45096</v>
      </c>
      <c r="C334" s="1">
        <v>45101</v>
      </c>
      <c r="D334" t="s">
        <v>25</v>
      </c>
      <c r="E334" t="s">
        <v>19</v>
      </c>
      <c r="F334" t="s">
        <v>20</v>
      </c>
      <c r="G334" t="s">
        <v>35</v>
      </c>
      <c r="H334" t="s">
        <v>40</v>
      </c>
      <c r="I334">
        <v>5</v>
      </c>
      <c r="J334">
        <v>36.94</v>
      </c>
      <c r="K334">
        <v>12</v>
      </c>
      <c r="L334">
        <v>3</v>
      </c>
      <c r="M334">
        <v>8.7799999999999994</v>
      </c>
      <c r="N334" t="s">
        <v>23</v>
      </c>
      <c r="O334">
        <v>5</v>
      </c>
      <c r="P334">
        <v>184.7</v>
      </c>
      <c r="Q334">
        <v>196.7</v>
      </c>
      <c r="R334" t="s">
        <v>2056</v>
      </c>
    </row>
    <row r="335" spans="1:18" x14ac:dyDescent="0.25">
      <c r="A335" t="s">
        <v>386</v>
      </c>
      <c r="B335" s="1">
        <v>45098</v>
      </c>
      <c r="C335" s="1">
        <v>45113</v>
      </c>
      <c r="D335" t="s">
        <v>18</v>
      </c>
      <c r="E335" t="s">
        <v>19</v>
      </c>
      <c r="F335" t="s">
        <v>20</v>
      </c>
      <c r="G335" t="s">
        <v>35</v>
      </c>
      <c r="H335" t="s">
        <v>40</v>
      </c>
      <c r="I335">
        <v>7</v>
      </c>
      <c r="J335">
        <v>46.83</v>
      </c>
      <c r="K335">
        <v>12</v>
      </c>
      <c r="L335">
        <v>216</v>
      </c>
      <c r="M335">
        <v>20.22</v>
      </c>
      <c r="N335" t="s">
        <v>47</v>
      </c>
      <c r="O335">
        <v>15</v>
      </c>
      <c r="P335">
        <v>327.81</v>
      </c>
      <c r="Q335">
        <v>339.81</v>
      </c>
      <c r="R335" t="s">
        <v>2054</v>
      </c>
    </row>
    <row r="336" spans="1:18" x14ac:dyDescent="0.25">
      <c r="A336" t="s">
        <v>387</v>
      </c>
      <c r="B336" s="1">
        <v>45098</v>
      </c>
      <c r="C336" s="1">
        <v>45099</v>
      </c>
      <c r="D336" t="s">
        <v>34</v>
      </c>
      <c r="E336" t="s">
        <v>30</v>
      </c>
      <c r="F336" t="s">
        <v>31</v>
      </c>
      <c r="G336" t="s">
        <v>35</v>
      </c>
      <c r="H336" t="s">
        <v>22</v>
      </c>
      <c r="I336">
        <v>5</v>
      </c>
      <c r="J336">
        <v>126.89</v>
      </c>
      <c r="K336">
        <v>12</v>
      </c>
      <c r="L336">
        <v>385</v>
      </c>
      <c r="M336">
        <v>247.78</v>
      </c>
      <c r="N336" t="s">
        <v>23</v>
      </c>
      <c r="O336">
        <v>1</v>
      </c>
      <c r="P336">
        <v>634.45000000000005</v>
      </c>
      <c r="Q336">
        <v>646.45000000000005</v>
      </c>
      <c r="R336" t="s">
        <v>2054</v>
      </c>
    </row>
    <row r="337" spans="1:18" x14ac:dyDescent="0.25">
      <c r="A337" t="s">
        <v>388</v>
      </c>
      <c r="B337" s="1">
        <v>45099</v>
      </c>
      <c r="C337" s="1">
        <v>45101</v>
      </c>
      <c r="D337" t="s">
        <v>118</v>
      </c>
      <c r="E337" t="s">
        <v>79</v>
      </c>
      <c r="F337" t="s">
        <v>80</v>
      </c>
      <c r="G337" t="s">
        <v>21</v>
      </c>
      <c r="H337" t="s">
        <v>22</v>
      </c>
      <c r="I337">
        <v>3</v>
      </c>
      <c r="J337">
        <v>29.49</v>
      </c>
      <c r="K337">
        <v>12</v>
      </c>
      <c r="L337">
        <v>303</v>
      </c>
      <c r="M337">
        <v>33.81</v>
      </c>
      <c r="N337" t="s">
        <v>23</v>
      </c>
      <c r="O337">
        <v>2</v>
      </c>
      <c r="P337">
        <v>88.47</v>
      </c>
      <c r="Q337">
        <v>100.47</v>
      </c>
      <c r="R337" t="s">
        <v>2054</v>
      </c>
    </row>
    <row r="338" spans="1:18" x14ac:dyDescent="0.25">
      <c r="A338" t="s">
        <v>389</v>
      </c>
      <c r="B338" s="1">
        <v>45099</v>
      </c>
      <c r="C338" s="1">
        <v>45100</v>
      </c>
      <c r="D338" t="s">
        <v>72</v>
      </c>
      <c r="E338" t="s">
        <v>44</v>
      </c>
      <c r="F338" t="s">
        <v>45</v>
      </c>
      <c r="G338" t="s">
        <v>21</v>
      </c>
      <c r="H338" t="s">
        <v>40</v>
      </c>
      <c r="I338">
        <v>2</v>
      </c>
      <c r="J338">
        <v>432.64</v>
      </c>
      <c r="K338">
        <v>37.5</v>
      </c>
      <c r="L338">
        <v>75</v>
      </c>
      <c r="M338">
        <v>284.08999999999997</v>
      </c>
      <c r="N338" t="s">
        <v>23</v>
      </c>
      <c r="O338">
        <v>1</v>
      </c>
      <c r="P338">
        <v>865.28</v>
      </c>
      <c r="Q338">
        <v>902.78</v>
      </c>
      <c r="R338" t="s">
        <v>2054</v>
      </c>
    </row>
    <row r="339" spans="1:18" x14ac:dyDescent="0.25">
      <c r="A339" t="s">
        <v>390</v>
      </c>
      <c r="B339" s="1">
        <v>45099</v>
      </c>
      <c r="C339" s="1">
        <v>45101</v>
      </c>
      <c r="D339" t="s">
        <v>56</v>
      </c>
      <c r="E339" t="s">
        <v>38</v>
      </c>
      <c r="F339" t="s">
        <v>39</v>
      </c>
      <c r="G339" t="s">
        <v>21</v>
      </c>
      <c r="H339" t="s">
        <v>32</v>
      </c>
      <c r="I339">
        <v>1</v>
      </c>
      <c r="J339">
        <v>277.67</v>
      </c>
      <c r="K339">
        <v>75</v>
      </c>
      <c r="L339">
        <v>98</v>
      </c>
      <c r="M339">
        <v>18.03</v>
      </c>
      <c r="N339" t="s">
        <v>23</v>
      </c>
      <c r="O339">
        <v>2</v>
      </c>
      <c r="P339">
        <v>277.67</v>
      </c>
      <c r="Q339">
        <v>352.67</v>
      </c>
      <c r="R339" t="s">
        <v>2054</v>
      </c>
    </row>
    <row r="340" spans="1:18" x14ac:dyDescent="0.25">
      <c r="A340" t="s">
        <v>391</v>
      </c>
      <c r="B340" s="1">
        <v>45099</v>
      </c>
      <c r="C340" s="1">
        <v>45101</v>
      </c>
      <c r="D340" t="s">
        <v>118</v>
      </c>
      <c r="E340" t="s">
        <v>79</v>
      </c>
      <c r="F340" t="s">
        <v>80</v>
      </c>
      <c r="G340" t="s">
        <v>35</v>
      </c>
      <c r="H340" t="s">
        <v>40</v>
      </c>
      <c r="I340">
        <v>2</v>
      </c>
      <c r="J340">
        <v>24.9</v>
      </c>
      <c r="K340">
        <v>18</v>
      </c>
      <c r="L340">
        <v>315</v>
      </c>
      <c r="M340">
        <v>13.41</v>
      </c>
      <c r="N340" t="s">
        <v>23</v>
      </c>
      <c r="O340">
        <v>2</v>
      </c>
      <c r="P340">
        <v>49.8</v>
      </c>
      <c r="Q340">
        <v>67.8</v>
      </c>
      <c r="R340" t="s">
        <v>2054</v>
      </c>
    </row>
    <row r="341" spans="1:18" x14ac:dyDescent="0.25">
      <c r="A341" t="s">
        <v>392</v>
      </c>
      <c r="B341" s="1">
        <v>45103</v>
      </c>
      <c r="C341" s="1">
        <v>45105</v>
      </c>
      <c r="D341" t="s">
        <v>82</v>
      </c>
      <c r="E341" t="s">
        <v>79</v>
      </c>
      <c r="F341" t="s">
        <v>80</v>
      </c>
      <c r="G341" t="s">
        <v>26</v>
      </c>
      <c r="H341" t="s">
        <v>32</v>
      </c>
      <c r="I341">
        <v>1</v>
      </c>
      <c r="J341">
        <v>111.83</v>
      </c>
      <c r="K341">
        <v>12</v>
      </c>
      <c r="L341">
        <v>351</v>
      </c>
      <c r="M341">
        <v>-16.77</v>
      </c>
      <c r="N341" t="s">
        <v>23</v>
      </c>
      <c r="O341">
        <v>2</v>
      </c>
      <c r="P341">
        <v>111.83</v>
      </c>
      <c r="Q341">
        <v>123.83</v>
      </c>
      <c r="R341" t="s">
        <v>2054</v>
      </c>
    </row>
    <row r="342" spans="1:18" x14ac:dyDescent="0.25">
      <c r="A342" t="s">
        <v>393</v>
      </c>
      <c r="B342" s="1">
        <v>45103</v>
      </c>
      <c r="C342" s="1">
        <v>45106</v>
      </c>
      <c r="D342" t="s">
        <v>43</v>
      </c>
      <c r="E342" t="s">
        <v>44</v>
      </c>
      <c r="F342" t="s">
        <v>45</v>
      </c>
      <c r="G342" t="s">
        <v>26</v>
      </c>
      <c r="H342" t="s">
        <v>32</v>
      </c>
      <c r="I342">
        <v>2</v>
      </c>
      <c r="J342">
        <v>1191.8900000000001</v>
      </c>
      <c r="K342">
        <v>25</v>
      </c>
      <c r="L342">
        <v>43</v>
      </c>
      <c r="M342">
        <v>821.82</v>
      </c>
      <c r="N342" t="s">
        <v>23</v>
      </c>
      <c r="O342">
        <v>3</v>
      </c>
      <c r="P342">
        <v>2383.7800000000002</v>
      </c>
      <c r="Q342">
        <v>2408.7800000000002</v>
      </c>
      <c r="R342" t="s">
        <v>2055</v>
      </c>
    </row>
    <row r="343" spans="1:18" x14ac:dyDescent="0.25">
      <c r="A343" t="s">
        <v>394</v>
      </c>
      <c r="B343" s="1">
        <v>45103</v>
      </c>
      <c r="C343" s="1">
        <v>45105</v>
      </c>
      <c r="D343" t="s">
        <v>34</v>
      </c>
      <c r="E343" t="s">
        <v>30</v>
      </c>
      <c r="F343" t="s">
        <v>31</v>
      </c>
      <c r="G343" t="s">
        <v>35</v>
      </c>
      <c r="H343" t="s">
        <v>40</v>
      </c>
      <c r="I343">
        <v>3</v>
      </c>
      <c r="J343">
        <v>68.989999999999995</v>
      </c>
      <c r="K343">
        <v>18</v>
      </c>
      <c r="L343">
        <v>61</v>
      </c>
      <c r="M343">
        <v>73.790000000000006</v>
      </c>
      <c r="N343" t="s">
        <v>23</v>
      </c>
      <c r="O343">
        <v>2</v>
      </c>
      <c r="P343">
        <v>206.96999999999997</v>
      </c>
      <c r="Q343">
        <v>224.96999999999997</v>
      </c>
      <c r="R343" t="s">
        <v>2054</v>
      </c>
    </row>
    <row r="344" spans="1:18" x14ac:dyDescent="0.25">
      <c r="A344" t="s">
        <v>395</v>
      </c>
      <c r="B344" s="1">
        <v>45107</v>
      </c>
      <c r="C344" s="1">
        <v>45110</v>
      </c>
      <c r="D344" t="s">
        <v>56</v>
      </c>
      <c r="E344" t="s">
        <v>38</v>
      </c>
      <c r="F344" t="s">
        <v>39</v>
      </c>
      <c r="G344" t="s">
        <v>35</v>
      </c>
      <c r="H344" t="s">
        <v>27</v>
      </c>
      <c r="I344">
        <v>1</v>
      </c>
      <c r="J344">
        <v>225.85</v>
      </c>
      <c r="K344">
        <v>75</v>
      </c>
      <c r="L344">
        <v>129</v>
      </c>
      <c r="M344">
        <v>7.67</v>
      </c>
      <c r="N344" t="s">
        <v>23</v>
      </c>
      <c r="O344">
        <v>3</v>
      </c>
      <c r="P344">
        <v>225.85</v>
      </c>
      <c r="Q344">
        <v>300.85000000000002</v>
      </c>
      <c r="R344" t="s">
        <v>2054</v>
      </c>
    </row>
    <row r="345" spans="1:18" x14ac:dyDescent="0.25">
      <c r="A345" t="s">
        <v>396</v>
      </c>
      <c r="B345" s="1">
        <v>45108</v>
      </c>
      <c r="C345" s="1">
        <v>45111</v>
      </c>
      <c r="D345" t="s">
        <v>75</v>
      </c>
      <c r="E345" t="s">
        <v>44</v>
      </c>
      <c r="F345" t="s">
        <v>45</v>
      </c>
      <c r="G345" t="s">
        <v>21</v>
      </c>
      <c r="H345" t="s">
        <v>40</v>
      </c>
      <c r="I345">
        <v>1</v>
      </c>
      <c r="J345">
        <v>242.74</v>
      </c>
      <c r="K345">
        <v>37.5</v>
      </c>
      <c r="L345">
        <v>340</v>
      </c>
      <c r="M345">
        <v>66.209999999999994</v>
      </c>
      <c r="N345" t="s">
        <v>23</v>
      </c>
      <c r="O345">
        <v>3</v>
      </c>
      <c r="P345">
        <v>242.74</v>
      </c>
      <c r="Q345">
        <v>280.24</v>
      </c>
      <c r="R345" t="s">
        <v>2054</v>
      </c>
    </row>
    <row r="346" spans="1:18" x14ac:dyDescent="0.25">
      <c r="A346" t="s">
        <v>397</v>
      </c>
      <c r="B346" s="1">
        <v>45109</v>
      </c>
      <c r="C346" s="1">
        <v>45113</v>
      </c>
      <c r="D346" t="s">
        <v>29</v>
      </c>
      <c r="E346" t="s">
        <v>30</v>
      </c>
      <c r="F346" t="s">
        <v>31</v>
      </c>
      <c r="G346" t="s">
        <v>26</v>
      </c>
      <c r="H346" t="s">
        <v>27</v>
      </c>
      <c r="I346">
        <v>2</v>
      </c>
      <c r="J346">
        <v>82.77</v>
      </c>
      <c r="K346">
        <v>12</v>
      </c>
      <c r="L346">
        <v>84</v>
      </c>
      <c r="M346">
        <v>60.22</v>
      </c>
      <c r="N346" t="s">
        <v>23</v>
      </c>
      <c r="O346">
        <v>4</v>
      </c>
      <c r="P346">
        <v>165.54</v>
      </c>
      <c r="Q346">
        <v>177.54</v>
      </c>
      <c r="R346" t="s">
        <v>2054</v>
      </c>
    </row>
    <row r="347" spans="1:18" x14ac:dyDescent="0.25">
      <c r="A347" t="s">
        <v>398</v>
      </c>
      <c r="B347" s="1">
        <v>45109</v>
      </c>
      <c r="C347" s="1">
        <v>45111</v>
      </c>
      <c r="D347" t="s">
        <v>78</v>
      </c>
      <c r="E347" t="s">
        <v>79</v>
      </c>
      <c r="F347" t="s">
        <v>80</v>
      </c>
      <c r="G347" t="s">
        <v>21</v>
      </c>
      <c r="H347" t="s">
        <v>32</v>
      </c>
      <c r="I347">
        <v>4</v>
      </c>
      <c r="J347">
        <v>135.46</v>
      </c>
      <c r="K347">
        <v>12</v>
      </c>
      <c r="L347">
        <v>127</v>
      </c>
      <c r="M347">
        <v>237.84</v>
      </c>
      <c r="N347" t="s">
        <v>23</v>
      </c>
      <c r="O347">
        <v>2</v>
      </c>
      <c r="P347">
        <v>541.84</v>
      </c>
      <c r="Q347">
        <v>553.84</v>
      </c>
      <c r="R347" t="s">
        <v>2054</v>
      </c>
    </row>
    <row r="348" spans="1:18" x14ac:dyDescent="0.25">
      <c r="A348" t="s">
        <v>399</v>
      </c>
      <c r="B348" s="1">
        <v>45109</v>
      </c>
      <c r="C348" s="1">
        <v>45110</v>
      </c>
      <c r="D348" t="s">
        <v>37</v>
      </c>
      <c r="E348" t="s">
        <v>38</v>
      </c>
      <c r="F348" t="s">
        <v>39</v>
      </c>
      <c r="G348" t="s">
        <v>35</v>
      </c>
      <c r="H348" t="s">
        <v>22</v>
      </c>
      <c r="I348">
        <v>2</v>
      </c>
      <c r="J348">
        <v>336.89</v>
      </c>
      <c r="K348">
        <v>75</v>
      </c>
      <c r="L348">
        <v>144</v>
      </c>
      <c r="M348">
        <v>97.26</v>
      </c>
      <c r="N348" t="s">
        <v>23</v>
      </c>
      <c r="O348">
        <v>1</v>
      </c>
      <c r="P348">
        <v>673.78</v>
      </c>
      <c r="Q348">
        <v>748.78</v>
      </c>
      <c r="R348" t="s">
        <v>2054</v>
      </c>
    </row>
    <row r="349" spans="1:18" x14ac:dyDescent="0.25">
      <c r="A349" t="s">
        <v>400</v>
      </c>
      <c r="B349" s="1">
        <v>45110</v>
      </c>
      <c r="C349" s="1">
        <v>45111</v>
      </c>
      <c r="D349" t="s">
        <v>25</v>
      </c>
      <c r="E349" t="s">
        <v>19</v>
      </c>
      <c r="F349" t="s">
        <v>20</v>
      </c>
      <c r="G349" t="s">
        <v>21</v>
      </c>
      <c r="H349" t="s">
        <v>27</v>
      </c>
      <c r="I349">
        <v>14</v>
      </c>
      <c r="J349">
        <v>14.73</v>
      </c>
      <c r="K349">
        <v>8</v>
      </c>
      <c r="L349">
        <v>64</v>
      </c>
      <c r="M349">
        <v>12.5</v>
      </c>
      <c r="N349" t="s">
        <v>23</v>
      </c>
      <c r="O349">
        <v>1</v>
      </c>
      <c r="P349">
        <v>206.22</v>
      </c>
      <c r="Q349">
        <v>214.22</v>
      </c>
      <c r="R349" t="s">
        <v>2054</v>
      </c>
    </row>
    <row r="350" spans="1:18" x14ac:dyDescent="0.25">
      <c r="A350" t="s">
        <v>401</v>
      </c>
      <c r="B350" s="1">
        <v>45112</v>
      </c>
      <c r="C350" s="1">
        <v>45115</v>
      </c>
      <c r="D350" t="s">
        <v>72</v>
      </c>
      <c r="E350" t="s">
        <v>44</v>
      </c>
      <c r="F350" t="s">
        <v>45</v>
      </c>
      <c r="G350" t="s">
        <v>21</v>
      </c>
      <c r="H350" t="s">
        <v>40</v>
      </c>
      <c r="I350">
        <v>1</v>
      </c>
      <c r="J350">
        <v>1169.6199999999999</v>
      </c>
      <c r="K350">
        <v>37.5</v>
      </c>
      <c r="L350">
        <v>128</v>
      </c>
      <c r="M350">
        <v>390.62</v>
      </c>
      <c r="N350" t="s">
        <v>23</v>
      </c>
      <c r="O350">
        <v>3</v>
      </c>
      <c r="P350">
        <v>1169.6199999999999</v>
      </c>
      <c r="Q350">
        <v>1207.1199999999999</v>
      </c>
      <c r="R350" t="s">
        <v>2054</v>
      </c>
    </row>
    <row r="351" spans="1:18" x14ac:dyDescent="0.25">
      <c r="A351" t="s">
        <v>402</v>
      </c>
      <c r="B351" s="1">
        <v>45113</v>
      </c>
      <c r="C351" s="1">
        <v>45121</v>
      </c>
      <c r="D351" t="s">
        <v>82</v>
      </c>
      <c r="E351" t="s">
        <v>79</v>
      </c>
      <c r="F351" t="s">
        <v>80</v>
      </c>
      <c r="G351" t="s">
        <v>35</v>
      </c>
      <c r="H351" t="s">
        <v>40</v>
      </c>
      <c r="I351">
        <v>5</v>
      </c>
      <c r="J351">
        <v>86.06</v>
      </c>
      <c r="K351">
        <v>18</v>
      </c>
      <c r="L351">
        <v>98</v>
      </c>
      <c r="M351">
        <v>184.63</v>
      </c>
      <c r="N351" t="s">
        <v>63</v>
      </c>
      <c r="O351">
        <v>8</v>
      </c>
      <c r="P351">
        <v>430.3</v>
      </c>
      <c r="Q351">
        <v>448.3</v>
      </c>
      <c r="R351" t="s">
        <v>2054</v>
      </c>
    </row>
    <row r="352" spans="1:18" x14ac:dyDescent="0.25">
      <c r="A352" t="s">
        <v>403</v>
      </c>
      <c r="B352" s="1">
        <v>45113</v>
      </c>
      <c r="C352" s="1">
        <v>45114</v>
      </c>
      <c r="D352" t="s">
        <v>52</v>
      </c>
      <c r="E352" t="s">
        <v>30</v>
      </c>
      <c r="F352" t="s">
        <v>31</v>
      </c>
      <c r="G352" t="s">
        <v>26</v>
      </c>
      <c r="H352" t="s">
        <v>22</v>
      </c>
      <c r="I352">
        <v>2</v>
      </c>
      <c r="J352">
        <v>127.37</v>
      </c>
      <c r="K352">
        <v>12</v>
      </c>
      <c r="L352">
        <v>124</v>
      </c>
      <c r="M352">
        <v>95.9</v>
      </c>
      <c r="N352" t="s">
        <v>23</v>
      </c>
      <c r="O352">
        <v>1</v>
      </c>
      <c r="P352">
        <v>254.74</v>
      </c>
      <c r="Q352">
        <v>266.74</v>
      </c>
      <c r="R352" t="s">
        <v>2054</v>
      </c>
    </row>
    <row r="353" spans="1:18" x14ac:dyDescent="0.25">
      <c r="A353" t="s">
        <v>404</v>
      </c>
      <c r="B353" s="1">
        <v>45113</v>
      </c>
      <c r="C353" s="1">
        <v>45120</v>
      </c>
      <c r="D353" t="s">
        <v>52</v>
      </c>
      <c r="E353" t="s">
        <v>30</v>
      </c>
      <c r="F353" t="s">
        <v>31</v>
      </c>
      <c r="G353" t="s">
        <v>35</v>
      </c>
      <c r="H353" t="s">
        <v>27</v>
      </c>
      <c r="I353">
        <v>2</v>
      </c>
      <c r="J353">
        <v>100.49</v>
      </c>
      <c r="K353">
        <v>12</v>
      </c>
      <c r="L353">
        <v>247</v>
      </c>
      <c r="M353">
        <v>74.39</v>
      </c>
      <c r="N353" t="s">
        <v>63</v>
      </c>
      <c r="O353">
        <v>7</v>
      </c>
      <c r="P353">
        <v>200.98</v>
      </c>
      <c r="Q353">
        <v>212.98</v>
      </c>
      <c r="R353" t="s">
        <v>2054</v>
      </c>
    </row>
    <row r="354" spans="1:18" x14ac:dyDescent="0.25">
      <c r="A354" t="s">
        <v>405</v>
      </c>
      <c r="B354" s="1">
        <v>45114</v>
      </c>
      <c r="C354" s="1">
        <v>45117</v>
      </c>
      <c r="D354" t="s">
        <v>34</v>
      </c>
      <c r="E354" t="s">
        <v>30</v>
      </c>
      <c r="F354" t="s">
        <v>31</v>
      </c>
      <c r="G354" t="s">
        <v>26</v>
      </c>
      <c r="H354" t="s">
        <v>32</v>
      </c>
      <c r="I354">
        <v>4</v>
      </c>
      <c r="J354">
        <v>93.37</v>
      </c>
      <c r="K354">
        <v>12</v>
      </c>
      <c r="L354">
        <v>60</v>
      </c>
      <c r="M354">
        <v>143.4</v>
      </c>
      <c r="N354" t="s">
        <v>23</v>
      </c>
      <c r="O354">
        <v>3</v>
      </c>
      <c r="P354">
        <v>373.48</v>
      </c>
      <c r="Q354">
        <v>385.48</v>
      </c>
      <c r="R354" t="s">
        <v>2054</v>
      </c>
    </row>
    <row r="355" spans="1:18" x14ac:dyDescent="0.25">
      <c r="A355" t="s">
        <v>406</v>
      </c>
      <c r="B355" s="1">
        <v>45114</v>
      </c>
      <c r="C355" s="1">
        <v>45130</v>
      </c>
      <c r="D355" t="s">
        <v>25</v>
      </c>
      <c r="E355" t="s">
        <v>19</v>
      </c>
      <c r="F355" t="s">
        <v>20</v>
      </c>
      <c r="G355" t="s">
        <v>35</v>
      </c>
      <c r="H355" t="s">
        <v>40</v>
      </c>
      <c r="I355">
        <v>8</v>
      </c>
      <c r="J355">
        <v>17.21</v>
      </c>
      <c r="K355">
        <v>12</v>
      </c>
      <c r="L355">
        <v>108</v>
      </c>
      <c r="M355">
        <v>5.01</v>
      </c>
      <c r="N355" t="s">
        <v>47</v>
      </c>
      <c r="O355">
        <v>16</v>
      </c>
      <c r="P355">
        <v>137.68</v>
      </c>
      <c r="Q355">
        <v>149.68</v>
      </c>
      <c r="R355" t="s">
        <v>2054</v>
      </c>
    </row>
    <row r="356" spans="1:18" x14ac:dyDescent="0.25">
      <c r="A356" t="s">
        <v>407</v>
      </c>
      <c r="B356" s="1">
        <v>45116</v>
      </c>
      <c r="C356" s="1">
        <v>45127</v>
      </c>
      <c r="D356" t="s">
        <v>37</v>
      </c>
      <c r="E356" t="s">
        <v>38</v>
      </c>
      <c r="F356" t="s">
        <v>39</v>
      </c>
      <c r="G356" t="s">
        <v>35</v>
      </c>
      <c r="H356" t="s">
        <v>40</v>
      </c>
      <c r="I356">
        <v>1</v>
      </c>
      <c r="J356">
        <v>134.83000000000001</v>
      </c>
      <c r="K356">
        <v>112.5</v>
      </c>
      <c r="L356">
        <v>385</v>
      </c>
      <c r="M356">
        <v>-29.28</v>
      </c>
      <c r="N356" t="s">
        <v>47</v>
      </c>
      <c r="O356">
        <v>11</v>
      </c>
      <c r="P356">
        <v>134.83000000000001</v>
      </c>
      <c r="Q356">
        <v>247.33</v>
      </c>
      <c r="R356" t="s">
        <v>2054</v>
      </c>
    </row>
    <row r="357" spans="1:18" x14ac:dyDescent="0.25">
      <c r="A357" t="s">
        <v>408</v>
      </c>
      <c r="B357" s="1">
        <v>45116</v>
      </c>
      <c r="C357" s="1">
        <v>45118</v>
      </c>
      <c r="D357" t="s">
        <v>18</v>
      </c>
      <c r="E357" t="s">
        <v>19</v>
      </c>
      <c r="F357" t="s">
        <v>20</v>
      </c>
      <c r="G357" t="s">
        <v>35</v>
      </c>
      <c r="H357" t="s">
        <v>22</v>
      </c>
      <c r="I357">
        <v>5</v>
      </c>
      <c r="J357">
        <v>23.71</v>
      </c>
      <c r="K357">
        <v>8</v>
      </c>
      <c r="L357">
        <v>187</v>
      </c>
      <c r="M357">
        <v>5.49</v>
      </c>
      <c r="N357" t="s">
        <v>23</v>
      </c>
      <c r="O357">
        <v>2</v>
      </c>
      <c r="P357">
        <v>118.55000000000001</v>
      </c>
      <c r="Q357">
        <v>126.55000000000001</v>
      </c>
      <c r="R357" t="s">
        <v>2054</v>
      </c>
    </row>
    <row r="358" spans="1:18" x14ac:dyDescent="0.25">
      <c r="A358" t="s">
        <v>409</v>
      </c>
      <c r="B358" s="1">
        <v>45116</v>
      </c>
      <c r="C358" s="1">
        <v>45131</v>
      </c>
      <c r="D358" t="s">
        <v>29</v>
      </c>
      <c r="E358" t="s">
        <v>30</v>
      </c>
      <c r="F358" t="s">
        <v>31</v>
      </c>
      <c r="G358" t="s">
        <v>35</v>
      </c>
      <c r="H358" t="s">
        <v>32</v>
      </c>
      <c r="I358">
        <v>2</v>
      </c>
      <c r="J358">
        <v>133.96</v>
      </c>
      <c r="K358">
        <v>12</v>
      </c>
      <c r="L358">
        <v>120</v>
      </c>
      <c r="M358">
        <v>101.17</v>
      </c>
      <c r="N358" t="s">
        <v>47</v>
      </c>
      <c r="O358">
        <v>15</v>
      </c>
      <c r="P358">
        <v>267.92</v>
      </c>
      <c r="Q358">
        <v>279.92</v>
      </c>
      <c r="R358" t="s">
        <v>2054</v>
      </c>
    </row>
    <row r="359" spans="1:18" x14ac:dyDescent="0.25">
      <c r="A359" t="s">
        <v>410</v>
      </c>
      <c r="B359" s="1">
        <v>45116</v>
      </c>
      <c r="C359" s="1">
        <v>45119</v>
      </c>
      <c r="D359" t="s">
        <v>78</v>
      </c>
      <c r="E359" t="s">
        <v>79</v>
      </c>
      <c r="F359" t="s">
        <v>80</v>
      </c>
      <c r="G359" t="s">
        <v>35</v>
      </c>
      <c r="H359" t="s">
        <v>40</v>
      </c>
      <c r="I359">
        <v>3</v>
      </c>
      <c r="J359">
        <v>115.93</v>
      </c>
      <c r="K359">
        <v>18</v>
      </c>
      <c r="L359">
        <v>224</v>
      </c>
      <c r="M359">
        <v>147.51</v>
      </c>
      <c r="N359" t="s">
        <v>23</v>
      </c>
      <c r="O359">
        <v>3</v>
      </c>
      <c r="P359">
        <v>347.79</v>
      </c>
      <c r="Q359">
        <v>365.79</v>
      </c>
      <c r="R359" t="s">
        <v>2054</v>
      </c>
    </row>
    <row r="360" spans="1:18" x14ac:dyDescent="0.25">
      <c r="A360" t="s">
        <v>411</v>
      </c>
      <c r="B360" s="1">
        <v>45116</v>
      </c>
      <c r="C360" s="1">
        <v>45123</v>
      </c>
      <c r="D360" t="s">
        <v>75</v>
      </c>
      <c r="E360" t="s">
        <v>44</v>
      </c>
      <c r="F360" t="s">
        <v>45</v>
      </c>
      <c r="G360" t="s">
        <v>35</v>
      </c>
      <c r="H360" t="s">
        <v>27</v>
      </c>
      <c r="I360">
        <v>2</v>
      </c>
      <c r="J360">
        <v>891.42</v>
      </c>
      <c r="K360">
        <v>25</v>
      </c>
      <c r="L360">
        <v>357</v>
      </c>
      <c r="M360">
        <v>611.49</v>
      </c>
      <c r="N360" t="s">
        <v>63</v>
      </c>
      <c r="O360">
        <v>7</v>
      </c>
      <c r="P360">
        <v>1782.84</v>
      </c>
      <c r="Q360">
        <v>1807.84</v>
      </c>
      <c r="R360" t="s">
        <v>2054</v>
      </c>
    </row>
    <row r="361" spans="1:18" x14ac:dyDescent="0.25">
      <c r="A361" t="s">
        <v>412</v>
      </c>
      <c r="B361" s="1">
        <v>45117</v>
      </c>
      <c r="C361" s="1">
        <v>45119</v>
      </c>
      <c r="D361" t="s">
        <v>82</v>
      </c>
      <c r="E361" t="s">
        <v>79</v>
      </c>
      <c r="F361" t="s">
        <v>80</v>
      </c>
      <c r="G361" t="s">
        <v>21</v>
      </c>
      <c r="H361" t="s">
        <v>27</v>
      </c>
      <c r="I361">
        <v>3</v>
      </c>
      <c r="J361">
        <v>60.58</v>
      </c>
      <c r="K361">
        <v>12</v>
      </c>
      <c r="L361">
        <v>74</v>
      </c>
      <c r="M361">
        <v>75.790000000000006</v>
      </c>
      <c r="N361" t="s">
        <v>23</v>
      </c>
      <c r="O361">
        <v>2</v>
      </c>
      <c r="P361">
        <v>181.74</v>
      </c>
      <c r="Q361">
        <v>193.74</v>
      </c>
      <c r="R361" t="s">
        <v>2054</v>
      </c>
    </row>
    <row r="362" spans="1:18" x14ac:dyDescent="0.25">
      <c r="A362" t="s">
        <v>413</v>
      </c>
      <c r="B362" s="1">
        <v>45117</v>
      </c>
      <c r="C362" s="1">
        <v>45118</v>
      </c>
      <c r="D362" t="s">
        <v>54</v>
      </c>
      <c r="E362" t="s">
        <v>38</v>
      </c>
      <c r="F362" t="s">
        <v>39</v>
      </c>
      <c r="G362" t="s">
        <v>21</v>
      </c>
      <c r="H362" t="s">
        <v>27</v>
      </c>
      <c r="I362">
        <v>2</v>
      </c>
      <c r="J362">
        <v>349.28</v>
      </c>
      <c r="K362">
        <v>75</v>
      </c>
      <c r="L362">
        <v>208</v>
      </c>
      <c r="M362">
        <v>102.21</v>
      </c>
      <c r="N362" t="s">
        <v>23</v>
      </c>
      <c r="O362">
        <v>1</v>
      </c>
      <c r="P362">
        <v>698.56</v>
      </c>
      <c r="Q362">
        <v>773.56</v>
      </c>
      <c r="R362" t="s">
        <v>2054</v>
      </c>
    </row>
    <row r="363" spans="1:18" x14ac:dyDescent="0.25">
      <c r="A363" t="s">
        <v>414</v>
      </c>
      <c r="B363" s="1">
        <v>45118</v>
      </c>
      <c r="C363" s="1">
        <v>45134</v>
      </c>
      <c r="D363" t="s">
        <v>72</v>
      </c>
      <c r="E363" t="s">
        <v>44</v>
      </c>
      <c r="F363" t="s">
        <v>45</v>
      </c>
      <c r="G363" t="s">
        <v>35</v>
      </c>
      <c r="H363" t="s">
        <v>22</v>
      </c>
      <c r="I363">
        <v>2</v>
      </c>
      <c r="J363">
        <v>948.96</v>
      </c>
      <c r="K363">
        <v>25</v>
      </c>
      <c r="L363">
        <v>355</v>
      </c>
      <c r="M363">
        <v>651.78</v>
      </c>
      <c r="N363" t="s">
        <v>47</v>
      </c>
      <c r="O363">
        <v>16</v>
      </c>
      <c r="P363">
        <v>1897.92</v>
      </c>
      <c r="Q363">
        <v>1922.92</v>
      </c>
      <c r="R363" t="s">
        <v>2054</v>
      </c>
    </row>
    <row r="364" spans="1:18" x14ac:dyDescent="0.25">
      <c r="A364" t="s">
        <v>415</v>
      </c>
      <c r="B364" s="1">
        <v>45118</v>
      </c>
      <c r="C364" s="1">
        <v>45120</v>
      </c>
      <c r="D364" t="s">
        <v>75</v>
      </c>
      <c r="E364" t="s">
        <v>44</v>
      </c>
      <c r="F364" t="s">
        <v>45</v>
      </c>
      <c r="G364" t="s">
        <v>35</v>
      </c>
      <c r="H364" t="s">
        <v>40</v>
      </c>
      <c r="I364">
        <v>3</v>
      </c>
      <c r="J364">
        <v>580.48</v>
      </c>
      <c r="K364">
        <v>37.5</v>
      </c>
      <c r="L364">
        <v>272</v>
      </c>
      <c r="M364">
        <v>590.76</v>
      </c>
      <c r="N364" t="s">
        <v>23</v>
      </c>
      <c r="O364">
        <v>2</v>
      </c>
      <c r="P364">
        <v>1741.44</v>
      </c>
      <c r="Q364">
        <v>1778.94</v>
      </c>
      <c r="R364" t="s">
        <v>2054</v>
      </c>
    </row>
    <row r="365" spans="1:18" x14ac:dyDescent="0.25">
      <c r="A365" t="s">
        <v>416</v>
      </c>
      <c r="B365" s="1">
        <v>45118</v>
      </c>
      <c r="C365" s="1">
        <v>45122</v>
      </c>
      <c r="D365" t="s">
        <v>29</v>
      </c>
      <c r="E365" t="s">
        <v>30</v>
      </c>
      <c r="F365" t="s">
        <v>31</v>
      </c>
      <c r="G365" t="s">
        <v>35</v>
      </c>
      <c r="H365" t="s">
        <v>22</v>
      </c>
      <c r="I365">
        <v>2</v>
      </c>
      <c r="J365">
        <v>111.95</v>
      </c>
      <c r="K365">
        <v>12</v>
      </c>
      <c r="L365">
        <v>168</v>
      </c>
      <c r="M365">
        <v>83.56</v>
      </c>
      <c r="N365" t="s">
        <v>23</v>
      </c>
      <c r="O365">
        <v>4</v>
      </c>
      <c r="P365">
        <v>223.9</v>
      </c>
      <c r="Q365">
        <v>235.9</v>
      </c>
      <c r="R365" t="s">
        <v>2054</v>
      </c>
    </row>
    <row r="366" spans="1:18" x14ac:dyDescent="0.25">
      <c r="A366" t="s">
        <v>417</v>
      </c>
      <c r="B366" s="1">
        <v>45120</v>
      </c>
      <c r="C366" s="1">
        <v>45124</v>
      </c>
      <c r="D366" t="s">
        <v>75</v>
      </c>
      <c r="E366" t="s">
        <v>44</v>
      </c>
      <c r="F366" t="s">
        <v>45</v>
      </c>
      <c r="G366" t="s">
        <v>35</v>
      </c>
      <c r="H366" t="s">
        <v>40</v>
      </c>
      <c r="I366">
        <v>2</v>
      </c>
      <c r="J366">
        <v>863.31</v>
      </c>
      <c r="K366">
        <v>37.5</v>
      </c>
      <c r="L366">
        <v>149</v>
      </c>
      <c r="M366">
        <v>585.57000000000005</v>
      </c>
      <c r="N366" t="s">
        <v>23</v>
      </c>
      <c r="O366">
        <v>4</v>
      </c>
      <c r="P366">
        <v>1726.62</v>
      </c>
      <c r="Q366">
        <v>1764.12</v>
      </c>
      <c r="R366" t="s">
        <v>2054</v>
      </c>
    </row>
    <row r="367" spans="1:18" x14ac:dyDescent="0.25">
      <c r="A367" t="s">
        <v>418</v>
      </c>
      <c r="B367" s="1">
        <v>45120</v>
      </c>
      <c r="C367" s="1">
        <v>45125</v>
      </c>
      <c r="D367" t="s">
        <v>118</v>
      </c>
      <c r="E367" t="s">
        <v>79</v>
      </c>
      <c r="F367" t="s">
        <v>80</v>
      </c>
      <c r="G367" t="s">
        <v>35</v>
      </c>
      <c r="H367" t="s">
        <v>22</v>
      </c>
      <c r="I367">
        <v>2</v>
      </c>
      <c r="J367">
        <v>94.56</v>
      </c>
      <c r="K367">
        <v>12</v>
      </c>
      <c r="L367">
        <v>257</v>
      </c>
      <c r="M367">
        <v>79.11</v>
      </c>
      <c r="N367" t="s">
        <v>23</v>
      </c>
      <c r="O367">
        <v>5</v>
      </c>
      <c r="P367">
        <v>189.12</v>
      </c>
      <c r="Q367">
        <v>201.12</v>
      </c>
      <c r="R367" t="s">
        <v>2054</v>
      </c>
    </row>
    <row r="368" spans="1:18" x14ac:dyDescent="0.25">
      <c r="A368" t="s">
        <v>419</v>
      </c>
      <c r="B368" s="1">
        <v>45120</v>
      </c>
      <c r="C368" s="1">
        <v>45124</v>
      </c>
      <c r="D368" t="s">
        <v>43</v>
      </c>
      <c r="E368" t="s">
        <v>44</v>
      </c>
      <c r="F368" t="s">
        <v>45</v>
      </c>
      <c r="G368" t="s">
        <v>35</v>
      </c>
      <c r="H368" t="s">
        <v>40</v>
      </c>
      <c r="I368">
        <v>3</v>
      </c>
      <c r="J368">
        <v>525.82000000000005</v>
      </c>
      <c r="K368">
        <v>37.5</v>
      </c>
      <c r="L368">
        <v>38</v>
      </c>
      <c r="M368">
        <v>533.36</v>
      </c>
      <c r="N368" t="s">
        <v>23</v>
      </c>
      <c r="O368">
        <v>4</v>
      </c>
      <c r="P368">
        <v>1577.46</v>
      </c>
      <c r="Q368">
        <v>1614.96</v>
      </c>
      <c r="R368" t="s">
        <v>2055</v>
      </c>
    </row>
    <row r="369" spans="1:18" x14ac:dyDescent="0.25">
      <c r="A369" t="s">
        <v>420</v>
      </c>
      <c r="B369" s="1">
        <v>45122</v>
      </c>
      <c r="C369" s="1">
        <v>45127</v>
      </c>
      <c r="D369" t="s">
        <v>75</v>
      </c>
      <c r="E369" t="s">
        <v>44</v>
      </c>
      <c r="F369" t="s">
        <v>45</v>
      </c>
      <c r="G369" t="s">
        <v>26</v>
      </c>
      <c r="H369" t="s">
        <v>27</v>
      </c>
      <c r="I369">
        <v>3</v>
      </c>
      <c r="J369">
        <v>381.82</v>
      </c>
      <c r="K369">
        <v>25</v>
      </c>
      <c r="L369">
        <v>42</v>
      </c>
      <c r="M369">
        <v>388.41</v>
      </c>
      <c r="N369" t="s">
        <v>23</v>
      </c>
      <c r="O369">
        <v>5</v>
      </c>
      <c r="P369">
        <v>1145.46</v>
      </c>
      <c r="Q369">
        <v>1170.46</v>
      </c>
      <c r="R369" t="s">
        <v>2055</v>
      </c>
    </row>
    <row r="370" spans="1:18" x14ac:dyDescent="0.25">
      <c r="A370" t="s">
        <v>421</v>
      </c>
      <c r="B370" s="1">
        <v>45124</v>
      </c>
      <c r="C370" s="1">
        <v>45127</v>
      </c>
      <c r="D370" t="s">
        <v>34</v>
      </c>
      <c r="E370" t="s">
        <v>30</v>
      </c>
      <c r="F370" t="s">
        <v>31</v>
      </c>
      <c r="G370" t="s">
        <v>21</v>
      </c>
      <c r="H370" t="s">
        <v>27</v>
      </c>
      <c r="I370">
        <v>5</v>
      </c>
      <c r="J370">
        <v>47.53</v>
      </c>
      <c r="K370">
        <v>12</v>
      </c>
      <c r="L370">
        <v>396</v>
      </c>
      <c r="M370">
        <v>89.05</v>
      </c>
      <c r="N370" t="s">
        <v>23</v>
      </c>
      <c r="O370">
        <v>3</v>
      </c>
      <c r="P370">
        <v>237.65</v>
      </c>
      <c r="Q370">
        <v>249.65</v>
      </c>
      <c r="R370" t="s">
        <v>2054</v>
      </c>
    </row>
    <row r="371" spans="1:18" x14ac:dyDescent="0.25">
      <c r="A371" t="s">
        <v>422</v>
      </c>
      <c r="B371" s="1">
        <v>45124</v>
      </c>
      <c r="C371" s="1">
        <v>45126</v>
      </c>
      <c r="D371" t="s">
        <v>58</v>
      </c>
      <c r="E371" t="s">
        <v>19</v>
      </c>
      <c r="F371" t="s">
        <v>20</v>
      </c>
      <c r="G371" t="s">
        <v>21</v>
      </c>
      <c r="H371" t="s">
        <v>32</v>
      </c>
      <c r="I371">
        <v>11</v>
      </c>
      <c r="J371">
        <v>22.25</v>
      </c>
      <c r="K371">
        <v>8</v>
      </c>
      <c r="L371">
        <v>383</v>
      </c>
      <c r="M371">
        <v>15.58</v>
      </c>
      <c r="N371" t="s">
        <v>23</v>
      </c>
      <c r="O371">
        <v>2</v>
      </c>
      <c r="P371">
        <v>244.75</v>
      </c>
      <c r="Q371">
        <v>252.75</v>
      </c>
      <c r="R371" t="s">
        <v>2054</v>
      </c>
    </row>
    <row r="372" spans="1:18" x14ac:dyDescent="0.25">
      <c r="A372" t="s">
        <v>423</v>
      </c>
      <c r="B372" s="1">
        <v>45124</v>
      </c>
      <c r="C372" s="1">
        <v>45128</v>
      </c>
      <c r="D372" t="s">
        <v>50</v>
      </c>
      <c r="E372" t="s">
        <v>44</v>
      </c>
      <c r="F372" t="s">
        <v>45</v>
      </c>
      <c r="G372" t="s">
        <v>21</v>
      </c>
      <c r="H372" t="s">
        <v>27</v>
      </c>
      <c r="I372">
        <v>3</v>
      </c>
      <c r="J372">
        <v>502.78</v>
      </c>
      <c r="K372">
        <v>25</v>
      </c>
      <c r="L372">
        <v>378</v>
      </c>
      <c r="M372">
        <v>515.41999999999996</v>
      </c>
      <c r="N372" t="s">
        <v>23</v>
      </c>
      <c r="O372">
        <v>4</v>
      </c>
      <c r="P372">
        <v>1508.34</v>
      </c>
      <c r="Q372">
        <v>1533.34</v>
      </c>
      <c r="R372" t="s">
        <v>2054</v>
      </c>
    </row>
    <row r="373" spans="1:18" x14ac:dyDescent="0.25">
      <c r="A373" t="s">
        <v>424</v>
      </c>
      <c r="B373" s="1">
        <v>45125</v>
      </c>
      <c r="C373" s="1">
        <v>45129</v>
      </c>
      <c r="D373" t="s">
        <v>43</v>
      </c>
      <c r="E373" t="s">
        <v>44</v>
      </c>
      <c r="F373" t="s">
        <v>45</v>
      </c>
      <c r="G373" t="s">
        <v>21</v>
      </c>
      <c r="H373" t="s">
        <v>27</v>
      </c>
      <c r="I373">
        <v>2</v>
      </c>
      <c r="J373">
        <v>1098.3599999999999</v>
      </c>
      <c r="K373">
        <v>25</v>
      </c>
      <c r="L373">
        <v>149</v>
      </c>
      <c r="M373">
        <v>756.35</v>
      </c>
      <c r="N373" t="s">
        <v>23</v>
      </c>
      <c r="O373">
        <v>4</v>
      </c>
      <c r="P373">
        <v>2196.7199999999998</v>
      </c>
      <c r="Q373">
        <v>2221.7199999999998</v>
      </c>
      <c r="R373" t="s">
        <v>2054</v>
      </c>
    </row>
    <row r="374" spans="1:18" x14ac:dyDescent="0.25">
      <c r="A374" t="s">
        <v>425</v>
      </c>
      <c r="B374" s="1">
        <v>45126</v>
      </c>
      <c r="C374" s="1">
        <v>45128</v>
      </c>
      <c r="D374" t="s">
        <v>58</v>
      </c>
      <c r="E374" t="s">
        <v>19</v>
      </c>
      <c r="F374" t="s">
        <v>20</v>
      </c>
      <c r="G374" t="s">
        <v>21</v>
      </c>
      <c r="H374" t="s">
        <v>27</v>
      </c>
      <c r="I374">
        <v>13</v>
      </c>
      <c r="J374">
        <v>29.49</v>
      </c>
      <c r="K374">
        <v>8</v>
      </c>
      <c r="L374">
        <v>27</v>
      </c>
      <c r="M374">
        <v>26.67</v>
      </c>
      <c r="N374" t="s">
        <v>23</v>
      </c>
      <c r="O374">
        <v>2</v>
      </c>
      <c r="P374">
        <v>383.37</v>
      </c>
      <c r="Q374">
        <v>391.37</v>
      </c>
      <c r="R374" t="s">
        <v>2055</v>
      </c>
    </row>
    <row r="375" spans="1:18" x14ac:dyDescent="0.25">
      <c r="A375" t="s">
        <v>426</v>
      </c>
      <c r="B375" s="1">
        <v>45127</v>
      </c>
      <c r="C375" s="1">
        <v>45131</v>
      </c>
      <c r="D375" t="s">
        <v>56</v>
      </c>
      <c r="E375" t="s">
        <v>38</v>
      </c>
      <c r="F375" t="s">
        <v>39</v>
      </c>
      <c r="G375" t="s">
        <v>35</v>
      </c>
      <c r="H375" t="s">
        <v>22</v>
      </c>
      <c r="I375">
        <v>2</v>
      </c>
      <c r="J375">
        <v>422.07</v>
      </c>
      <c r="K375">
        <v>75</v>
      </c>
      <c r="L375">
        <v>381</v>
      </c>
      <c r="M375">
        <v>131.33000000000001</v>
      </c>
      <c r="N375" t="s">
        <v>23</v>
      </c>
      <c r="O375">
        <v>4</v>
      </c>
      <c r="P375">
        <v>844.14</v>
      </c>
      <c r="Q375">
        <v>919.14</v>
      </c>
      <c r="R375" t="s">
        <v>2054</v>
      </c>
    </row>
    <row r="376" spans="1:18" x14ac:dyDescent="0.25">
      <c r="A376" t="s">
        <v>427</v>
      </c>
      <c r="B376" s="1">
        <v>45127</v>
      </c>
      <c r="C376" s="1">
        <v>45139</v>
      </c>
      <c r="D376" t="s">
        <v>82</v>
      </c>
      <c r="E376" t="s">
        <v>79</v>
      </c>
      <c r="F376" t="s">
        <v>80</v>
      </c>
      <c r="G376" t="s">
        <v>35</v>
      </c>
      <c r="H376" t="s">
        <v>27</v>
      </c>
      <c r="I376">
        <v>4</v>
      </c>
      <c r="J376">
        <v>37.79</v>
      </c>
      <c r="K376">
        <v>12</v>
      </c>
      <c r="L376">
        <v>154</v>
      </c>
      <c r="M376">
        <v>62.02</v>
      </c>
      <c r="N376" t="s">
        <v>47</v>
      </c>
      <c r="O376">
        <v>12</v>
      </c>
      <c r="P376">
        <v>151.16</v>
      </c>
      <c r="Q376">
        <v>163.16</v>
      </c>
      <c r="R376" t="s">
        <v>2054</v>
      </c>
    </row>
    <row r="377" spans="1:18" x14ac:dyDescent="0.25">
      <c r="A377" t="s">
        <v>428</v>
      </c>
      <c r="B377" s="1">
        <v>45128</v>
      </c>
      <c r="C377" s="1">
        <v>45142</v>
      </c>
      <c r="D377" t="s">
        <v>25</v>
      </c>
      <c r="E377" t="s">
        <v>19</v>
      </c>
      <c r="F377" t="s">
        <v>20</v>
      </c>
      <c r="G377" t="s">
        <v>35</v>
      </c>
      <c r="H377" t="s">
        <v>32</v>
      </c>
      <c r="I377">
        <v>14</v>
      </c>
      <c r="J377">
        <v>46.82</v>
      </c>
      <c r="K377">
        <v>8</v>
      </c>
      <c r="L377">
        <v>313</v>
      </c>
      <c r="M377">
        <v>48.44</v>
      </c>
      <c r="N377" t="s">
        <v>47</v>
      </c>
      <c r="O377">
        <v>14</v>
      </c>
      <c r="P377">
        <v>655.48</v>
      </c>
      <c r="Q377">
        <v>663.48</v>
      </c>
      <c r="R377" t="s">
        <v>2054</v>
      </c>
    </row>
    <row r="378" spans="1:18" x14ac:dyDescent="0.25">
      <c r="A378" t="s">
        <v>429</v>
      </c>
      <c r="B378" s="1">
        <v>45128</v>
      </c>
      <c r="C378" s="1">
        <v>45129</v>
      </c>
      <c r="D378" t="s">
        <v>37</v>
      </c>
      <c r="E378" t="s">
        <v>38</v>
      </c>
      <c r="F378" t="s">
        <v>39</v>
      </c>
      <c r="G378" t="s">
        <v>35</v>
      </c>
      <c r="H378" t="s">
        <v>40</v>
      </c>
      <c r="I378">
        <v>1</v>
      </c>
      <c r="J378">
        <v>293.39999999999998</v>
      </c>
      <c r="K378">
        <v>112.5</v>
      </c>
      <c r="L378">
        <v>239</v>
      </c>
      <c r="M378">
        <v>2.4300000000000002</v>
      </c>
      <c r="N378" t="s">
        <v>23</v>
      </c>
      <c r="O378">
        <v>1</v>
      </c>
      <c r="P378">
        <v>293.39999999999998</v>
      </c>
      <c r="Q378">
        <v>405.9</v>
      </c>
      <c r="R378" t="s">
        <v>2054</v>
      </c>
    </row>
    <row r="379" spans="1:18" x14ac:dyDescent="0.25">
      <c r="A379" t="s">
        <v>430</v>
      </c>
      <c r="B379" s="1">
        <v>45129</v>
      </c>
      <c r="C379" s="1">
        <v>45142</v>
      </c>
      <c r="D379" t="s">
        <v>18</v>
      </c>
      <c r="E379" t="s">
        <v>19</v>
      </c>
      <c r="F379" t="s">
        <v>20</v>
      </c>
      <c r="G379" t="s">
        <v>35</v>
      </c>
      <c r="H379" t="s">
        <v>40</v>
      </c>
      <c r="I379">
        <v>14</v>
      </c>
      <c r="J379">
        <v>40.75</v>
      </c>
      <c r="K379">
        <v>12</v>
      </c>
      <c r="L379">
        <v>1</v>
      </c>
      <c r="M379">
        <v>39.64</v>
      </c>
      <c r="N379" t="s">
        <v>47</v>
      </c>
      <c r="O379">
        <v>13</v>
      </c>
      <c r="P379">
        <v>570.5</v>
      </c>
      <c r="Q379">
        <v>582.5</v>
      </c>
      <c r="R379" t="s">
        <v>2056</v>
      </c>
    </row>
    <row r="380" spans="1:18" x14ac:dyDescent="0.25">
      <c r="A380" t="s">
        <v>431</v>
      </c>
      <c r="B380" s="1">
        <v>45129</v>
      </c>
      <c r="C380" s="1">
        <v>45133</v>
      </c>
      <c r="D380" t="s">
        <v>75</v>
      </c>
      <c r="E380" t="s">
        <v>44</v>
      </c>
      <c r="F380" t="s">
        <v>45</v>
      </c>
      <c r="G380" t="s">
        <v>35</v>
      </c>
      <c r="H380" t="s">
        <v>40</v>
      </c>
      <c r="I380">
        <v>3</v>
      </c>
      <c r="J380">
        <v>450.89</v>
      </c>
      <c r="K380">
        <v>37.5</v>
      </c>
      <c r="L380">
        <v>245</v>
      </c>
      <c r="M380">
        <v>454.68</v>
      </c>
      <c r="N380" t="s">
        <v>23</v>
      </c>
      <c r="O380">
        <v>4</v>
      </c>
      <c r="P380">
        <v>1352.67</v>
      </c>
      <c r="Q380">
        <v>1390.17</v>
      </c>
      <c r="R380" t="s">
        <v>2054</v>
      </c>
    </row>
    <row r="381" spans="1:18" x14ac:dyDescent="0.25">
      <c r="A381" t="s">
        <v>432</v>
      </c>
      <c r="B381" s="1">
        <v>45129</v>
      </c>
      <c r="C381" s="1">
        <v>45131</v>
      </c>
      <c r="D381" t="s">
        <v>34</v>
      </c>
      <c r="E381" t="s">
        <v>30</v>
      </c>
      <c r="F381" t="s">
        <v>31</v>
      </c>
      <c r="G381" t="s">
        <v>35</v>
      </c>
      <c r="H381" t="s">
        <v>27</v>
      </c>
      <c r="I381">
        <v>5</v>
      </c>
      <c r="J381">
        <v>61.02</v>
      </c>
      <c r="K381">
        <v>12</v>
      </c>
      <c r="L381">
        <v>328</v>
      </c>
      <c r="M381">
        <v>116.04</v>
      </c>
      <c r="N381" t="s">
        <v>23</v>
      </c>
      <c r="O381">
        <v>2</v>
      </c>
      <c r="P381">
        <v>305.10000000000002</v>
      </c>
      <c r="Q381">
        <v>317.10000000000002</v>
      </c>
      <c r="R381" t="s">
        <v>2054</v>
      </c>
    </row>
    <row r="382" spans="1:18" x14ac:dyDescent="0.25">
      <c r="A382" t="s">
        <v>433</v>
      </c>
      <c r="B382" s="1">
        <v>45131</v>
      </c>
      <c r="C382" s="1">
        <v>45147</v>
      </c>
      <c r="D382" t="s">
        <v>82</v>
      </c>
      <c r="E382" t="s">
        <v>79</v>
      </c>
      <c r="F382" t="s">
        <v>80</v>
      </c>
      <c r="G382" t="s">
        <v>35</v>
      </c>
      <c r="H382" t="s">
        <v>32</v>
      </c>
      <c r="I382">
        <v>1</v>
      </c>
      <c r="J382">
        <v>98.1</v>
      </c>
      <c r="K382">
        <v>12</v>
      </c>
      <c r="L382">
        <v>229</v>
      </c>
      <c r="M382">
        <v>38.14</v>
      </c>
      <c r="N382" t="s">
        <v>47</v>
      </c>
      <c r="O382">
        <v>16</v>
      </c>
      <c r="P382">
        <v>98.1</v>
      </c>
      <c r="Q382">
        <v>110.1</v>
      </c>
      <c r="R382" t="s">
        <v>2054</v>
      </c>
    </row>
    <row r="383" spans="1:18" x14ac:dyDescent="0.25">
      <c r="A383" t="s">
        <v>434</v>
      </c>
      <c r="B383" s="1">
        <v>45132</v>
      </c>
      <c r="C383" s="1">
        <v>45141</v>
      </c>
      <c r="D383" t="s">
        <v>25</v>
      </c>
      <c r="E383" t="s">
        <v>19</v>
      </c>
      <c r="F383" t="s">
        <v>20</v>
      </c>
      <c r="G383" t="s">
        <v>35</v>
      </c>
      <c r="H383" t="s">
        <v>40</v>
      </c>
      <c r="I383">
        <v>12</v>
      </c>
      <c r="J383">
        <v>12.25</v>
      </c>
      <c r="K383">
        <v>12</v>
      </c>
      <c r="L383">
        <v>201</v>
      </c>
      <c r="M383">
        <v>5.76</v>
      </c>
      <c r="N383" t="s">
        <v>63</v>
      </c>
      <c r="O383">
        <v>9</v>
      </c>
      <c r="P383">
        <v>147</v>
      </c>
      <c r="Q383">
        <v>159</v>
      </c>
      <c r="R383" t="s">
        <v>2054</v>
      </c>
    </row>
    <row r="384" spans="1:18" x14ac:dyDescent="0.25">
      <c r="A384" t="s">
        <v>435</v>
      </c>
      <c r="B384" s="1">
        <v>45132</v>
      </c>
      <c r="C384" s="1">
        <v>45137</v>
      </c>
      <c r="D384" t="s">
        <v>78</v>
      </c>
      <c r="E384" t="s">
        <v>79</v>
      </c>
      <c r="F384" t="s">
        <v>80</v>
      </c>
      <c r="G384" t="s">
        <v>35</v>
      </c>
      <c r="H384" t="s">
        <v>27</v>
      </c>
      <c r="I384">
        <v>3</v>
      </c>
      <c r="J384">
        <v>32.950000000000003</v>
      </c>
      <c r="K384">
        <v>12</v>
      </c>
      <c r="L384">
        <v>101</v>
      </c>
      <c r="M384">
        <v>38.479999999999997</v>
      </c>
      <c r="N384" t="s">
        <v>23</v>
      </c>
      <c r="O384">
        <v>5</v>
      </c>
      <c r="P384">
        <v>98.850000000000009</v>
      </c>
      <c r="Q384">
        <v>110.85000000000001</v>
      </c>
      <c r="R384" t="s">
        <v>2054</v>
      </c>
    </row>
    <row r="385" spans="1:18" x14ac:dyDescent="0.25">
      <c r="A385" t="s">
        <v>436</v>
      </c>
      <c r="B385" s="1">
        <v>45133</v>
      </c>
      <c r="C385" s="1">
        <v>45138</v>
      </c>
      <c r="D385" t="s">
        <v>25</v>
      </c>
      <c r="E385" t="s">
        <v>19</v>
      </c>
      <c r="F385" t="s">
        <v>20</v>
      </c>
      <c r="G385" t="s">
        <v>35</v>
      </c>
      <c r="H385" t="s">
        <v>40</v>
      </c>
      <c r="I385">
        <v>11</v>
      </c>
      <c r="J385">
        <v>33.03</v>
      </c>
      <c r="K385">
        <v>12</v>
      </c>
      <c r="L385">
        <v>51</v>
      </c>
      <c r="M385">
        <v>23.06</v>
      </c>
      <c r="N385" t="s">
        <v>23</v>
      </c>
      <c r="O385">
        <v>5</v>
      </c>
      <c r="P385">
        <v>363.33000000000004</v>
      </c>
      <c r="Q385">
        <v>375.33000000000004</v>
      </c>
      <c r="R385" t="s">
        <v>2054</v>
      </c>
    </row>
    <row r="386" spans="1:18" x14ac:dyDescent="0.25">
      <c r="A386" t="s">
        <v>437</v>
      </c>
      <c r="B386" s="1">
        <v>45134</v>
      </c>
      <c r="C386" s="1">
        <v>45138</v>
      </c>
      <c r="D386" t="s">
        <v>75</v>
      </c>
      <c r="E386" t="s">
        <v>44</v>
      </c>
      <c r="F386" t="s">
        <v>45</v>
      </c>
      <c r="G386" t="s">
        <v>21</v>
      </c>
      <c r="H386" t="s">
        <v>27</v>
      </c>
      <c r="I386">
        <v>3</v>
      </c>
      <c r="J386">
        <v>516.22</v>
      </c>
      <c r="K386">
        <v>25</v>
      </c>
      <c r="L386">
        <v>146</v>
      </c>
      <c r="M386">
        <v>529.53</v>
      </c>
      <c r="N386" t="s">
        <v>23</v>
      </c>
      <c r="O386">
        <v>4</v>
      </c>
      <c r="P386">
        <v>1548.66</v>
      </c>
      <c r="Q386">
        <v>1573.66</v>
      </c>
      <c r="R386" t="s">
        <v>2054</v>
      </c>
    </row>
    <row r="387" spans="1:18" x14ac:dyDescent="0.25">
      <c r="A387" t="s">
        <v>438</v>
      </c>
      <c r="B387" s="1">
        <v>45134</v>
      </c>
      <c r="C387" s="1">
        <v>45139</v>
      </c>
      <c r="D387" t="s">
        <v>18</v>
      </c>
      <c r="E387" t="s">
        <v>19</v>
      </c>
      <c r="F387" t="s">
        <v>20</v>
      </c>
      <c r="G387" t="s">
        <v>35</v>
      </c>
      <c r="H387" t="s">
        <v>40</v>
      </c>
      <c r="I387">
        <v>8</v>
      </c>
      <c r="J387">
        <v>24.92</v>
      </c>
      <c r="K387">
        <v>12</v>
      </c>
      <c r="L387">
        <v>170</v>
      </c>
      <c r="M387">
        <v>9.9499999999999993</v>
      </c>
      <c r="N387" t="s">
        <v>23</v>
      </c>
      <c r="O387">
        <v>5</v>
      </c>
      <c r="P387">
        <v>199.36</v>
      </c>
      <c r="Q387">
        <v>211.36</v>
      </c>
      <c r="R387" t="s">
        <v>2054</v>
      </c>
    </row>
    <row r="388" spans="1:18" x14ac:dyDescent="0.25">
      <c r="A388" t="s">
        <v>439</v>
      </c>
      <c r="B388" s="1">
        <v>45134</v>
      </c>
      <c r="C388" s="1">
        <v>45138</v>
      </c>
      <c r="D388" t="s">
        <v>56</v>
      </c>
      <c r="E388" t="s">
        <v>38</v>
      </c>
      <c r="F388" t="s">
        <v>39</v>
      </c>
      <c r="G388" t="s">
        <v>26</v>
      </c>
      <c r="H388" t="s">
        <v>22</v>
      </c>
      <c r="I388">
        <v>2</v>
      </c>
      <c r="J388">
        <v>152.13999999999999</v>
      </c>
      <c r="K388">
        <v>75</v>
      </c>
      <c r="L388">
        <v>274</v>
      </c>
      <c r="M388">
        <v>23.36</v>
      </c>
      <c r="N388" t="s">
        <v>23</v>
      </c>
      <c r="O388">
        <v>4</v>
      </c>
      <c r="P388">
        <v>304.27999999999997</v>
      </c>
      <c r="Q388">
        <v>379.28</v>
      </c>
      <c r="R388" t="s">
        <v>2054</v>
      </c>
    </row>
    <row r="389" spans="1:18" x14ac:dyDescent="0.25">
      <c r="A389" t="s">
        <v>440</v>
      </c>
      <c r="B389" s="1">
        <v>45134</v>
      </c>
      <c r="C389" s="1">
        <v>45135</v>
      </c>
      <c r="D389" t="s">
        <v>18</v>
      </c>
      <c r="E389" t="s">
        <v>19</v>
      </c>
      <c r="F389" t="s">
        <v>20</v>
      </c>
      <c r="G389" t="s">
        <v>35</v>
      </c>
      <c r="H389" t="s">
        <v>32</v>
      </c>
      <c r="I389">
        <v>14</v>
      </c>
      <c r="J389">
        <v>10.35</v>
      </c>
      <c r="K389">
        <v>8</v>
      </c>
      <c r="L389">
        <v>239</v>
      </c>
      <c r="M389">
        <v>7.59</v>
      </c>
      <c r="N389" t="s">
        <v>23</v>
      </c>
      <c r="O389">
        <v>1</v>
      </c>
      <c r="P389">
        <v>144.9</v>
      </c>
      <c r="Q389">
        <v>152.9</v>
      </c>
      <c r="R389" t="s">
        <v>2054</v>
      </c>
    </row>
    <row r="390" spans="1:18" x14ac:dyDescent="0.25">
      <c r="A390" t="s">
        <v>441</v>
      </c>
      <c r="B390" s="1">
        <v>45136</v>
      </c>
      <c r="C390" s="1">
        <v>45141</v>
      </c>
      <c r="D390" t="s">
        <v>82</v>
      </c>
      <c r="E390" t="s">
        <v>79</v>
      </c>
      <c r="F390" t="s">
        <v>80</v>
      </c>
      <c r="G390" t="s">
        <v>26</v>
      </c>
      <c r="H390" t="s">
        <v>22</v>
      </c>
      <c r="I390">
        <v>2</v>
      </c>
      <c r="J390">
        <v>147.01</v>
      </c>
      <c r="K390">
        <v>12</v>
      </c>
      <c r="L390">
        <v>125</v>
      </c>
      <c r="M390">
        <v>126.3</v>
      </c>
      <c r="N390" t="s">
        <v>23</v>
      </c>
      <c r="O390">
        <v>5</v>
      </c>
      <c r="P390">
        <v>294.02</v>
      </c>
      <c r="Q390">
        <v>306.02</v>
      </c>
      <c r="R390" t="s">
        <v>2054</v>
      </c>
    </row>
    <row r="391" spans="1:18" x14ac:dyDescent="0.25">
      <c r="A391" t="s">
        <v>442</v>
      </c>
      <c r="B391" s="1">
        <v>45139</v>
      </c>
      <c r="C391" s="1">
        <v>45154</v>
      </c>
      <c r="D391" t="s">
        <v>25</v>
      </c>
      <c r="E391" t="s">
        <v>19</v>
      </c>
      <c r="F391" t="s">
        <v>20</v>
      </c>
      <c r="G391" t="s">
        <v>35</v>
      </c>
      <c r="H391" t="s">
        <v>22</v>
      </c>
      <c r="I391">
        <v>5</v>
      </c>
      <c r="J391">
        <v>21.02</v>
      </c>
      <c r="K391">
        <v>8</v>
      </c>
      <c r="L391">
        <v>120</v>
      </c>
      <c r="M391">
        <v>4.41</v>
      </c>
      <c r="N391" t="s">
        <v>47</v>
      </c>
      <c r="O391">
        <v>15</v>
      </c>
      <c r="P391">
        <v>105.1</v>
      </c>
      <c r="Q391">
        <v>113.1</v>
      </c>
      <c r="R391" t="s">
        <v>2054</v>
      </c>
    </row>
    <row r="392" spans="1:18" x14ac:dyDescent="0.25">
      <c r="A392" t="s">
        <v>443</v>
      </c>
      <c r="B392" s="1">
        <v>45139</v>
      </c>
      <c r="C392" s="1">
        <v>45143</v>
      </c>
      <c r="D392" t="s">
        <v>43</v>
      </c>
      <c r="E392" t="s">
        <v>44</v>
      </c>
      <c r="F392" t="s">
        <v>45</v>
      </c>
      <c r="G392" t="s">
        <v>35</v>
      </c>
      <c r="H392" t="s">
        <v>40</v>
      </c>
      <c r="I392">
        <v>2</v>
      </c>
      <c r="J392">
        <v>482.77</v>
      </c>
      <c r="K392">
        <v>37.5</v>
      </c>
      <c r="L392">
        <v>355</v>
      </c>
      <c r="M392">
        <v>319.19</v>
      </c>
      <c r="N392" t="s">
        <v>23</v>
      </c>
      <c r="O392">
        <v>4</v>
      </c>
      <c r="P392">
        <v>965.54</v>
      </c>
      <c r="Q392">
        <v>1003.04</v>
      </c>
      <c r="R392" t="s">
        <v>2054</v>
      </c>
    </row>
    <row r="393" spans="1:18" x14ac:dyDescent="0.25">
      <c r="A393" t="s">
        <v>444</v>
      </c>
      <c r="B393" s="1">
        <v>45140</v>
      </c>
      <c r="C393" s="1">
        <v>45141</v>
      </c>
      <c r="D393" t="s">
        <v>56</v>
      </c>
      <c r="E393" t="s">
        <v>38</v>
      </c>
      <c r="F393" t="s">
        <v>39</v>
      </c>
      <c r="G393" t="s">
        <v>26</v>
      </c>
      <c r="H393" t="s">
        <v>32</v>
      </c>
      <c r="I393">
        <v>2</v>
      </c>
      <c r="J393">
        <v>447.81</v>
      </c>
      <c r="K393">
        <v>75</v>
      </c>
      <c r="L393">
        <v>82</v>
      </c>
      <c r="M393">
        <v>141.63</v>
      </c>
      <c r="N393" t="s">
        <v>23</v>
      </c>
      <c r="O393">
        <v>1</v>
      </c>
      <c r="P393">
        <v>895.62</v>
      </c>
      <c r="Q393">
        <v>970.62</v>
      </c>
      <c r="R393" t="s">
        <v>2054</v>
      </c>
    </row>
    <row r="394" spans="1:18" x14ac:dyDescent="0.25">
      <c r="A394" t="s">
        <v>445</v>
      </c>
      <c r="B394" s="1">
        <v>45140</v>
      </c>
      <c r="C394" s="1">
        <v>45144</v>
      </c>
      <c r="D394" t="s">
        <v>56</v>
      </c>
      <c r="E394" t="s">
        <v>38</v>
      </c>
      <c r="F394" t="s">
        <v>39</v>
      </c>
      <c r="G394" t="s">
        <v>21</v>
      </c>
      <c r="H394" t="s">
        <v>27</v>
      </c>
      <c r="I394">
        <v>2</v>
      </c>
      <c r="J394">
        <v>153.34</v>
      </c>
      <c r="K394">
        <v>75</v>
      </c>
      <c r="L394">
        <v>189</v>
      </c>
      <c r="M394">
        <v>23.84</v>
      </c>
      <c r="N394" t="s">
        <v>23</v>
      </c>
      <c r="O394">
        <v>4</v>
      </c>
      <c r="P394">
        <v>306.68</v>
      </c>
      <c r="Q394">
        <v>381.68</v>
      </c>
      <c r="R394" t="s">
        <v>2054</v>
      </c>
    </row>
    <row r="395" spans="1:18" x14ac:dyDescent="0.25">
      <c r="A395" t="s">
        <v>446</v>
      </c>
      <c r="B395" s="1">
        <v>45141</v>
      </c>
      <c r="C395" s="1">
        <v>45143</v>
      </c>
      <c r="D395" t="s">
        <v>72</v>
      </c>
      <c r="E395" t="s">
        <v>44</v>
      </c>
      <c r="F395" t="s">
        <v>45</v>
      </c>
      <c r="G395" t="s">
        <v>35</v>
      </c>
      <c r="H395" t="s">
        <v>40</v>
      </c>
      <c r="I395">
        <v>3</v>
      </c>
      <c r="J395">
        <v>554.79999999999995</v>
      </c>
      <c r="K395">
        <v>37.5</v>
      </c>
      <c r="L395">
        <v>193</v>
      </c>
      <c r="M395">
        <v>563.79</v>
      </c>
      <c r="N395" t="s">
        <v>23</v>
      </c>
      <c r="O395">
        <v>2</v>
      </c>
      <c r="P395">
        <v>1664.3999999999999</v>
      </c>
      <c r="Q395">
        <v>1701.8999999999999</v>
      </c>
      <c r="R395" t="s">
        <v>2054</v>
      </c>
    </row>
    <row r="396" spans="1:18" x14ac:dyDescent="0.25">
      <c r="A396" t="s">
        <v>447</v>
      </c>
      <c r="B396" s="1">
        <v>45142</v>
      </c>
      <c r="C396" s="1">
        <v>45144</v>
      </c>
      <c r="D396" t="s">
        <v>72</v>
      </c>
      <c r="E396" t="s">
        <v>44</v>
      </c>
      <c r="F396" t="s">
        <v>45</v>
      </c>
      <c r="G396" t="s">
        <v>35</v>
      </c>
      <c r="H396" t="s">
        <v>40</v>
      </c>
      <c r="I396">
        <v>1</v>
      </c>
      <c r="J396">
        <v>901.1</v>
      </c>
      <c r="K396">
        <v>37.5</v>
      </c>
      <c r="L396">
        <v>234</v>
      </c>
      <c r="M396">
        <v>296.63</v>
      </c>
      <c r="N396" t="s">
        <v>23</v>
      </c>
      <c r="O396">
        <v>2</v>
      </c>
      <c r="P396">
        <v>901.1</v>
      </c>
      <c r="Q396">
        <v>938.6</v>
      </c>
      <c r="R396" t="s">
        <v>2054</v>
      </c>
    </row>
    <row r="397" spans="1:18" x14ac:dyDescent="0.25">
      <c r="A397" t="s">
        <v>448</v>
      </c>
      <c r="B397" s="1">
        <v>45142</v>
      </c>
      <c r="C397" s="1">
        <v>45143</v>
      </c>
      <c r="D397" t="s">
        <v>50</v>
      </c>
      <c r="E397" t="s">
        <v>44</v>
      </c>
      <c r="F397" t="s">
        <v>45</v>
      </c>
      <c r="G397" t="s">
        <v>26</v>
      </c>
      <c r="H397" t="s">
        <v>27</v>
      </c>
      <c r="I397">
        <v>3</v>
      </c>
      <c r="J397">
        <v>950.33</v>
      </c>
      <c r="K397">
        <v>25</v>
      </c>
      <c r="L397">
        <v>235</v>
      </c>
      <c r="M397">
        <v>985.35</v>
      </c>
      <c r="N397" t="s">
        <v>23</v>
      </c>
      <c r="O397">
        <v>1</v>
      </c>
      <c r="P397">
        <v>2850.9900000000002</v>
      </c>
      <c r="Q397">
        <v>2875.9900000000002</v>
      </c>
      <c r="R397" t="s">
        <v>2054</v>
      </c>
    </row>
    <row r="398" spans="1:18" x14ac:dyDescent="0.25">
      <c r="A398" t="s">
        <v>449</v>
      </c>
      <c r="B398" s="1">
        <v>45142</v>
      </c>
      <c r="C398" s="1">
        <v>45143</v>
      </c>
      <c r="D398" t="s">
        <v>18</v>
      </c>
      <c r="E398" t="s">
        <v>19</v>
      </c>
      <c r="F398" t="s">
        <v>20</v>
      </c>
      <c r="G398" t="s">
        <v>26</v>
      </c>
      <c r="H398" t="s">
        <v>27</v>
      </c>
      <c r="I398">
        <v>8</v>
      </c>
      <c r="J398">
        <v>44.57</v>
      </c>
      <c r="K398">
        <v>8</v>
      </c>
      <c r="L398">
        <v>214</v>
      </c>
      <c r="M398">
        <v>24.53</v>
      </c>
      <c r="N398" t="s">
        <v>23</v>
      </c>
      <c r="O398">
        <v>1</v>
      </c>
      <c r="P398">
        <v>356.56</v>
      </c>
      <c r="Q398">
        <v>364.56</v>
      </c>
      <c r="R398" t="s">
        <v>2054</v>
      </c>
    </row>
    <row r="399" spans="1:18" x14ac:dyDescent="0.25">
      <c r="A399" t="s">
        <v>450</v>
      </c>
      <c r="B399" s="1">
        <v>45142</v>
      </c>
      <c r="C399" s="1">
        <v>45146</v>
      </c>
      <c r="D399" t="s">
        <v>72</v>
      </c>
      <c r="E399" t="s">
        <v>44</v>
      </c>
      <c r="F399" t="s">
        <v>45</v>
      </c>
      <c r="G399" t="s">
        <v>26</v>
      </c>
      <c r="H399" t="s">
        <v>32</v>
      </c>
      <c r="I399">
        <v>3</v>
      </c>
      <c r="J399">
        <v>268.75</v>
      </c>
      <c r="K399">
        <v>25</v>
      </c>
      <c r="L399">
        <v>215</v>
      </c>
      <c r="M399">
        <v>-120.94</v>
      </c>
      <c r="N399" t="s">
        <v>23</v>
      </c>
      <c r="O399">
        <v>4</v>
      </c>
      <c r="P399">
        <v>806.25</v>
      </c>
      <c r="Q399">
        <v>831.25</v>
      </c>
      <c r="R399" t="s">
        <v>2054</v>
      </c>
    </row>
    <row r="400" spans="1:18" x14ac:dyDescent="0.25">
      <c r="A400" t="s">
        <v>451</v>
      </c>
      <c r="B400" s="1">
        <v>45143</v>
      </c>
      <c r="C400" s="1">
        <v>45145</v>
      </c>
      <c r="D400" t="s">
        <v>72</v>
      </c>
      <c r="E400" t="s">
        <v>44</v>
      </c>
      <c r="F400" t="s">
        <v>45</v>
      </c>
      <c r="G400" t="s">
        <v>21</v>
      </c>
      <c r="H400" t="s">
        <v>32</v>
      </c>
      <c r="I400">
        <v>1</v>
      </c>
      <c r="J400">
        <v>254.61</v>
      </c>
      <c r="K400">
        <v>25</v>
      </c>
      <c r="L400">
        <v>164</v>
      </c>
      <c r="M400">
        <v>76.61</v>
      </c>
      <c r="N400" t="s">
        <v>23</v>
      </c>
      <c r="O400">
        <v>2</v>
      </c>
      <c r="P400">
        <v>254.61</v>
      </c>
      <c r="Q400">
        <v>279.61</v>
      </c>
      <c r="R400" t="s">
        <v>2054</v>
      </c>
    </row>
    <row r="401" spans="1:18" x14ac:dyDescent="0.25">
      <c r="A401" t="s">
        <v>452</v>
      </c>
      <c r="B401" s="1">
        <v>45143</v>
      </c>
      <c r="C401" s="1">
        <v>45147</v>
      </c>
      <c r="D401" t="s">
        <v>25</v>
      </c>
      <c r="E401" t="s">
        <v>19</v>
      </c>
      <c r="F401" t="s">
        <v>20</v>
      </c>
      <c r="G401" t="s">
        <v>21</v>
      </c>
      <c r="H401" t="s">
        <v>27</v>
      </c>
      <c r="I401">
        <v>8</v>
      </c>
      <c r="J401">
        <v>17.03</v>
      </c>
      <c r="K401">
        <v>8</v>
      </c>
      <c r="L401">
        <v>384</v>
      </c>
      <c r="M401">
        <v>6.9</v>
      </c>
      <c r="N401" t="s">
        <v>23</v>
      </c>
      <c r="O401">
        <v>4</v>
      </c>
      <c r="P401">
        <v>136.24</v>
      </c>
      <c r="Q401">
        <v>144.24</v>
      </c>
      <c r="R401" t="s">
        <v>2054</v>
      </c>
    </row>
    <row r="402" spans="1:18" x14ac:dyDescent="0.25">
      <c r="A402" t="s">
        <v>453</v>
      </c>
      <c r="B402" s="1">
        <v>45143</v>
      </c>
      <c r="C402" s="1">
        <v>45154</v>
      </c>
      <c r="D402" t="s">
        <v>43</v>
      </c>
      <c r="E402" t="s">
        <v>44</v>
      </c>
      <c r="F402" t="s">
        <v>45</v>
      </c>
      <c r="G402" t="s">
        <v>35</v>
      </c>
      <c r="H402" t="s">
        <v>40</v>
      </c>
      <c r="I402">
        <v>3</v>
      </c>
      <c r="J402">
        <v>1020.54</v>
      </c>
      <c r="K402">
        <v>37.5</v>
      </c>
      <c r="L402">
        <v>61</v>
      </c>
      <c r="M402">
        <v>1052.82</v>
      </c>
      <c r="N402" t="s">
        <v>47</v>
      </c>
      <c r="O402">
        <v>11</v>
      </c>
      <c r="P402">
        <v>3061.62</v>
      </c>
      <c r="Q402">
        <v>3099.12</v>
      </c>
      <c r="R402" t="s">
        <v>2054</v>
      </c>
    </row>
    <row r="403" spans="1:18" x14ac:dyDescent="0.25">
      <c r="A403" t="s">
        <v>454</v>
      </c>
      <c r="B403" s="1">
        <v>45143</v>
      </c>
      <c r="C403" s="1">
        <v>45148</v>
      </c>
      <c r="D403" t="s">
        <v>52</v>
      </c>
      <c r="E403" t="s">
        <v>30</v>
      </c>
      <c r="F403" t="s">
        <v>31</v>
      </c>
      <c r="G403" t="s">
        <v>35</v>
      </c>
      <c r="H403" t="s">
        <v>40</v>
      </c>
      <c r="I403">
        <v>1</v>
      </c>
      <c r="J403">
        <v>87.8</v>
      </c>
      <c r="K403">
        <v>18</v>
      </c>
      <c r="L403">
        <v>250</v>
      </c>
      <c r="M403">
        <v>26.12</v>
      </c>
      <c r="N403" t="s">
        <v>23</v>
      </c>
      <c r="O403">
        <v>5</v>
      </c>
      <c r="P403">
        <v>87.8</v>
      </c>
      <c r="Q403">
        <v>105.8</v>
      </c>
      <c r="R403" t="s">
        <v>2054</v>
      </c>
    </row>
    <row r="404" spans="1:18" x14ac:dyDescent="0.25">
      <c r="A404" t="s">
        <v>455</v>
      </c>
      <c r="B404" s="1">
        <v>45143</v>
      </c>
      <c r="C404" s="1">
        <v>45146</v>
      </c>
      <c r="D404" t="s">
        <v>43</v>
      </c>
      <c r="E404" t="s">
        <v>44</v>
      </c>
      <c r="F404" t="s">
        <v>45</v>
      </c>
      <c r="G404" t="s">
        <v>35</v>
      </c>
      <c r="H404" t="s">
        <v>40</v>
      </c>
      <c r="I404">
        <v>1</v>
      </c>
      <c r="J404">
        <v>667.72</v>
      </c>
      <c r="K404">
        <v>37.5</v>
      </c>
      <c r="L404">
        <v>190</v>
      </c>
      <c r="M404">
        <v>214.95</v>
      </c>
      <c r="N404" t="s">
        <v>23</v>
      </c>
      <c r="O404">
        <v>3</v>
      </c>
      <c r="P404">
        <v>667.72</v>
      </c>
      <c r="Q404">
        <v>705.22</v>
      </c>
      <c r="R404" t="s">
        <v>2054</v>
      </c>
    </row>
    <row r="405" spans="1:18" x14ac:dyDescent="0.25">
      <c r="A405" t="s">
        <v>456</v>
      </c>
      <c r="B405" s="1">
        <v>45144</v>
      </c>
      <c r="C405" s="1">
        <v>45146</v>
      </c>
      <c r="D405" t="s">
        <v>43</v>
      </c>
      <c r="E405" t="s">
        <v>44</v>
      </c>
      <c r="F405" t="s">
        <v>45</v>
      </c>
      <c r="G405" t="s">
        <v>21</v>
      </c>
      <c r="H405" t="s">
        <v>27</v>
      </c>
      <c r="I405">
        <v>1</v>
      </c>
      <c r="J405">
        <v>632.84</v>
      </c>
      <c r="K405">
        <v>25</v>
      </c>
      <c r="L405">
        <v>127</v>
      </c>
      <c r="M405">
        <v>208.99</v>
      </c>
      <c r="N405" t="s">
        <v>23</v>
      </c>
      <c r="O405">
        <v>2</v>
      </c>
      <c r="P405">
        <v>632.84</v>
      </c>
      <c r="Q405">
        <v>657.84</v>
      </c>
      <c r="R405" t="s">
        <v>2054</v>
      </c>
    </row>
    <row r="406" spans="1:18" x14ac:dyDescent="0.25">
      <c r="A406" t="s">
        <v>457</v>
      </c>
      <c r="B406" s="1">
        <v>45144</v>
      </c>
      <c r="C406" s="1">
        <v>45148</v>
      </c>
      <c r="D406" t="s">
        <v>34</v>
      </c>
      <c r="E406" t="s">
        <v>30</v>
      </c>
      <c r="F406" t="s">
        <v>31</v>
      </c>
      <c r="G406" t="s">
        <v>26</v>
      </c>
      <c r="H406" t="s">
        <v>32</v>
      </c>
      <c r="I406">
        <v>4</v>
      </c>
      <c r="J406">
        <v>83.36</v>
      </c>
      <c r="K406">
        <v>12</v>
      </c>
      <c r="L406">
        <v>331</v>
      </c>
      <c r="M406">
        <v>127.38</v>
      </c>
      <c r="N406" t="s">
        <v>23</v>
      </c>
      <c r="O406">
        <v>4</v>
      </c>
      <c r="P406">
        <v>333.44</v>
      </c>
      <c r="Q406">
        <v>345.44</v>
      </c>
      <c r="R406" t="s">
        <v>2054</v>
      </c>
    </row>
    <row r="407" spans="1:18" x14ac:dyDescent="0.25">
      <c r="A407" t="s">
        <v>458</v>
      </c>
      <c r="B407" s="1">
        <v>45144</v>
      </c>
      <c r="C407" s="1">
        <v>45145</v>
      </c>
      <c r="D407" t="s">
        <v>29</v>
      </c>
      <c r="E407" t="s">
        <v>30</v>
      </c>
      <c r="F407" t="s">
        <v>31</v>
      </c>
      <c r="G407" t="s">
        <v>21</v>
      </c>
      <c r="H407" t="s">
        <v>40</v>
      </c>
      <c r="I407">
        <v>1</v>
      </c>
      <c r="J407">
        <v>95.38</v>
      </c>
      <c r="K407">
        <v>18</v>
      </c>
      <c r="L407">
        <v>372</v>
      </c>
      <c r="M407">
        <v>29.15</v>
      </c>
      <c r="N407" t="s">
        <v>23</v>
      </c>
      <c r="O407">
        <v>1</v>
      </c>
      <c r="P407">
        <v>95.38</v>
      </c>
      <c r="Q407">
        <v>113.38</v>
      </c>
      <c r="R407" t="s">
        <v>2054</v>
      </c>
    </row>
    <row r="408" spans="1:18" x14ac:dyDescent="0.25">
      <c r="A408" t="s">
        <v>459</v>
      </c>
      <c r="B408" s="1">
        <v>45146</v>
      </c>
      <c r="C408" s="1">
        <v>45150</v>
      </c>
      <c r="D408" t="s">
        <v>29</v>
      </c>
      <c r="E408" t="s">
        <v>30</v>
      </c>
      <c r="F408" t="s">
        <v>31</v>
      </c>
      <c r="G408" t="s">
        <v>26</v>
      </c>
      <c r="H408" t="s">
        <v>32</v>
      </c>
      <c r="I408">
        <v>1</v>
      </c>
      <c r="J408">
        <v>78.180000000000007</v>
      </c>
      <c r="K408">
        <v>12</v>
      </c>
      <c r="L408">
        <v>74</v>
      </c>
      <c r="M408">
        <v>25.27</v>
      </c>
      <c r="N408" t="s">
        <v>23</v>
      </c>
      <c r="O408">
        <v>4</v>
      </c>
      <c r="P408">
        <v>78.180000000000007</v>
      </c>
      <c r="Q408">
        <v>90.18</v>
      </c>
      <c r="R408" t="s">
        <v>2054</v>
      </c>
    </row>
    <row r="409" spans="1:18" x14ac:dyDescent="0.25">
      <c r="A409" t="s">
        <v>460</v>
      </c>
      <c r="B409" s="1">
        <v>45149</v>
      </c>
      <c r="C409" s="1">
        <v>45157</v>
      </c>
      <c r="D409" t="s">
        <v>37</v>
      </c>
      <c r="E409" t="s">
        <v>38</v>
      </c>
      <c r="F409" t="s">
        <v>39</v>
      </c>
      <c r="G409" t="s">
        <v>35</v>
      </c>
      <c r="H409" t="s">
        <v>40</v>
      </c>
      <c r="I409">
        <v>2</v>
      </c>
      <c r="J409">
        <v>385.15</v>
      </c>
      <c r="K409">
        <v>112.5</v>
      </c>
      <c r="L409">
        <v>106</v>
      </c>
      <c r="M409">
        <v>97.81</v>
      </c>
      <c r="N409" t="s">
        <v>63</v>
      </c>
      <c r="O409">
        <v>8</v>
      </c>
      <c r="P409">
        <v>770.3</v>
      </c>
      <c r="Q409">
        <v>882.8</v>
      </c>
      <c r="R409" t="s">
        <v>2054</v>
      </c>
    </row>
    <row r="410" spans="1:18" x14ac:dyDescent="0.25">
      <c r="A410" t="s">
        <v>461</v>
      </c>
      <c r="B410" s="1">
        <v>45150</v>
      </c>
      <c r="C410" s="1">
        <v>45160</v>
      </c>
      <c r="D410" t="s">
        <v>78</v>
      </c>
      <c r="E410" t="s">
        <v>79</v>
      </c>
      <c r="F410" t="s">
        <v>80</v>
      </c>
      <c r="G410" t="s">
        <v>35</v>
      </c>
      <c r="H410" t="s">
        <v>27</v>
      </c>
      <c r="I410">
        <v>3</v>
      </c>
      <c r="J410">
        <v>99.33</v>
      </c>
      <c r="K410">
        <v>12</v>
      </c>
      <c r="L410">
        <v>36</v>
      </c>
      <c r="M410">
        <v>128.09</v>
      </c>
      <c r="N410" t="s">
        <v>63</v>
      </c>
      <c r="O410">
        <v>10</v>
      </c>
      <c r="P410">
        <v>297.99</v>
      </c>
      <c r="Q410">
        <v>309.99</v>
      </c>
      <c r="R410" t="s">
        <v>2055</v>
      </c>
    </row>
    <row r="411" spans="1:18" x14ac:dyDescent="0.25">
      <c r="A411" t="s">
        <v>462</v>
      </c>
      <c r="B411" s="1">
        <v>45150</v>
      </c>
      <c r="C411" s="1">
        <v>45151</v>
      </c>
      <c r="D411" t="s">
        <v>25</v>
      </c>
      <c r="E411" t="s">
        <v>19</v>
      </c>
      <c r="F411" t="s">
        <v>20</v>
      </c>
      <c r="G411" t="s">
        <v>21</v>
      </c>
      <c r="H411" t="s">
        <v>40</v>
      </c>
      <c r="I411">
        <v>5</v>
      </c>
      <c r="J411">
        <v>31.53</v>
      </c>
      <c r="K411">
        <v>12</v>
      </c>
      <c r="L411">
        <v>3</v>
      </c>
      <c r="M411">
        <v>6.61</v>
      </c>
      <c r="N411" t="s">
        <v>23</v>
      </c>
      <c r="O411">
        <v>1</v>
      </c>
      <c r="P411">
        <v>157.65</v>
      </c>
      <c r="Q411">
        <v>169.65</v>
      </c>
      <c r="R411" t="s">
        <v>2056</v>
      </c>
    </row>
    <row r="412" spans="1:18" x14ac:dyDescent="0.25">
      <c r="A412" t="s">
        <v>463</v>
      </c>
      <c r="B412" s="1">
        <v>45151</v>
      </c>
      <c r="C412" s="1">
        <v>45154</v>
      </c>
      <c r="D412" t="s">
        <v>82</v>
      </c>
      <c r="E412" t="s">
        <v>79</v>
      </c>
      <c r="F412" t="s">
        <v>80</v>
      </c>
      <c r="G412" t="s">
        <v>21</v>
      </c>
      <c r="H412" t="s">
        <v>22</v>
      </c>
      <c r="I412">
        <v>5</v>
      </c>
      <c r="J412">
        <v>55.32</v>
      </c>
      <c r="K412">
        <v>12</v>
      </c>
      <c r="L412">
        <v>76</v>
      </c>
      <c r="M412">
        <v>118.46</v>
      </c>
      <c r="N412" t="s">
        <v>23</v>
      </c>
      <c r="O412">
        <v>3</v>
      </c>
      <c r="P412">
        <v>276.60000000000002</v>
      </c>
      <c r="Q412">
        <v>288.60000000000002</v>
      </c>
      <c r="R412" t="s">
        <v>2054</v>
      </c>
    </row>
    <row r="413" spans="1:18" x14ac:dyDescent="0.25">
      <c r="A413" t="s">
        <v>464</v>
      </c>
      <c r="B413" s="1">
        <v>45151</v>
      </c>
      <c r="C413" s="1">
        <v>45155</v>
      </c>
      <c r="D413" t="s">
        <v>58</v>
      </c>
      <c r="E413" t="s">
        <v>19</v>
      </c>
      <c r="F413" t="s">
        <v>20</v>
      </c>
      <c r="G413" t="s">
        <v>26</v>
      </c>
      <c r="H413" t="s">
        <v>22</v>
      </c>
      <c r="I413">
        <v>5</v>
      </c>
      <c r="J413">
        <v>10.55</v>
      </c>
      <c r="K413">
        <v>8</v>
      </c>
      <c r="L413">
        <v>290</v>
      </c>
      <c r="M413">
        <v>0.22</v>
      </c>
      <c r="N413" t="s">
        <v>23</v>
      </c>
      <c r="O413">
        <v>4</v>
      </c>
      <c r="P413">
        <v>52.75</v>
      </c>
      <c r="Q413">
        <v>60.75</v>
      </c>
      <c r="R413" t="s">
        <v>2054</v>
      </c>
    </row>
    <row r="414" spans="1:18" x14ac:dyDescent="0.25">
      <c r="A414" t="s">
        <v>465</v>
      </c>
      <c r="B414" s="1">
        <v>45152</v>
      </c>
      <c r="C414" s="1">
        <v>45153</v>
      </c>
      <c r="D414" t="s">
        <v>52</v>
      </c>
      <c r="E414" t="s">
        <v>30</v>
      </c>
      <c r="F414" t="s">
        <v>31</v>
      </c>
      <c r="G414" t="s">
        <v>35</v>
      </c>
      <c r="H414" t="s">
        <v>27</v>
      </c>
      <c r="I414">
        <v>4</v>
      </c>
      <c r="J414">
        <v>64.47</v>
      </c>
      <c r="K414">
        <v>12</v>
      </c>
      <c r="L414">
        <v>232</v>
      </c>
      <c r="M414">
        <v>97.15</v>
      </c>
      <c r="N414" t="s">
        <v>23</v>
      </c>
      <c r="O414">
        <v>1</v>
      </c>
      <c r="P414">
        <v>257.88</v>
      </c>
      <c r="Q414">
        <v>269.88</v>
      </c>
      <c r="R414" t="s">
        <v>2054</v>
      </c>
    </row>
    <row r="415" spans="1:18" x14ac:dyDescent="0.25">
      <c r="A415" t="s">
        <v>466</v>
      </c>
      <c r="B415" s="1">
        <v>45152</v>
      </c>
      <c r="C415" s="1">
        <v>45156</v>
      </c>
      <c r="D415" t="s">
        <v>50</v>
      </c>
      <c r="E415" t="s">
        <v>44</v>
      </c>
      <c r="F415" t="s">
        <v>45</v>
      </c>
      <c r="G415" t="s">
        <v>35</v>
      </c>
      <c r="H415" t="s">
        <v>40</v>
      </c>
      <c r="I415">
        <v>2</v>
      </c>
      <c r="J415">
        <v>711.09</v>
      </c>
      <c r="K415">
        <v>37.5</v>
      </c>
      <c r="L415">
        <v>46</v>
      </c>
      <c r="M415">
        <v>479.02</v>
      </c>
      <c r="N415" t="s">
        <v>23</v>
      </c>
      <c r="O415">
        <v>4</v>
      </c>
      <c r="P415">
        <v>1422.18</v>
      </c>
      <c r="Q415">
        <v>1459.68</v>
      </c>
      <c r="R415" t="s">
        <v>2055</v>
      </c>
    </row>
    <row r="416" spans="1:18" x14ac:dyDescent="0.25">
      <c r="A416" t="s">
        <v>467</v>
      </c>
      <c r="B416" s="1">
        <v>45152</v>
      </c>
      <c r="C416" s="1">
        <v>45169</v>
      </c>
      <c r="D416" t="s">
        <v>50</v>
      </c>
      <c r="E416" t="s">
        <v>44</v>
      </c>
      <c r="F416" t="s">
        <v>45</v>
      </c>
      <c r="G416" t="s">
        <v>35</v>
      </c>
      <c r="H416" t="s">
        <v>27</v>
      </c>
      <c r="I416">
        <v>3</v>
      </c>
      <c r="J416">
        <v>918.01</v>
      </c>
      <c r="K416">
        <v>25</v>
      </c>
      <c r="L416">
        <v>57</v>
      </c>
      <c r="M416">
        <v>951.41</v>
      </c>
      <c r="N416" t="s">
        <v>47</v>
      </c>
      <c r="O416">
        <v>17</v>
      </c>
      <c r="P416">
        <v>2754.0299999999997</v>
      </c>
      <c r="Q416">
        <v>2779.0299999999997</v>
      </c>
      <c r="R416" t="s">
        <v>2054</v>
      </c>
    </row>
    <row r="417" spans="1:18" x14ac:dyDescent="0.25">
      <c r="A417" t="s">
        <v>468</v>
      </c>
      <c r="B417" s="1">
        <v>45154</v>
      </c>
      <c r="C417" s="1">
        <v>45156</v>
      </c>
      <c r="D417" t="s">
        <v>25</v>
      </c>
      <c r="E417" t="s">
        <v>19</v>
      </c>
      <c r="F417" t="s">
        <v>20</v>
      </c>
      <c r="G417" t="s">
        <v>35</v>
      </c>
      <c r="H417" t="s">
        <v>40</v>
      </c>
      <c r="I417">
        <v>8</v>
      </c>
      <c r="J417">
        <v>19.91</v>
      </c>
      <c r="K417">
        <v>12</v>
      </c>
      <c r="L417">
        <v>223</v>
      </c>
      <c r="M417">
        <v>6.74</v>
      </c>
      <c r="N417" t="s">
        <v>23</v>
      </c>
      <c r="O417">
        <v>2</v>
      </c>
      <c r="P417">
        <v>159.28</v>
      </c>
      <c r="Q417">
        <v>171.28</v>
      </c>
      <c r="R417" t="s">
        <v>2054</v>
      </c>
    </row>
    <row r="418" spans="1:18" x14ac:dyDescent="0.25">
      <c r="A418" t="s">
        <v>469</v>
      </c>
      <c r="B418" s="1">
        <v>45154</v>
      </c>
      <c r="C418" s="1">
        <v>45158</v>
      </c>
      <c r="D418" t="s">
        <v>25</v>
      </c>
      <c r="E418" t="s">
        <v>19</v>
      </c>
      <c r="F418" t="s">
        <v>20</v>
      </c>
      <c r="G418" t="s">
        <v>35</v>
      </c>
      <c r="H418" t="s">
        <v>40</v>
      </c>
      <c r="I418">
        <v>12</v>
      </c>
      <c r="J418">
        <v>14.26</v>
      </c>
      <c r="K418">
        <v>12</v>
      </c>
      <c r="L418">
        <v>370</v>
      </c>
      <c r="M418">
        <v>7.69</v>
      </c>
      <c r="N418" t="s">
        <v>23</v>
      </c>
      <c r="O418">
        <v>4</v>
      </c>
      <c r="P418">
        <v>171.12</v>
      </c>
      <c r="Q418">
        <v>183.12</v>
      </c>
      <c r="R418" t="s">
        <v>2054</v>
      </c>
    </row>
    <row r="419" spans="1:18" x14ac:dyDescent="0.25">
      <c r="A419" t="s">
        <v>470</v>
      </c>
      <c r="B419" s="1">
        <v>45155</v>
      </c>
      <c r="C419" s="1">
        <v>45159</v>
      </c>
      <c r="D419" t="s">
        <v>58</v>
      </c>
      <c r="E419" t="s">
        <v>19</v>
      </c>
      <c r="F419" t="s">
        <v>20</v>
      </c>
      <c r="G419" t="s">
        <v>35</v>
      </c>
      <c r="H419" t="s">
        <v>40</v>
      </c>
      <c r="I419">
        <v>14</v>
      </c>
      <c r="J419">
        <v>26.44</v>
      </c>
      <c r="K419">
        <v>12</v>
      </c>
      <c r="L419">
        <v>36</v>
      </c>
      <c r="M419">
        <v>23.62</v>
      </c>
      <c r="N419" t="s">
        <v>23</v>
      </c>
      <c r="O419">
        <v>4</v>
      </c>
      <c r="P419">
        <v>370.16</v>
      </c>
      <c r="Q419">
        <v>382.16</v>
      </c>
      <c r="R419" t="s">
        <v>2055</v>
      </c>
    </row>
    <row r="420" spans="1:18" x14ac:dyDescent="0.25">
      <c r="A420" t="s">
        <v>471</v>
      </c>
      <c r="B420" s="1">
        <v>45156</v>
      </c>
      <c r="C420" s="1">
        <v>45158</v>
      </c>
      <c r="D420" t="s">
        <v>50</v>
      </c>
      <c r="E420" t="s">
        <v>44</v>
      </c>
      <c r="F420" t="s">
        <v>45</v>
      </c>
      <c r="G420" t="s">
        <v>26</v>
      </c>
      <c r="H420" t="s">
        <v>32</v>
      </c>
      <c r="I420">
        <v>2</v>
      </c>
      <c r="J420">
        <v>696.04</v>
      </c>
      <c r="K420">
        <v>25</v>
      </c>
      <c r="L420">
        <v>64</v>
      </c>
      <c r="M420">
        <v>474.73</v>
      </c>
      <c r="N420" t="s">
        <v>23</v>
      </c>
      <c r="O420">
        <v>2</v>
      </c>
      <c r="P420">
        <v>1392.08</v>
      </c>
      <c r="Q420">
        <v>1417.08</v>
      </c>
      <c r="R420" t="s">
        <v>2054</v>
      </c>
    </row>
    <row r="421" spans="1:18" x14ac:dyDescent="0.25">
      <c r="A421" t="s">
        <v>472</v>
      </c>
      <c r="B421" s="1">
        <v>45157</v>
      </c>
      <c r="C421" s="1">
        <v>45159</v>
      </c>
      <c r="D421" t="s">
        <v>54</v>
      </c>
      <c r="E421" t="s">
        <v>38</v>
      </c>
      <c r="F421" t="s">
        <v>39</v>
      </c>
      <c r="G421" t="s">
        <v>26</v>
      </c>
      <c r="H421" t="s">
        <v>22</v>
      </c>
      <c r="I421">
        <v>1</v>
      </c>
      <c r="J421">
        <v>425.92</v>
      </c>
      <c r="K421">
        <v>75</v>
      </c>
      <c r="L421">
        <v>22</v>
      </c>
      <c r="M421">
        <v>47.68</v>
      </c>
      <c r="N421" t="s">
        <v>23</v>
      </c>
      <c r="O421">
        <v>2</v>
      </c>
      <c r="P421">
        <v>425.92</v>
      </c>
      <c r="Q421">
        <v>500.92</v>
      </c>
      <c r="R421" t="s">
        <v>2055</v>
      </c>
    </row>
    <row r="422" spans="1:18" x14ac:dyDescent="0.25">
      <c r="A422" t="s">
        <v>473</v>
      </c>
      <c r="B422" s="1">
        <v>45157</v>
      </c>
      <c r="C422" s="1">
        <v>45166</v>
      </c>
      <c r="D422" t="s">
        <v>75</v>
      </c>
      <c r="E422" t="s">
        <v>44</v>
      </c>
      <c r="F422" t="s">
        <v>45</v>
      </c>
      <c r="G422" t="s">
        <v>35</v>
      </c>
      <c r="H422" t="s">
        <v>40</v>
      </c>
      <c r="I422">
        <v>2</v>
      </c>
      <c r="J422">
        <v>820.23</v>
      </c>
      <c r="K422">
        <v>37.5</v>
      </c>
      <c r="L422">
        <v>250</v>
      </c>
      <c r="M422">
        <v>555.41</v>
      </c>
      <c r="N422" t="s">
        <v>63</v>
      </c>
      <c r="O422">
        <v>9</v>
      </c>
      <c r="P422">
        <v>1640.46</v>
      </c>
      <c r="Q422">
        <v>1677.96</v>
      </c>
      <c r="R422" t="s">
        <v>2054</v>
      </c>
    </row>
    <row r="423" spans="1:18" x14ac:dyDescent="0.25">
      <c r="A423" t="s">
        <v>474</v>
      </c>
      <c r="B423" s="1">
        <v>45157</v>
      </c>
      <c r="C423" s="1">
        <v>45161</v>
      </c>
      <c r="D423" t="s">
        <v>29</v>
      </c>
      <c r="E423" t="s">
        <v>30</v>
      </c>
      <c r="F423" t="s">
        <v>31</v>
      </c>
      <c r="G423" t="s">
        <v>26</v>
      </c>
      <c r="H423" t="s">
        <v>27</v>
      </c>
      <c r="I423">
        <v>4</v>
      </c>
      <c r="J423">
        <v>67.67</v>
      </c>
      <c r="K423">
        <v>12</v>
      </c>
      <c r="L423">
        <v>278</v>
      </c>
      <c r="M423">
        <v>102.27</v>
      </c>
      <c r="N423" t="s">
        <v>23</v>
      </c>
      <c r="O423">
        <v>4</v>
      </c>
      <c r="P423">
        <v>270.68</v>
      </c>
      <c r="Q423">
        <v>282.68</v>
      </c>
      <c r="R423" t="s">
        <v>2054</v>
      </c>
    </row>
    <row r="424" spans="1:18" x14ac:dyDescent="0.25">
      <c r="A424" t="s">
        <v>475</v>
      </c>
      <c r="B424" s="1">
        <v>45158</v>
      </c>
      <c r="C424" s="1">
        <v>45165</v>
      </c>
      <c r="D424" t="s">
        <v>50</v>
      </c>
      <c r="E424" t="s">
        <v>44</v>
      </c>
      <c r="F424" t="s">
        <v>45</v>
      </c>
      <c r="G424" t="s">
        <v>35</v>
      </c>
      <c r="H424" t="s">
        <v>40</v>
      </c>
      <c r="I424">
        <v>1</v>
      </c>
      <c r="J424">
        <v>467.79</v>
      </c>
      <c r="K424">
        <v>37.5</v>
      </c>
      <c r="L424">
        <v>343</v>
      </c>
      <c r="M424">
        <v>144.97999999999999</v>
      </c>
      <c r="N424" t="s">
        <v>63</v>
      </c>
      <c r="O424">
        <v>7</v>
      </c>
      <c r="P424">
        <v>467.79</v>
      </c>
      <c r="Q424">
        <v>505.29</v>
      </c>
      <c r="R424" t="s">
        <v>2054</v>
      </c>
    </row>
    <row r="425" spans="1:18" x14ac:dyDescent="0.25">
      <c r="A425" t="s">
        <v>476</v>
      </c>
      <c r="B425" s="1">
        <v>45158</v>
      </c>
      <c r="C425" s="1">
        <v>45161</v>
      </c>
      <c r="D425" t="s">
        <v>43</v>
      </c>
      <c r="E425" t="s">
        <v>44</v>
      </c>
      <c r="F425" t="s">
        <v>45</v>
      </c>
      <c r="G425" t="s">
        <v>35</v>
      </c>
      <c r="H425" t="s">
        <v>40</v>
      </c>
      <c r="I425">
        <v>2</v>
      </c>
      <c r="J425">
        <v>209.83</v>
      </c>
      <c r="K425">
        <v>37.5</v>
      </c>
      <c r="L425">
        <v>190</v>
      </c>
      <c r="M425">
        <v>128.13</v>
      </c>
      <c r="N425" t="s">
        <v>23</v>
      </c>
      <c r="O425">
        <v>3</v>
      </c>
      <c r="P425">
        <v>419.66</v>
      </c>
      <c r="Q425">
        <v>457.16</v>
      </c>
      <c r="R425" t="s">
        <v>2054</v>
      </c>
    </row>
    <row r="426" spans="1:18" x14ac:dyDescent="0.25">
      <c r="A426" t="s">
        <v>477</v>
      </c>
      <c r="B426" s="1">
        <v>45159</v>
      </c>
      <c r="C426" s="1">
        <v>45164</v>
      </c>
      <c r="D426" t="s">
        <v>54</v>
      </c>
      <c r="E426" t="s">
        <v>38</v>
      </c>
      <c r="F426" t="s">
        <v>39</v>
      </c>
      <c r="G426" t="s">
        <v>26</v>
      </c>
      <c r="H426" t="s">
        <v>32</v>
      </c>
      <c r="I426">
        <v>1</v>
      </c>
      <c r="J426">
        <v>493.56</v>
      </c>
      <c r="K426">
        <v>75</v>
      </c>
      <c r="L426">
        <v>58</v>
      </c>
      <c r="M426">
        <v>61.21</v>
      </c>
      <c r="N426" t="s">
        <v>23</v>
      </c>
      <c r="O426">
        <v>5</v>
      </c>
      <c r="P426">
        <v>493.56</v>
      </c>
      <c r="Q426">
        <v>568.55999999999995</v>
      </c>
      <c r="R426" t="s">
        <v>2054</v>
      </c>
    </row>
    <row r="427" spans="1:18" x14ac:dyDescent="0.25">
      <c r="A427" t="s">
        <v>478</v>
      </c>
      <c r="B427" s="1">
        <v>45159</v>
      </c>
      <c r="C427" s="1">
        <v>45164</v>
      </c>
      <c r="D427" t="s">
        <v>72</v>
      </c>
      <c r="E427" t="s">
        <v>44</v>
      </c>
      <c r="F427" t="s">
        <v>45</v>
      </c>
      <c r="G427" t="s">
        <v>21</v>
      </c>
      <c r="H427" t="s">
        <v>27</v>
      </c>
      <c r="I427">
        <v>1</v>
      </c>
      <c r="J427">
        <v>657.96</v>
      </c>
      <c r="K427">
        <v>25</v>
      </c>
      <c r="L427">
        <v>355</v>
      </c>
      <c r="M427">
        <v>217.79</v>
      </c>
      <c r="N427" t="s">
        <v>23</v>
      </c>
      <c r="O427">
        <v>5</v>
      </c>
      <c r="P427">
        <v>657.96</v>
      </c>
      <c r="Q427">
        <v>682.96</v>
      </c>
      <c r="R427" t="s">
        <v>2054</v>
      </c>
    </row>
    <row r="428" spans="1:18" x14ac:dyDescent="0.25">
      <c r="A428" t="s">
        <v>479</v>
      </c>
      <c r="B428" s="1">
        <v>45161</v>
      </c>
      <c r="C428" s="1">
        <v>45178</v>
      </c>
      <c r="D428" t="s">
        <v>43</v>
      </c>
      <c r="E428" t="s">
        <v>44</v>
      </c>
      <c r="F428" t="s">
        <v>45</v>
      </c>
      <c r="G428" t="s">
        <v>35</v>
      </c>
      <c r="H428" t="s">
        <v>40</v>
      </c>
      <c r="I428">
        <v>2</v>
      </c>
      <c r="J428">
        <v>1089</v>
      </c>
      <c r="K428">
        <v>37.5</v>
      </c>
      <c r="L428">
        <v>181</v>
      </c>
      <c r="M428">
        <v>743.55</v>
      </c>
      <c r="N428" t="s">
        <v>47</v>
      </c>
      <c r="O428">
        <v>17</v>
      </c>
      <c r="P428">
        <v>2178</v>
      </c>
      <c r="Q428">
        <v>2215.5</v>
      </c>
      <c r="R428" t="s">
        <v>2054</v>
      </c>
    </row>
    <row r="429" spans="1:18" x14ac:dyDescent="0.25">
      <c r="A429" t="s">
        <v>480</v>
      </c>
      <c r="B429" s="1">
        <v>45161</v>
      </c>
      <c r="C429" s="1">
        <v>45162</v>
      </c>
      <c r="D429" t="s">
        <v>52</v>
      </c>
      <c r="E429" t="s">
        <v>30</v>
      </c>
      <c r="F429" t="s">
        <v>31</v>
      </c>
      <c r="G429" t="s">
        <v>21</v>
      </c>
      <c r="H429" t="s">
        <v>40</v>
      </c>
      <c r="I429">
        <v>1</v>
      </c>
      <c r="J429">
        <v>85.54</v>
      </c>
      <c r="K429">
        <v>18</v>
      </c>
      <c r="L429">
        <v>218</v>
      </c>
      <c r="M429">
        <v>25.22</v>
      </c>
      <c r="N429" t="s">
        <v>23</v>
      </c>
      <c r="O429">
        <v>1</v>
      </c>
      <c r="P429">
        <v>85.54</v>
      </c>
      <c r="Q429">
        <v>103.54</v>
      </c>
      <c r="R429" t="s">
        <v>2054</v>
      </c>
    </row>
    <row r="430" spans="1:18" x14ac:dyDescent="0.25">
      <c r="A430" t="s">
        <v>481</v>
      </c>
      <c r="B430" s="1">
        <v>45162</v>
      </c>
      <c r="C430" s="1">
        <v>45163</v>
      </c>
      <c r="D430" t="s">
        <v>34</v>
      </c>
      <c r="E430" t="s">
        <v>30</v>
      </c>
      <c r="F430" t="s">
        <v>31</v>
      </c>
      <c r="G430" t="s">
        <v>35</v>
      </c>
      <c r="H430" t="s">
        <v>40</v>
      </c>
      <c r="I430">
        <v>2</v>
      </c>
      <c r="J430">
        <v>120.86</v>
      </c>
      <c r="K430">
        <v>18</v>
      </c>
      <c r="L430">
        <v>359</v>
      </c>
      <c r="M430">
        <v>87.69</v>
      </c>
      <c r="N430" t="s">
        <v>23</v>
      </c>
      <c r="O430">
        <v>1</v>
      </c>
      <c r="P430">
        <v>241.72</v>
      </c>
      <c r="Q430">
        <v>259.72000000000003</v>
      </c>
      <c r="R430" t="s">
        <v>2054</v>
      </c>
    </row>
    <row r="431" spans="1:18" x14ac:dyDescent="0.25">
      <c r="A431" t="s">
        <v>482</v>
      </c>
      <c r="B431" s="1">
        <v>45162</v>
      </c>
      <c r="C431" s="1">
        <v>45167</v>
      </c>
      <c r="D431" t="s">
        <v>72</v>
      </c>
      <c r="E431" t="s">
        <v>44</v>
      </c>
      <c r="F431" t="s">
        <v>45</v>
      </c>
      <c r="G431" t="s">
        <v>21</v>
      </c>
      <c r="H431" t="s">
        <v>22</v>
      </c>
      <c r="I431">
        <v>2</v>
      </c>
      <c r="J431">
        <v>465.56</v>
      </c>
      <c r="K431">
        <v>25</v>
      </c>
      <c r="L431">
        <v>293</v>
      </c>
      <c r="M431">
        <v>313.39</v>
      </c>
      <c r="N431" t="s">
        <v>23</v>
      </c>
      <c r="O431">
        <v>5</v>
      </c>
      <c r="P431">
        <v>931.12</v>
      </c>
      <c r="Q431">
        <v>956.12</v>
      </c>
      <c r="R431" t="s">
        <v>2054</v>
      </c>
    </row>
    <row r="432" spans="1:18" x14ac:dyDescent="0.25">
      <c r="A432" t="s">
        <v>483</v>
      </c>
      <c r="B432" s="1">
        <v>45162</v>
      </c>
      <c r="C432" s="1">
        <v>45165</v>
      </c>
      <c r="D432" t="s">
        <v>78</v>
      </c>
      <c r="E432" t="s">
        <v>79</v>
      </c>
      <c r="F432" t="s">
        <v>80</v>
      </c>
      <c r="G432" t="s">
        <v>35</v>
      </c>
      <c r="H432" t="s">
        <v>22</v>
      </c>
      <c r="I432">
        <v>4</v>
      </c>
      <c r="J432">
        <v>37.340000000000003</v>
      </c>
      <c r="K432">
        <v>12</v>
      </c>
      <c r="L432">
        <v>244</v>
      </c>
      <c r="M432">
        <v>61.22</v>
      </c>
      <c r="N432" t="s">
        <v>23</v>
      </c>
      <c r="O432">
        <v>3</v>
      </c>
      <c r="P432">
        <v>149.36000000000001</v>
      </c>
      <c r="Q432">
        <v>161.36000000000001</v>
      </c>
      <c r="R432" t="s">
        <v>2054</v>
      </c>
    </row>
    <row r="433" spans="1:18" x14ac:dyDescent="0.25">
      <c r="A433" t="s">
        <v>484</v>
      </c>
      <c r="B433" s="1">
        <v>45163</v>
      </c>
      <c r="C433" s="1">
        <v>45168</v>
      </c>
      <c r="D433" t="s">
        <v>29</v>
      </c>
      <c r="E433" t="s">
        <v>30</v>
      </c>
      <c r="F433" t="s">
        <v>31</v>
      </c>
      <c r="G433" t="s">
        <v>26</v>
      </c>
      <c r="H433" t="s">
        <v>27</v>
      </c>
      <c r="I433">
        <v>5</v>
      </c>
      <c r="J433">
        <v>104.44</v>
      </c>
      <c r="K433">
        <v>12</v>
      </c>
      <c r="L433">
        <v>167</v>
      </c>
      <c r="M433">
        <v>202.88</v>
      </c>
      <c r="N433" t="s">
        <v>23</v>
      </c>
      <c r="O433">
        <v>5</v>
      </c>
      <c r="P433">
        <v>522.20000000000005</v>
      </c>
      <c r="Q433">
        <v>534.20000000000005</v>
      </c>
      <c r="R433" t="s">
        <v>2054</v>
      </c>
    </row>
    <row r="434" spans="1:18" x14ac:dyDescent="0.25">
      <c r="A434" t="s">
        <v>485</v>
      </c>
      <c r="B434" s="1">
        <v>45163</v>
      </c>
      <c r="C434" s="1">
        <v>45168</v>
      </c>
      <c r="D434" t="s">
        <v>72</v>
      </c>
      <c r="E434" t="s">
        <v>44</v>
      </c>
      <c r="F434" t="s">
        <v>45</v>
      </c>
      <c r="G434" t="s">
        <v>35</v>
      </c>
      <c r="H434" t="s">
        <v>40</v>
      </c>
      <c r="I434">
        <v>3</v>
      </c>
      <c r="J434">
        <v>644.84</v>
      </c>
      <c r="K434">
        <v>37.5</v>
      </c>
      <c r="L434">
        <v>57</v>
      </c>
      <c r="M434">
        <v>658.33</v>
      </c>
      <c r="N434" t="s">
        <v>23</v>
      </c>
      <c r="O434">
        <v>5</v>
      </c>
      <c r="P434">
        <v>1934.52</v>
      </c>
      <c r="Q434">
        <v>1972.02</v>
      </c>
      <c r="R434" t="s">
        <v>2054</v>
      </c>
    </row>
    <row r="435" spans="1:18" x14ac:dyDescent="0.25">
      <c r="A435" t="s">
        <v>486</v>
      </c>
      <c r="B435" s="1">
        <v>45164</v>
      </c>
      <c r="C435" s="1">
        <v>45167</v>
      </c>
      <c r="D435" t="s">
        <v>58</v>
      </c>
      <c r="E435" t="s">
        <v>19</v>
      </c>
      <c r="F435" t="s">
        <v>20</v>
      </c>
      <c r="G435" t="s">
        <v>35</v>
      </c>
      <c r="H435" t="s">
        <v>32</v>
      </c>
      <c r="I435">
        <v>10</v>
      </c>
      <c r="J435">
        <v>32.89</v>
      </c>
      <c r="K435">
        <v>8</v>
      </c>
      <c r="L435">
        <v>279</v>
      </c>
      <c r="M435">
        <v>22.31</v>
      </c>
      <c r="N435" t="s">
        <v>23</v>
      </c>
      <c r="O435">
        <v>3</v>
      </c>
      <c r="P435">
        <v>328.9</v>
      </c>
      <c r="Q435">
        <v>336.9</v>
      </c>
      <c r="R435" t="s">
        <v>2054</v>
      </c>
    </row>
    <row r="436" spans="1:18" x14ac:dyDescent="0.25">
      <c r="A436" t="s">
        <v>487</v>
      </c>
      <c r="B436" s="1">
        <v>45164</v>
      </c>
      <c r="C436" s="1">
        <v>45181</v>
      </c>
      <c r="D436" t="s">
        <v>25</v>
      </c>
      <c r="E436" t="s">
        <v>19</v>
      </c>
      <c r="F436" t="s">
        <v>20</v>
      </c>
      <c r="G436" t="s">
        <v>35</v>
      </c>
      <c r="H436" t="s">
        <v>27</v>
      </c>
      <c r="I436">
        <v>5</v>
      </c>
      <c r="J436">
        <v>13</v>
      </c>
      <c r="K436">
        <v>8</v>
      </c>
      <c r="L436">
        <v>65</v>
      </c>
      <c r="M436">
        <v>1.2</v>
      </c>
      <c r="N436" t="s">
        <v>47</v>
      </c>
      <c r="O436">
        <v>17</v>
      </c>
      <c r="P436">
        <v>65</v>
      </c>
      <c r="Q436">
        <v>73</v>
      </c>
      <c r="R436" t="s">
        <v>2054</v>
      </c>
    </row>
    <row r="437" spans="1:18" x14ac:dyDescent="0.25">
      <c r="A437" t="s">
        <v>488</v>
      </c>
      <c r="B437" s="1">
        <v>45165</v>
      </c>
      <c r="C437" s="1">
        <v>45168</v>
      </c>
      <c r="D437" t="s">
        <v>58</v>
      </c>
      <c r="E437" t="s">
        <v>19</v>
      </c>
      <c r="F437" t="s">
        <v>20</v>
      </c>
      <c r="G437" t="s">
        <v>26</v>
      </c>
      <c r="H437" t="s">
        <v>32</v>
      </c>
      <c r="I437">
        <v>11</v>
      </c>
      <c r="J437">
        <v>31.57</v>
      </c>
      <c r="K437">
        <v>8</v>
      </c>
      <c r="L437">
        <v>103</v>
      </c>
      <c r="M437">
        <v>23.78</v>
      </c>
      <c r="N437" t="s">
        <v>23</v>
      </c>
      <c r="O437">
        <v>3</v>
      </c>
      <c r="P437">
        <v>347.27</v>
      </c>
      <c r="Q437">
        <v>355.27</v>
      </c>
      <c r="R437" t="s">
        <v>2054</v>
      </c>
    </row>
    <row r="438" spans="1:18" x14ac:dyDescent="0.25">
      <c r="A438" t="s">
        <v>489</v>
      </c>
      <c r="B438" s="1">
        <v>45168</v>
      </c>
      <c r="C438" s="1">
        <v>45173</v>
      </c>
      <c r="D438" t="s">
        <v>75</v>
      </c>
      <c r="E438" t="s">
        <v>44</v>
      </c>
      <c r="F438" t="s">
        <v>45</v>
      </c>
      <c r="G438" t="s">
        <v>35</v>
      </c>
      <c r="H438" t="s">
        <v>40</v>
      </c>
      <c r="I438">
        <v>1</v>
      </c>
      <c r="J438">
        <v>659.34</v>
      </c>
      <c r="K438">
        <v>37.5</v>
      </c>
      <c r="L438">
        <v>207</v>
      </c>
      <c r="M438">
        <v>212.02</v>
      </c>
      <c r="N438" t="s">
        <v>23</v>
      </c>
      <c r="O438">
        <v>5</v>
      </c>
      <c r="P438">
        <v>659.34</v>
      </c>
      <c r="Q438">
        <v>696.84</v>
      </c>
      <c r="R438" t="s">
        <v>2054</v>
      </c>
    </row>
    <row r="439" spans="1:18" x14ac:dyDescent="0.25">
      <c r="A439" t="s">
        <v>490</v>
      </c>
      <c r="B439" s="1">
        <v>45168</v>
      </c>
      <c r="C439" s="1">
        <v>45173</v>
      </c>
      <c r="D439" t="s">
        <v>56</v>
      </c>
      <c r="E439" t="s">
        <v>38</v>
      </c>
      <c r="F439" t="s">
        <v>39</v>
      </c>
      <c r="G439" t="s">
        <v>21</v>
      </c>
      <c r="H439" t="s">
        <v>22</v>
      </c>
      <c r="I439">
        <v>2</v>
      </c>
      <c r="J439">
        <v>235.29</v>
      </c>
      <c r="K439">
        <v>75</v>
      </c>
      <c r="L439">
        <v>237</v>
      </c>
      <c r="M439">
        <v>56.62</v>
      </c>
      <c r="N439" t="s">
        <v>23</v>
      </c>
      <c r="O439">
        <v>5</v>
      </c>
      <c r="P439">
        <v>470.58</v>
      </c>
      <c r="Q439">
        <v>545.57999999999993</v>
      </c>
      <c r="R439" t="s">
        <v>2054</v>
      </c>
    </row>
    <row r="440" spans="1:18" x14ac:dyDescent="0.25">
      <c r="A440" t="s">
        <v>491</v>
      </c>
      <c r="B440" s="1">
        <v>45168</v>
      </c>
      <c r="C440" s="1">
        <v>45171</v>
      </c>
      <c r="D440" t="s">
        <v>25</v>
      </c>
      <c r="E440" t="s">
        <v>19</v>
      </c>
      <c r="F440" t="s">
        <v>20</v>
      </c>
      <c r="G440" t="s">
        <v>26</v>
      </c>
      <c r="H440" t="s">
        <v>27</v>
      </c>
      <c r="I440">
        <v>5</v>
      </c>
      <c r="J440">
        <v>22.63</v>
      </c>
      <c r="K440">
        <v>8</v>
      </c>
      <c r="L440">
        <v>7</v>
      </c>
      <c r="M440">
        <v>-16.97</v>
      </c>
      <c r="N440" t="s">
        <v>23</v>
      </c>
      <c r="O440">
        <v>3</v>
      </c>
      <c r="P440">
        <v>113.14999999999999</v>
      </c>
      <c r="Q440">
        <v>121.14999999999999</v>
      </c>
      <c r="R440" t="s">
        <v>2056</v>
      </c>
    </row>
    <row r="441" spans="1:18" x14ac:dyDescent="0.25">
      <c r="A441" t="s">
        <v>492</v>
      </c>
      <c r="B441" s="1">
        <v>45168</v>
      </c>
      <c r="C441" s="1">
        <v>45175</v>
      </c>
      <c r="D441" t="s">
        <v>43</v>
      </c>
      <c r="E441" t="s">
        <v>44</v>
      </c>
      <c r="F441" t="s">
        <v>45</v>
      </c>
      <c r="G441" t="s">
        <v>35</v>
      </c>
      <c r="H441" t="s">
        <v>27</v>
      </c>
      <c r="I441">
        <v>3</v>
      </c>
      <c r="J441">
        <v>444.66</v>
      </c>
      <c r="K441">
        <v>25</v>
      </c>
      <c r="L441">
        <v>236</v>
      </c>
      <c r="M441">
        <v>454.39</v>
      </c>
      <c r="N441" t="s">
        <v>63</v>
      </c>
      <c r="O441">
        <v>7</v>
      </c>
      <c r="P441">
        <v>1333.98</v>
      </c>
      <c r="Q441">
        <v>1358.98</v>
      </c>
      <c r="R441" t="s">
        <v>2054</v>
      </c>
    </row>
    <row r="442" spans="1:18" x14ac:dyDescent="0.25">
      <c r="A442" t="s">
        <v>493</v>
      </c>
      <c r="B442" s="1">
        <v>45168</v>
      </c>
      <c r="C442" s="1">
        <v>45170</v>
      </c>
      <c r="D442" t="s">
        <v>52</v>
      </c>
      <c r="E442" t="s">
        <v>30</v>
      </c>
      <c r="F442" t="s">
        <v>31</v>
      </c>
      <c r="G442" t="s">
        <v>35</v>
      </c>
      <c r="H442" t="s">
        <v>40</v>
      </c>
      <c r="I442">
        <v>5</v>
      </c>
      <c r="J442">
        <v>102.04</v>
      </c>
      <c r="K442">
        <v>18</v>
      </c>
      <c r="L442">
        <v>295</v>
      </c>
      <c r="M442">
        <v>195.07</v>
      </c>
      <c r="N442" t="s">
        <v>23</v>
      </c>
      <c r="O442">
        <v>2</v>
      </c>
      <c r="P442">
        <v>510.20000000000005</v>
      </c>
      <c r="Q442">
        <v>528.20000000000005</v>
      </c>
      <c r="R442" t="s">
        <v>2054</v>
      </c>
    </row>
    <row r="443" spans="1:18" x14ac:dyDescent="0.25">
      <c r="A443" t="s">
        <v>494</v>
      </c>
      <c r="B443" s="1">
        <v>45168</v>
      </c>
      <c r="C443" s="1">
        <v>45173</v>
      </c>
      <c r="D443" t="s">
        <v>58</v>
      </c>
      <c r="E443" t="s">
        <v>19</v>
      </c>
      <c r="F443" t="s">
        <v>20</v>
      </c>
      <c r="G443" t="s">
        <v>21</v>
      </c>
      <c r="H443" t="s">
        <v>22</v>
      </c>
      <c r="I443">
        <v>14</v>
      </c>
      <c r="J443">
        <v>37.35</v>
      </c>
      <c r="K443">
        <v>8</v>
      </c>
      <c r="L443">
        <v>3</v>
      </c>
      <c r="M443">
        <v>37.83</v>
      </c>
      <c r="N443" t="s">
        <v>23</v>
      </c>
      <c r="O443">
        <v>5</v>
      </c>
      <c r="P443">
        <v>522.9</v>
      </c>
      <c r="Q443">
        <v>530.9</v>
      </c>
      <c r="R443" t="s">
        <v>2056</v>
      </c>
    </row>
    <row r="444" spans="1:18" x14ac:dyDescent="0.25">
      <c r="A444" t="s">
        <v>495</v>
      </c>
      <c r="B444" s="1">
        <v>45169</v>
      </c>
      <c r="C444" s="1">
        <v>45184</v>
      </c>
      <c r="D444" t="s">
        <v>72</v>
      </c>
      <c r="E444" t="s">
        <v>44</v>
      </c>
      <c r="F444" t="s">
        <v>45</v>
      </c>
      <c r="G444" t="s">
        <v>35</v>
      </c>
      <c r="H444" t="s">
        <v>40</v>
      </c>
      <c r="I444">
        <v>2</v>
      </c>
      <c r="J444">
        <v>324.87</v>
      </c>
      <c r="K444">
        <v>37.5</v>
      </c>
      <c r="L444">
        <v>185</v>
      </c>
      <c r="M444">
        <v>208.66</v>
      </c>
      <c r="N444" t="s">
        <v>47</v>
      </c>
      <c r="O444">
        <v>15</v>
      </c>
      <c r="P444">
        <v>649.74</v>
      </c>
      <c r="Q444">
        <v>687.24</v>
      </c>
      <c r="R444" t="s">
        <v>2054</v>
      </c>
    </row>
    <row r="445" spans="1:18" x14ac:dyDescent="0.25">
      <c r="A445" t="s">
        <v>496</v>
      </c>
      <c r="B445" s="1">
        <v>45170</v>
      </c>
      <c r="C445" s="1">
        <v>45175</v>
      </c>
      <c r="D445" t="s">
        <v>54</v>
      </c>
      <c r="E445" t="s">
        <v>38</v>
      </c>
      <c r="F445" t="s">
        <v>39</v>
      </c>
      <c r="G445" t="s">
        <v>21</v>
      </c>
      <c r="H445" t="s">
        <v>32</v>
      </c>
      <c r="I445">
        <v>1</v>
      </c>
      <c r="J445">
        <v>276.3</v>
      </c>
      <c r="K445">
        <v>75</v>
      </c>
      <c r="L445">
        <v>239</v>
      </c>
      <c r="M445">
        <v>17.760000000000002</v>
      </c>
      <c r="N445" t="s">
        <v>23</v>
      </c>
      <c r="O445">
        <v>5</v>
      </c>
      <c r="P445">
        <v>276.3</v>
      </c>
      <c r="Q445">
        <v>351.3</v>
      </c>
      <c r="R445" t="s">
        <v>2054</v>
      </c>
    </row>
    <row r="446" spans="1:18" x14ac:dyDescent="0.25">
      <c r="A446" t="s">
        <v>497</v>
      </c>
      <c r="B446" s="1">
        <v>45170</v>
      </c>
      <c r="C446" s="1">
        <v>45172</v>
      </c>
      <c r="D446" t="s">
        <v>58</v>
      </c>
      <c r="E446" t="s">
        <v>19</v>
      </c>
      <c r="F446" t="s">
        <v>20</v>
      </c>
      <c r="G446" t="s">
        <v>35</v>
      </c>
      <c r="H446" t="s">
        <v>40</v>
      </c>
      <c r="I446">
        <v>6</v>
      </c>
      <c r="J446">
        <v>37.75</v>
      </c>
      <c r="K446">
        <v>12</v>
      </c>
      <c r="L446">
        <v>148</v>
      </c>
      <c r="M446">
        <v>12.12</v>
      </c>
      <c r="N446" t="s">
        <v>23</v>
      </c>
      <c r="O446">
        <v>2</v>
      </c>
      <c r="P446">
        <v>226.5</v>
      </c>
      <c r="Q446">
        <v>238.5</v>
      </c>
      <c r="R446" t="s">
        <v>2054</v>
      </c>
    </row>
    <row r="447" spans="1:18" x14ac:dyDescent="0.25">
      <c r="A447" t="s">
        <v>498</v>
      </c>
      <c r="B447" s="1">
        <v>45171</v>
      </c>
      <c r="C447" s="1">
        <v>45182</v>
      </c>
      <c r="D447" t="s">
        <v>54</v>
      </c>
      <c r="E447" t="s">
        <v>38</v>
      </c>
      <c r="F447" t="s">
        <v>39</v>
      </c>
      <c r="G447" t="s">
        <v>35</v>
      </c>
      <c r="H447" t="s">
        <v>40</v>
      </c>
      <c r="I447">
        <v>2</v>
      </c>
      <c r="J447">
        <v>347.31</v>
      </c>
      <c r="K447">
        <v>112.5</v>
      </c>
      <c r="L447">
        <v>101</v>
      </c>
      <c r="M447">
        <v>82.68</v>
      </c>
      <c r="N447" t="s">
        <v>47</v>
      </c>
      <c r="O447">
        <v>11</v>
      </c>
      <c r="P447">
        <v>694.62</v>
      </c>
      <c r="Q447">
        <v>807.12</v>
      </c>
      <c r="R447" t="s">
        <v>2054</v>
      </c>
    </row>
    <row r="448" spans="1:18" x14ac:dyDescent="0.25">
      <c r="A448" t="s">
        <v>499</v>
      </c>
      <c r="B448" s="1">
        <v>45172</v>
      </c>
      <c r="C448" s="1">
        <v>45173</v>
      </c>
      <c r="D448" t="s">
        <v>29</v>
      </c>
      <c r="E448" t="s">
        <v>30</v>
      </c>
      <c r="F448" t="s">
        <v>31</v>
      </c>
      <c r="G448" t="s">
        <v>21</v>
      </c>
      <c r="H448" t="s">
        <v>32</v>
      </c>
      <c r="I448">
        <v>1</v>
      </c>
      <c r="J448">
        <v>60.84</v>
      </c>
      <c r="K448">
        <v>12</v>
      </c>
      <c r="L448">
        <v>256</v>
      </c>
      <c r="M448">
        <v>-9.1300000000000008</v>
      </c>
      <c r="N448" t="s">
        <v>23</v>
      </c>
      <c r="O448">
        <v>1</v>
      </c>
      <c r="P448">
        <v>60.84</v>
      </c>
      <c r="Q448">
        <v>72.84</v>
      </c>
      <c r="R448" t="s">
        <v>2054</v>
      </c>
    </row>
    <row r="449" spans="1:18" x14ac:dyDescent="0.25">
      <c r="A449" t="s">
        <v>500</v>
      </c>
      <c r="B449" s="1">
        <v>45172</v>
      </c>
      <c r="C449" s="1">
        <v>45174</v>
      </c>
      <c r="D449" t="s">
        <v>72</v>
      </c>
      <c r="E449" t="s">
        <v>44</v>
      </c>
      <c r="F449" t="s">
        <v>45</v>
      </c>
      <c r="G449" t="s">
        <v>26</v>
      </c>
      <c r="H449" t="s">
        <v>27</v>
      </c>
      <c r="I449">
        <v>1</v>
      </c>
      <c r="J449">
        <v>435.38</v>
      </c>
      <c r="K449">
        <v>25</v>
      </c>
      <c r="L449">
        <v>43</v>
      </c>
      <c r="M449">
        <v>139.88</v>
      </c>
      <c r="N449" t="s">
        <v>23</v>
      </c>
      <c r="O449">
        <v>2</v>
      </c>
      <c r="P449">
        <v>435.38</v>
      </c>
      <c r="Q449">
        <v>460.38</v>
      </c>
      <c r="R449" t="s">
        <v>2055</v>
      </c>
    </row>
    <row r="450" spans="1:18" x14ac:dyDescent="0.25">
      <c r="A450" t="s">
        <v>501</v>
      </c>
      <c r="B450" s="1">
        <v>45173</v>
      </c>
      <c r="C450" s="1">
        <v>45176</v>
      </c>
      <c r="D450" t="s">
        <v>18</v>
      </c>
      <c r="E450" t="s">
        <v>19</v>
      </c>
      <c r="F450" t="s">
        <v>20</v>
      </c>
      <c r="G450" t="s">
        <v>26</v>
      </c>
      <c r="H450" t="s">
        <v>22</v>
      </c>
      <c r="I450">
        <v>13</v>
      </c>
      <c r="J450">
        <v>20.14</v>
      </c>
      <c r="K450">
        <v>8</v>
      </c>
      <c r="L450">
        <v>237</v>
      </c>
      <c r="M450">
        <v>16.940000000000001</v>
      </c>
      <c r="N450" t="s">
        <v>23</v>
      </c>
      <c r="O450">
        <v>3</v>
      </c>
      <c r="P450">
        <v>261.82</v>
      </c>
      <c r="Q450">
        <v>269.82</v>
      </c>
      <c r="R450" t="s">
        <v>2054</v>
      </c>
    </row>
    <row r="451" spans="1:18" x14ac:dyDescent="0.25">
      <c r="A451" t="s">
        <v>502</v>
      </c>
      <c r="B451" s="1">
        <v>45173</v>
      </c>
      <c r="C451" s="1">
        <v>45176</v>
      </c>
      <c r="D451" t="s">
        <v>118</v>
      </c>
      <c r="E451" t="s">
        <v>79</v>
      </c>
      <c r="F451" t="s">
        <v>80</v>
      </c>
      <c r="G451" t="s">
        <v>21</v>
      </c>
      <c r="H451" t="s">
        <v>32</v>
      </c>
      <c r="I451">
        <v>2</v>
      </c>
      <c r="J451">
        <v>20.3</v>
      </c>
      <c r="K451">
        <v>12</v>
      </c>
      <c r="L451">
        <v>197</v>
      </c>
      <c r="M451">
        <v>12.27</v>
      </c>
      <c r="N451" t="s">
        <v>23</v>
      </c>
      <c r="O451">
        <v>3</v>
      </c>
      <c r="P451">
        <v>40.6</v>
      </c>
      <c r="Q451">
        <v>52.6</v>
      </c>
      <c r="R451" t="s">
        <v>2054</v>
      </c>
    </row>
    <row r="452" spans="1:18" x14ac:dyDescent="0.25">
      <c r="A452" t="s">
        <v>503</v>
      </c>
      <c r="B452" s="1">
        <v>45175</v>
      </c>
      <c r="C452" s="1">
        <v>45179</v>
      </c>
      <c r="D452" t="s">
        <v>29</v>
      </c>
      <c r="E452" t="s">
        <v>30</v>
      </c>
      <c r="F452" t="s">
        <v>31</v>
      </c>
      <c r="G452" t="s">
        <v>21</v>
      </c>
      <c r="H452" t="s">
        <v>40</v>
      </c>
      <c r="I452">
        <v>2</v>
      </c>
      <c r="J452">
        <v>33.450000000000003</v>
      </c>
      <c r="K452">
        <v>18</v>
      </c>
      <c r="L452">
        <v>151</v>
      </c>
      <c r="M452">
        <v>17.760000000000002</v>
      </c>
      <c r="N452" t="s">
        <v>23</v>
      </c>
      <c r="O452">
        <v>4</v>
      </c>
      <c r="P452">
        <v>66.900000000000006</v>
      </c>
      <c r="Q452">
        <v>84.9</v>
      </c>
      <c r="R452" t="s">
        <v>2054</v>
      </c>
    </row>
    <row r="453" spans="1:18" x14ac:dyDescent="0.25">
      <c r="A453" t="s">
        <v>504</v>
      </c>
      <c r="B453" s="1">
        <v>45175</v>
      </c>
      <c r="C453" s="1">
        <v>45179</v>
      </c>
      <c r="D453" t="s">
        <v>29</v>
      </c>
      <c r="E453" t="s">
        <v>30</v>
      </c>
      <c r="F453" t="s">
        <v>31</v>
      </c>
      <c r="G453" t="s">
        <v>21</v>
      </c>
      <c r="H453" t="s">
        <v>32</v>
      </c>
      <c r="I453">
        <v>3</v>
      </c>
      <c r="J453">
        <v>80.98</v>
      </c>
      <c r="K453">
        <v>12</v>
      </c>
      <c r="L453">
        <v>329</v>
      </c>
      <c r="M453">
        <v>91.17</v>
      </c>
      <c r="N453" t="s">
        <v>23</v>
      </c>
      <c r="O453">
        <v>4</v>
      </c>
      <c r="P453">
        <v>242.94</v>
      </c>
      <c r="Q453">
        <v>254.94</v>
      </c>
      <c r="R453" t="s">
        <v>2054</v>
      </c>
    </row>
    <row r="454" spans="1:18" x14ac:dyDescent="0.25">
      <c r="A454" t="s">
        <v>505</v>
      </c>
      <c r="B454" s="1">
        <v>45176</v>
      </c>
      <c r="C454" s="1">
        <v>45187</v>
      </c>
      <c r="D454" t="s">
        <v>75</v>
      </c>
      <c r="E454" t="s">
        <v>44</v>
      </c>
      <c r="F454" t="s">
        <v>45</v>
      </c>
      <c r="G454" t="s">
        <v>35</v>
      </c>
      <c r="H454" t="s">
        <v>40</v>
      </c>
      <c r="I454">
        <v>3</v>
      </c>
      <c r="J454">
        <v>307.22000000000003</v>
      </c>
      <c r="K454">
        <v>37.5</v>
      </c>
      <c r="L454">
        <v>126</v>
      </c>
      <c r="M454">
        <v>303.83</v>
      </c>
      <c r="N454" t="s">
        <v>47</v>
      </c>
      <c r="O454">
        <v>11</v>
      </c>
      <c r="P454">
        <v>921.66000000000008</v>
      </c>
      <c r="Q454">
        <v>959.16000000000008</v>
      </c>
      <c r="R454" t="s">
        <v>2054</v>
      </c>
    </row>
    <row r="455" spans="1:18" x14ac:dyDescent="0.25">
      <c r="A455" t="s">
        <v>506</v>
      </c>
      <c r="B455" s="1">
        <v>45176</v>
      </c>
      <c r="C455" s="1">
        <v>45189</v>
      </c>
      <c r="D455" t="s">
        <v>34</v>
      </c>
      <c r="E455" t="s">
        <v>30</v>
      </c>
      <c r="F455" t="s">
        <v>31</v>
      </c>
      <c r="G455" t="s">
        <v>35</v>
      </c>
      <c r="H455" t="s">
        <v>40</v>
      </c>
      <c r="I455">
        <v>1</v>
      </c>
      <c r="J455">
        <v>66.03</v>
      </c>
      <c r="K455">
        <v>18</v>
      </c>
      <c r="L455">
        <v>85</v>
      </c>
      <c r="M455">
        <v>17.41</v>
      </c>
      <c r="N455" t="s">
        <v>47</v>
      </c>
      <c r="O455">
        <v>13</v>
      </c>
      <c r="P455">
        <v>66.03</v>
      </c>
      <c r="Q455">
        <v>84.03</v>
      </c>
      <c r="R455" t="s">
        <v>2054</v>
      </c>
    </row>
    <row r="456" spans="1:18" x14ac:dyDescent="0.25">
      <c r="A456" t="s">
        <v>507</v>
      </c>
      <c r="B456" s="1">
        <v>45177</v>
      </c>
      <c r="C456" s="1">
        <v>45194</v>
      </c>
      <c r="D456" t="s">
        <v>75</v>
      </c>
      <c r="E456" t="s">
        <v>44</v>
      </c>
      <c r="F456" t="s">
        <v>45</v>
      </c>
      <c r="G456" t="s">
        <v>35</v>
      </c>
      <c r="H456" t="s">
        <v>40</v>
      </c>
      <c r="I456">
        <v>3</v>
      </c>
      <c r="J456">
        <v>1090.97</v>
      </c>
      <c r="K456">
        <v>37.5</v>
      </c>
      <c r="L456">
        <v>68</v>
      </c>
      <c r="M456">
        <v>1126.77</v>
      </c>
      <c r="N456" t="s">
        <v>47</v>
      </c>
      <c r="O456">
        <v>17</v>
      </c>
      <c r="P456">
        <v>3272.91</v>
      </c>
      <c r="Q456">
        <v>3310.41</v>
      </c>
      <c r="R456" t="s">
        <v>2054</v>
      </c>
    </row>
    <row r="457" spans="1:18" x14ac:dyDescent="0.25">
      <c r="A457" t="s">
        <v>508</v>
      </c>
      <c r="B457" s="1">
        <v>45177</v>
      </c>
      <c r="C457" s="1">
        <v>45181</v>
      </c>
      <c r="D457" t="s">
        <v>58</v>
      </c>
      <c r="E457" t="s">
        <v>19</v>
      </c>
      <c r="F457" t="s">
        <v>20</v>
      </c>
      <c r="G457" t="s">
        <v>35</v>
      </c>
      <c r="H457" t="s">
        <v>40</v>
      </c>
      <c r="I457">
        <v>7</v>
      </c>
      <c r="J457">
        <v>41.94</v>
      </c>
      <c r="K457">
        <v>12</v>
      </c>
      <c r="L457">
        <v>101</v>
      </c>
      <c r="M457">
        <v>17.489999999999998</v>
      </c>
      <c r="N457" t="s">
        <v>23</v>
      </c>
      <c r="O457">
        <v>4</v>
      </c>
      <c r="P457">
        <v>293.58</v>
      </c>
      <c r="Q457">
        <v>305.58</v>
      </c>
      <c r="R457" t="s">
        <v>2054</v>
      </c>
    </row>
    <row r="458" spans="1:18" x14ac:dyDescent="0.25">
      <c r="A458" t="s">
        <v>509</v>
      </c>
      <c r="B458" s="1">
        <v>45179</v>
      </c>
      <c r="C458" s="1">
        <v>45180</v>
      </c>
      <c r="D458" t="s">
        <v>29</v>
      </c>
      <c r="E458" t="s">
        <v>30</v>
      </c>
      <c r="F458" t="s">
        <v>31</v>
      </c>
      <c r="G458" t="s">
        <v>26</v>
      </c>
      <c r="H458" t="s">
        <v>22</v>
      </c>
      <c r="I458">
        <v>2</v>
      </c>
      <c r="J458">
        <v>119.08</v>
      </c>
      <c r="K458">
        <v>12</v>
      </c>
      <c r="L458">
        <v>190</v>
      </c>
      <c r="M458">
        <v>89.26</v>
      </c>
      <c r="N458" t="s">
        <v>23</v>
      </c>
      <c r="O458">
        <v>1</v>
      </c>
      <c r="P458">
        <v>238.16</v>
      </c>
      <c r="Q458">
        <v>250.16</v>
      </c>
      <c r="R458" t="s">
        <v>2054</v>
      </c>
    </row>
    <row r="459" spans="1:18" x14ac:dyDescent="0.25">
      <c r="A459" t="s">
        <v>510</v>
      </c>
      <c r="B459" s="1">
        <v>45179</v>
      </c>
      <c r="C459" s="1">
        <v>45193</v>
      </c>
      <c r="D459" t="s">
        <v>118</v>
      </c>
      <c r="E459" t="s">
        <v>79</v>
      </c>
      <c r="F459" t="s">
        <v>80</v>
      </c>
      <c r="G459" t="s">
        <v>35</v>
      </c>
      <c r="H459" t="s">
        <v>40</v>
      </c>
      <c r="I459">
        <v>1</v>
      </c>
      <c r="J459">
        <v>54.84</v>
      </c>
      <c r="K459">
        <v>18</v>
      </c>
      <c r="L459">
        <v>133</v>
      </c>
      <c r="M459">
        <v>-8.23</v>
      </c>
      <c r="N459" t="s">
        <v>47</v>
      </c>
      <c r="O459">
        <v>14</v>
      </c>
      <c r="P459">
        <v>54.84</v>
      </c>
      <c r="Q459">
        <v>72.84</v>
      </c>
      <c r="R459" t="s">
        <v>2054</v>
      </c>
    </row>
    <row r="460" spans="1:18" x14ac:dyDescent="0.25">
      <c r="A460" t="s">
        <v>511</v>
      </c>
      <c r="B460" s="1">
        <v>45179</v>
      </c>
      <c r="C460" s="1">
        <v>45195</v>
      </c>
      <c r="D460" t="s">
        <v>25</v>
      </c>
      <c r="E460" t="s">
        <v>19</v>
      </c>
      <c r="F460" t="s">
        <v>20</v>
      </c>
      <c r="G460" t="s">
        <v>35</v>
      </c>
      <c r="H460" t="s">
        <v>27</v>
      </c>
      <c r="I460">
        <v>11</v>
      </c>
      <c r="J460">
        <v>15.84</v>
      </c>
      <c r="K460">
        <v>8</v>
      </c>
      <c r="L460">
        <v>133</v>
      </c>
      <c r="M460">
        <v>9.94</v>
      </c>
      <c r="N460" t="s">
        <v>47</v>
      </c>
      <c r="O460">
        <v>16</v>
      </c>
      <c r="P460">
        <v>174.24</v>
      </c>
      <c r="Q460">
        <v>182.24</v>
      </c>
      <c r="R460" t="s">
        <v>2054</v>
      </c>
    </row>
    <row r="461" spans="1:18" x14ac:dyDescent="0.25">
      <c r="A461" t="s">
        <v>512</v>
      </c>
      <c r="B461" s="1">
        <v>45180</v>
      </c>
      <c r="C461" s="1">
        <v>45194</v>
      </c>
      <c r="D461" t="s">
        <v>82</v>
      </c>
      <c r="E461" t="s">
        <v>79</v>
      </c>
      <c r="F461" t="s">
        <v>80</v>
      </c>
      <c r="G461" t="s">
        <v>35</v>
      </c>
      <c r="H461" t="s">
        <v>40</v>
      </c>
      <c r="I461">
        <v>5</v>
      </c>
      <c r="J461">
        <v>124.71</v>
      </c>
      <c r="K461">
        <v>18</v>
      </c>
      <c r="L461">
        <v>372</v>
      </c>
      <c r="M461">
        <v>271.61</v>
      </c>
      <c r="N461" t="s">
        <v>47</v>
      </c>
      <c r="O461">
        <v>14</v>
      </c>
      <c r="P461">
        <v>623.54999999999995</v>
      </c>
      <c r="Q461">
        <v>641.54999999999995</v>
      </c>
      <c r="R461" t="s">
        <v>2054</v>
      </c>
    </row>
    <row r="462" spans="1:18" x14ac:dyDescent="0.25">
      <c r="A462" t="s">
        <v>513</v>
      </c>
      <c r="B462" s="1">
        <v>45180</v>
      </c>
      <c r="C462" s="1">
        <v>45189</v>
      </c>
      <c r="D462" t="s">
        <v>29</v>
      </c>
      <c r="E462" t="s">
        <v>30</v>
      </c>
      <c r="F462" t="s">
        <v>31</v>
      </c>
      <c r="G462" t="s">
        <v>35</v>
      </c>
      <c r="H462" t="s">
        <v>27</v>
      </c>
      <c r="I462">
        <v>1</v>
      </c>
      <c r="J462">
        <v>147.07</v>
      </c>
      <c r="K462">
        <v>12</v>
      </c>
      <c r="L462">
        <v>308</v>
      </c>
      <c r="M462">
        <v>52.83</v>
      </c>
      <c r="N462" t="s">
        <v>63</v>
      </c>
      <c r="O462">
        <v>9</v>
      </c>
      <c r="P462">
        <v>147.07</v>
      </c>
      <c r="Q462">
        <v>159.07</v>
      </c>
      <c r="R462" t="s">
        <v>2054</v>
      </c>
    </row>
    <row r="463" spans="1:18" x14ac:dyDescent="0.25">
      <c r="A463" t="s">
        <v>514</v>
      </c>
      <c r="B463" s="1">
        <v>45180</v>
      </c>
      <c r="C463" s="1">
        <v>45185</v>
      </c>
      <c r="D463" t="s">
        <v>43</v>
      </c>
      <c r="E463" t="s">
        <v>44</v>
      </c>
      <c r="F463" t="s">
        <v>45</v>
      </c>
      <c r="G463" t="s">
        <v>35</v>
      </c>
      <c r="H463" t="s">
        <v>40</v>
      </c>
      <c r="I463">
        <v>2</v>
      </c>
      <c r="J463">
        <v>1181.3800000000001</v>
      </c>
      <c r="K463">
        <v>37.5</v>
      </c>
      <c r="L463">
        <v>198</v>
      </c>
      <c r="M463">
        <v>808.22</v>
      </c>
      <c r="N463" t="s">
        <v>23</v>
      </c>
      <c r="O463">
        <v>5</v>
      </c>
      <c r="P463">
        <v>2362.7600000000002</v>
      </c>
      <c r="Q463">
        <v>2400.2600000000002</v>
      </c>
      <c r="R463" t="s">
        <v>2054</v>
      </c>
    </row>
    <row r="464" spans="1:18" x14ac:dyDescent="0.25">
      <c r="A464" t="s">
        <v>515</v>
      </c>
      <c r="B464" s="1">
        <v>45182</v>
      </c>
      <c r="C464" s="1">
        <v>45193</v>
      </c>
      <c r="D464" t="s">
        <v>43</v>
      </c>
      <c r="E464" t="s">
        <v>44</v>
      </c>
      <c r="F464" t="s">
        <v>45</v>
      </c>
      <c r="G464" t="s">
        <v>35</v>
      </c>
      <c r="H464" t="s">
        <v>40</v>
      </c>
      <c r="I464">
        <v>3</v>
      </c>
      <c r="J464">
        <v>256.63</v>
      </c>
      <c r="K464">
        <v>37.5</v>
      </c>
      <c r="L464">
        <v>149</v>
      </c>
      <c r="M464">
        <v>250.71</v>
      </c>
      <c r="N464" t="s">
        <v>47</v>
      </c>
      <c r="O464">
        <v>11</v>
      </c>
      <c r="P464">
        <v>769.89</v>
      </c>
      <c r="Q464">
        <v>807.39</v>
      </c>
      <c r="R464" t="s">
        <v>2054</v>
      </c>
    </row>
    <row r="465" spans="1:18" x14ac:dyDescent="0.25">
      <c r="A465" t="s">
        <v>516</v>
      </c>
      <c r="B465" s="1">
        <v>45182</v>
      </c>
      <c r="C465" s="1">
        <v>45185</v>
      </c>
      <c r="D465" t="s">
        <v>52</v>
      </c>
      <c r="E465" t="s">
        <v>30</v>
      </c>
      <c r="F465" t="s">
        <v>31</v>
      </c>
      <c r="G465" t="s">
        <v>26</v>
      </c>
      <c r="H465" t="s">
        <v>27</v>
      </c>
      <c r="I465">
        <v>5</v>
      </c>
      <c r="J465">
        <v>66.959999999999994</v>
      </c>
      <c r="K465">
        <v>12</v>
      </c>
      <c r="L465">
        <v>274</v>
      </c>
      <c r="M465">
        <v>127.92</v>
      </c>
      <c r="N465" t="s">
        <v>23</v>
      </c>
      <c r="O465">
        <v>3</v>
      </c>
      <c r="P465">
        <v>334.79999999999995</v>
      </c>
      <c r="Q465">
        <v>346.79999999999995</v>
      </c>
      <c r="R465" t="s">
        <v>2054</v>
      </c>
    </row>
    <row r="466" spans="1:18" x14ac:dyDescent="0.25">
      <c r="A466" t="s">
        <v>517</v>
      </c>
      <c r="B466" s="1">
        <v>45184</v>
      </c>
      <c r="C466" s="1">
        <v>45188</v>
      </c>
      <c r="D466" t="s">
        <v>82</v>
      </c>
      <c r="E466" t="s">
        <v>79</v>
      </c>
      <c r="F466" t="s">
        <v>80</v>
      </c>
      <c r="G466" t="s">
        <v>35</v>
      </c>
      <c r="H466" t="s">
        <v>22</v>
      </c>
      <c r="I466">
        <v>4</v>
      </c>
      <c r="J466">
        <v>64.819999999999993</v>
      </c>
      <c r="K466">
        <v>12</v>
      </c>
      <c r="L466">
        <v>317</v>
      </c>
      <c r="M466">
        <v>110.68</v>
      </c>
      <c r="N466" t="s">
        <v>23</v>
      </c>
      <c r="O466">
        <v>4</v>
      </c>
      <c r="P466">
        <v>259.27999999999997</v>
      </c>
      <c r="Q466">
        <v>271.27999999999997</v>
      </c>
      <c r="R466" t="s">
        <v>2054</v>
      </c>
    </row>
    <row r="467" spans="1:18" x14ac:dyDescent="0.25">
      <c r="A467" t="s">
        <v>518</v>
      </c>
      <c r="B467" s="1">
        <v>45185</v>
      </c>
      <c r="C467" s="1">
        <v>45188</v>
      </c>
      <c r="D467" t="s">
        <v>25</v>
      </c>
      <c r="E467" t="s">
        <v>19</v>
      </c>
      <c r="F467" t="s">
        <v>20</v>
      </c>
      <c r="G467" t="s">
        <v>35</v>
      </c>
      <c r="H467" t="s">
        <v>27</v>
      </c>
      <c r="I467">
        <v>12</v>
      </c>
      <c r="J467">
        <v>15.77</v>
      </c>
      <c r="K467">
        <v>8</v>
      </c>
      <c r="L467">
        <v>200</v>
      </c>
      <c r="M467">
        <v>-28.39</v>
      </c>
      <c r="N467" t="s">
        <v>23</v>
      </c>
      <c r="O467">
        <v>3</v>
      </c>
      <c r="P467">
        <v>189.24</v>
      </c>
      <c r="Q467">
        <v>197.24</v>
      </c>
      <c r="R467" t="s">
        <v>2054</v>
      </c>
    </row>
    <row r="468" spans="1:18" x14ac:dyDescent="0.25">
      <c r="A468" t="s">
        <v>519</v>
      </c>
      <c r="B468" s="1">
        <v>45185</v>
      </c>
      <c r="C468" s="1">
        <v>45188</v>
      </c>
      <c r="D468" t="s">
        <v>54</v>
      </c>
      <c r="E468" t="s">
        <v>38</v>
      </c>
      <c r="F468" t="s">
        <v>39</v>
      </c>
      <c r="G468" t="s">
        <v>35</v>
      </c>
      <c r="H468" t="s">
        <v>40</v>
      </c>
      <c r="I468">
        <v>1</v>
      </c>
      <c r="J468">
        <v>165</v>
      </c>
      <c r="K468">
        <v>112.5</v>
      </c>
      <c r="L468">
        <v>300</v>
      </c>
      <c r="M468">
        <v>-23.25</v>
      </c>
      <c r="N468" t="s">
        <v>23</v>
      </c>
      <c r="O468">
        <v>3</v>
      </c>
      <c r="P468">
        <v>165</v>
      </c>
      <c r="Q468">
        <v>277.5</v>
      </c>
      <c r="R468" t="s">
        <v>2054</v>
      </c>
    </row>
    <row r="469" spans="1:18" x14ac:dyDescent="0.25">
      <c r="A469" t="s">
        <v>520</v>
      </c>
      <c r="B469" s="1">
        <v>45187</v>
      </c>
      <c r="C469" s="1">
        <v>45191</v>
      </c>
      <c r="D469" t="s">
        <v>25</v>
      </c>
      <c r="E469" t="s">
        <v>19</v>
      </c>
      <c r="F469" t="s">
        <v>20</v>
      </c>
      <c r="G469" t="s">
        <v>35</v>
      </c>
      <c r="H469" t="s">
        <v>40</v>
      </c>
      <c r="I469">
        <v>7</v>
      </c>
      <c r="J469">
        <v>27.41</v>
      </c>
      <c r="K469">
        <v>12</v>
      </c>
      <c r="L469">
        <v>6</v>
      </c>
      <c r="M469">
        <v>9.35</v>
      </c>
      <c r="N469" t="s">
        <v>23</v>
      </c>
      <c r="O469">
        <v>4</v>
      </c>
      <c r="P469">
        <v>191.87</v>
      </c>
      <c r="Q469">
        <v>203.87</v>
      </c>
      <c r="R469" t="s">
        <v>2056</v>
      </c>
    </row>
    <row r="470" spans="1:18" x14ac:dyDescent="0.25">
      <c r="A470" t="s">
        <v>521</v>
      </c>
      <c r="B470" s="1">
        <v>45187</v>
      </c>
      <c r="C470" s="1">
        <v>45191</v>
      </c>
      <c r="D470" t="s">
        <v>52</v>
      </c>
      <c r="E470" t="s">
        <v>30</v>
      </c>
      <c r="F470" t="s">
        <v>31</v>
      </c>
      <c r="G470" t="s">
        <v>26</v>
      </c>
      <c r="H470" t="s">
        <v>27</v>
      </c>
      <c r="I470">
        <v>4</v>
      </c>
      <c r="J470">
        <v>69.78</v>
      </c>
      <c r="K470">
        <v>12</v>
      </c>
      <c r="L470">
        <v>125</v>
      </c>
      <c r="M470">
        <v>105.64</v>
      </c>
      <c r="N470" t="s">
        <v>23</v>
      </c>
      <c r="O470">
        <v>4</v>
      </c>
      <c r="P470">
        <v>279.12</v>
      </c>
      <c r="Q470">
        <v>291.12</v>
      </c>
      <c r="R470" t="s">
        <v>2054</v>
      </c>
    </row>
    <row r="471" spans="1:18" x14ac:dyDescent="0.25">
      <c r="A471" t="s">
        <v>522</v>
      </c>
      <c r="B471" s="1">
        <v>45187</v>
      </c>
      <c r="C471" s="1">
        <v>45190</v>
      </c>
      <c r="D471" t="s">
        <v>43</v>
      </c>
      <c r="E471" t="s">
        <v>44</v>
      </c>
      <c r="F471" t="s">
        <v>45</v>
      </c>
      <c r="G471" t="s">
        <v>21</v>
      </c>
      <c r="H471" t="s">
        <v>27</v>
      </c>
      <c r="I471">
        <v>1</v>
      </c>
      <c r="J471">
        <v>938.93</v>
      </c>
      <c r="K471">
        <v>25</v>
      </c>
      <c r="L471">
        <v>372</v>
      </c>
      <c r="M471">
        <v>316.13</v>
      </c>
      <c r="N471" t="s">
        <v>23</v>
      </c>
      <c r="O471">
        <v>3</v>
      </c>
      <c r="P471">
        <v>938.93</v>
      </c>
      <c r="Q471">
        <v>963.93</v>
      </c>
      <c r="R471" t="s">
        <v>2054</v>
      </c>
    </row>
    <row r="472" spans="1:18" x14ac:dyDescent="0.25">
      <c r="A472" t="s">
        <v>523</v>
      </c>
      <c r="B472" s="1">
        <v>45188</v>
      </c>
      <c r="C472" s="1">
        <v>45189</v>
      </c>
      <c r="D472" t="s">
        <v>18</v>
      </c>
      <c r="E472" t="s">
        <v>19</v>
      </c>
      <c r="F472" t="s">
        <v>20</v>
      </c>
      <c r="G472" t="s">
        <v>21</v>
      </c>
      <c r="H472" t="s">
        <v>40</v>
      </c>
      <c r="I472">
        <v>14</v>
      </c>
      <c r="J472">
        <v>49.83</v>
      </c>
      <c r="K472">
        <v>12</v>
      </c>
      <c r="L472">
        <v>1</v>
      </c>
      <c r="M472">
        <v>49.8</v>
      </c>
      <c r="N472" t="s">
        <v>23</v>
      </c>
      <c r="O472">
        <v>1</v>
      </c>
      <c r="P472">
        <v>697.62</v>
      </c>
      <c r="Q472">
        <v>709.62</v>
      </c>
      <c r="R472" t="s">
        <v>2056</v>
      </c>
    </row>
    <row r="473" spans="1:18" x14ac:dyDescent="0.25">
      <c r="A473" t="s">
        <v>524</v>
      </c>
      <c r="B473" s="1">
        <v>45189</v>
      </c>
      <c r="C473" s="1">
        <v>45201</v>
      </c>
      <c r="D473" t="s">
        <v>118</v>
      </c>
      <c r="E473" t="s">
        <v>79</v>
      </c>
      <c r="F473" t="s">
        <v>80</v>
      </c>
      <c r="G473" t="s">
        <v>35</v>
      </c>
      <c r="H473" t="s">
        <v>32</v>
      </c>
      <c r="I473">
        <v>4</v>
      </c>
      <c r="J473">
        <v>96.21</v>
      </c>
      <c r="K473">
        <v>12</v>
      </c>
      <c r="L473">
        <v>266</v>
      </c>
      <c r="M473">
        <v>167.18</v>
      </c>
      <c r="N473" t="s">
        <v>47</v>
      </c>
      <c r="O473">
        <v>12</v>
      </c>
      <c r="P473">
        <v>384.84</v>
      </c>
      <c r="Q473">
        <v>396.84</v>
      </c>
      <c r="R473" t="s">
        <v>2054</v>
      </c>
    </row>
    <row r="474" spans="1:18" x14ac:dyDescent="0.25">
      <c r="A474" t="s">
        <v>525</v>
      </c>
      <c r="B474" s="1">
        <v>45189</v>
      </c>
      <c r="C474" s="1">
        <v>45190</v>
      </c>
      <c r="D474" t="s">
        <v>34</v>
      </c>
      <c r="E474" t="s">
        <v>30</v>
      </c>
      <c r="F474" t="s">
        <v>31</v>
      </c>
      <c r="G474" t="s">
        <v>26</v>
      </c>
      <c r="H474" t="s">
        <v>22</v>
      </c>
      <c r="I474">
        <v>2</v>
      </c>
      <c r="J474">
        <v>90.58</v>
      </c>
      <c r="K474">
        <v>12</v>
      </c>
      <c r="L474">
        <v>232</v>
      </c>
      <c r="M474">
        <v>66.459999999999994</v>
      </c>
      <c r="N474" t="s">
        <v>23</v>
      </c>
      <c r="O474">
        <v>1</v>
      </c>
      <c r="P474">
        <v>181.16</v>
      </c>
      <c r="Q474">
        <v>193.16</v>
      </c>
      <c r="R474" t="s">
        <v>2054</v>
      </c>
    </row>
    <row r="475" spans="1:18" x14ac:dyDescent="0.25">
      <c r="A475" t="s">
        <v>526</v>
      </c>
      <c r="B475" s="1">
        <v>45189</v>
      </c>
      <c r="C475" s="1">
        <v>45198</v>
      </c>
      <c r="D475" t="s">
        <v>72</v>
      </c>
      <c r="E475" t="s">
        <v>44</v>
      </c>
      <c r="F475" t="s">
        <v>45</v>
      </c>
      <c r="G475" t="s">
        <v>35</v>
      </c>
      <c r="H475" t="s">
        <v>40</v>
      </c>
      <c r="I475">
        <v>1</v>
      </c>
      <c r="J475">
        <v>606.33000000000004</v>
      </c>
      <c r="K475">
        <v>37.5</v>
      </c>
      <c r="L475">
        <v>205</v>
      </c>
      <c r="M475">
        <v>193.47</v>
      </c>
      <c r="N475" t="s">
        <v>63</v>
      </c>
      <c r="O475">
        <v>9</v>
      </c>
      <c r="P475">
        <v>606.33000000000004</v>
      </c>
      <c r="Q475">
        <v>643.83000000000004</v>
      </c>
      <c r="R475" t="s">
        <v>2054</v>
      </c>
    </row>
    <row r="476" spans="1:18" x14ac:dyDescent="0.25">
      <c r="A476" t="s">
        <v>527</v>
      </c>
      <c r="B476" s="1">
        <v>45190</v>
      </c>
      <c r="C476" s="1">
        <v>45201</v>
      </c>
      <c r="D476" t="s">
        <v>50</v>
      </c>
      <c r="E476" t="s">
        <v>44</v>
      </c>
      <c r="F476" t="s">
        <v>45</v>
      </c>
      <c r="G476" t="s">
        <v>35</v>
      </c>
      <c r="H476" t="s">
        <v>32</v>
      </c>
      <c r="I476">
        <v>1</v>
      </c>
      <c r="J476">
        <v>485.4</v>
      </c>
      <c r="K476">
        <v>25</v>
      </c>
      <c r="L476">
        <v>229</v>
      </c>
      <c r="M476">
        <v>157.38999999999999</v>
      </c>
      <c r="N476" t="s">
        <v>47</v>
      </c>
      <c r="O476">
        <v>11</v>
      </c>
      <c r="P476">
        <v>485.4</v>
      </c>
      <c r="Q476">
        <v>510.4</v>
      </c>
      <c r="R476" t="s">
        <v>2054</v>
      </c>
    </row>
    <row r="477" spans="1:18" x14ac:dyDescent="0.25">
      <c r="A477" t="s">
        <v>528</v>
      </c>
      <c r="B477" s="1">
        <v>45191</v>
      </c>
      <c r="C477" s="1">
        <v>45205</v>
      </c>
      <c r="D477" t="s">
        <v>82</v>
      </c>
      <c r="E477" t="s">
        <v>79</v>
      </c>
      <c r="F477" t="s">
        <v>80</v>
      </c>
      <c r="G477" t="s">
        <v>35</v>
      </c>
      <c r="H477" t="s">
        <v>40</v>
      </c>
      <c r="I477">
        <v>5</v>
      </c>
      <c r="J477">
        <v>107.54</v>
      </c>
      <c r="K477">
        <v>18</v>
      </c>
      <c r="L477">
        <v>352</v>
      </c>
      <c r="M477">
        <v>232.97</v>
      </c>
      <c r="N477" t="s">
        <v>47</v>
      </c>
      <c r="O477">
        <v>14</v>
      </c>
      <c r="P477">
        <v>537.70000000000005</v>
      </c>
      <c r="Q477">
        <v>555.70000000000005</v>
      </c>
      <c r="R477" t="s">
        <v>2054</v>
      </c>
    </row>
    <row r="478" spans="1:18" x14ac:dyDescent="0.25">
      <c r="A478" t="s">
        <v>529</v>
      </c>
      <c r="B478" s="1">
        <v>45192</v>
      </c>
      <c r="C478" s="1">
        <v>45196</v>
      </c>
      <c r="D478" t="s">
        <v>54</v>
      </c>
      <c r="E478" t="s">
        <v>38</v>
      </c>
      <c r="F478" t="s">
        <v>39</v>
      </c>
      <c r="G478" t="s">
        <v>26</v>
      </c>
      <c r="H478" t="s">
        <v>27</v>
      </c>
      <c r="I478">
        <v>1</v>
      </c>
      <c r="J478">
        <v>184.83</v>
      </c>
      <c r="K478">
        <v>75</v>
      </c>
      <c r="L478">
        <v>162</v>
      </c>
      <c r="M478">
        <v>-0.53</v>
      </c>
      <c r="N478" t="s">
        <v>23</v>
      </c>
      <c r="O478">
        <v>4</v>
      </c>
      <c r="P478">
        <v>184.83</v>
      </c>
      <c r="Q478">
        <v>259.83000000000004</v>
      </c>
      <c r="R478" t="s">
        <v>2054</v>
      </c>
    </row>
    <row r="479" spans="1:18" x14ac:dyDescent="0.25">
      <c r="A479" t="s">
        <v>530</v>
      </c>
      <c r="B479" s="1">
        <v>45192</v>
      </c>
      <c r="C479" s="1">
        <v>45194</v>
      </c>
      <c r="D479" t="s">
        <v>75</v>
      </c>
      <c r="E479" t="s">
        <v>44</v>
      </c>
      <c r="F479" t="s">
        <v>45</v>
      </c>
      <c r="G479" t="s">
        <v>35</v>
      </c>
      <c r="H479" t="s">
        <v>32</v>
      </c>
      <c r="I479">
        <v>3</v>
      </c>
      <c r="J479">
        <v>1165.6099999999999</v>
      </c>
      <c r="K479">
        <v>25</v>
      </c>
      <c r="L479">
        <v>234</v>
      </c>
      <c r="M479">
        <v>1211.3900000000001</v>
      </c>
      <c r="N479" t="s">
        <v>23</v>
      </c>
      <c r="O479">
        <v>2</v>
      </c>
      <c r="P479">
        <v>3496.83</v>
      </c>
      <c r="Q479">
        <v>3521.83</v>
      </c>
      <c r="R479" t="s">
        <v>2054</v>
      </c>
    </row>
    <row r="480" spans="1:18" x14ac:dyDescent="0.25">
      <c r="A480" t="s">
        <v>531</v>
      </c>
      <c r="B480" s="1">
        <v>45194</v>
      </c>
      <c r="C480" s="1">
        <v>45199</v>
      </c>
      <c r="D480" t="s">
        <v>25</v>
      </c>
      <c r="E480" t="s">
        <v>19</v>
      </c>
      <c r="F480" t="s">
        <v>20</v>
      </c>
      <c r="G480" t="s">
        <v>35</v>
      </c>
      <c r="H480" t="s">
        <v>40</v>
      </c>
      <c r="I480">
        <v>5</v>
      </c>
      <c r="J480">
        <v>39.68</v>
      </c>
      <c r="K480">
        <v>12</v>
      </c>
      <c r="L480">
        <v>313</v>
      </c>
      <c r="M480">
        <v>9.8699999999999992</v>
      </c>
      <c r="N480" t="s">
        <v>23</v>
      </c>
      <c r="O480">
        <v>5</v>
      </c>
      <c r="P480">
        <v>198.4</v>
      </c>
      <c r="Q480">
        <v>210.4</v>
      </c>
      <c r="R480" t="s">
        <v>2054</v>
      </c>
    </row>
    <row r="481" spans="1:18" x14ac:dyDescent="0.25">
      <c r="A481" t="s">
        <v>532</v>
      </c>
      <c r="B481" s="1">
        <v>45194</v>
      </c>
      <c r="C481" s="1">
        <v>45204</v>
      </c>
      <c r="D481" t="s">
        <v>52</v>
      </c>
      <c r="E481" t="s">
        <v>30</v>
      </c>
      <c r="F481" t="s">
        <v>31</v>
      </c>
      <c r="G481" t="s">
        <v>35</v>
      </c>
      <c r="H481" t="s">
        <v>32</v>
      </c>
      <c r="I481">
        <v>4</v>
      </c>
      <c r="J481">
        <v>120.34</v>
      </c>
      <c r="K481">
        <v>12</v>
      </c>
      <c r="L481">
        <v>36</v>
      </c>
      <c r="M481">
        <v>186.54</v>
      </c>
      <c r="N481" t="s">
        <v>63</v>
      </c>
      <c r="O481">
        <v>10</v>
      </c>
      <c r="P481">
        <v>481.36</v>
      </c>
      <c r="Q481">
        <v>493.36</v>
      </c>
      <c r="R481" t="s">
        <v>2055</v>
      </c>
    </row>
    <row r="482" spans="1:18" x14ac:dyDescent="0.25">
      <c r="A482" t="s">
        <v>533</v>
      </c>
      <c r="B482" s="1">
        <v>45195</v>
      </c>
      <c r="C482" s="1">
        <v>45212</v>
      </c>
      <c r="D482" t="s">
        <v>72</v>
      </c>
      <c r="E482" t="s">
        <v>44</v>
      </c>
      <c r="F482" t="s">
        <v>45</v>
      </c>
      <c r="G482" t="s">
        <v>35</v>
      </c>
      <c r="H482" t="s">
        <v>32</v>
      </c>
      <c r="I482">
        <v>3</v>
      </c>
      <c r="J482">
        <v>742.03</v>
      </c>
      <c r="K482">
        <v>25</v>
      </c>
      <c r="L482">
        <v>104</v>
      </c>
      <c r="M482">
        <v>766.63</v>
      </c>
      <c r="N482" t="s">
        <v>47</v>
      </c>
      <c r="O482">
        <v>17</v>
      </c>
      <c r="P482">
        <v>2226.09</v>
      </c>
      <c r="Q482">
        <v>2251.09</v>
      </c>
      <c r="R482" t="s">
        <v>2054</v>
      </c>
    </row>
    <row r="483" spans="1:18" x14ac:dyDescent="0.25">
      <c r="A483" t="s">
        <v>534</v>
      </c>
      <c r="B483" s="1">
        <v>45196</v>
      </c>
      <c r="C483" s="1">
        <v>45199</v>
      </c>
      <c r="D483" t="s">
        <v>50</v>
      </c>
      <c r="E483" t="s">
        <v>44</v>
      </c>
      <c r="F483" t="s">
        <v>45</v>
      </c>
      <c r="G483" t="s">
        <v>21</v>
      </c>
      <c r="H483" t="s">
        <v>22</v>
      </c>
      <c r="I483">
        <v>1</v>
      </c>
      <c r="J483">
        <v>845.15</v>
      </c>
      <c r="K483">
        <v>25</v>
      </c>
      <c r="L483">
        <v>50</v>
      </c>
      <c r="M483">
        <v>283.3</v>
      </c>
      <c r="N483" t="s">
        <v>23</v>
      </c>
      <c r="O483">
        <v>3</v>
      </c>
      <c r="P483">
        <v>845.15</v>
      </c>
      <c r="Q483">
        <v>870.15</v>
      </c>
      <c r="R483" t="s">
        <v>2055</v>
      </c>
    </row>
    <row r="484" spans="1:18" x14ac:dyDescent="0.25">
      <c r="A484" t="s">
        <v>535</v>
      </c>
      <c r="B484" s="1">
        <v>45196</v>
      </c>
      <c r="C484" s="1">
        <v>45201</v>
      </c>
      <c r="D484" t="s">
        <v>50</v>
      </c>
      <c r="E484" t="s">
        <v>44</v>
      </c>
      <c r="F484" t="s">
        <v>45</v>
      </c>
      <c r="G484" t="s">
        <v>35</v>
      </c>
      <c r="H484" t="s">
        <v>40</v>
      </c>
      <c r="I484">
        <v>1</v>
      </c>
      <c r="J484">
        <v>249.51</v>
      </c>
      <c r="K484">
        <v>37.5</v>
      </c>
      <c r="L484">
        <v>199</v>
      </c>
      <c r="M484">
        <v>68.58</v>
      </c>
      <c r="N484" t="s">
        <v>23</v>
      </c>
      <c r="O484">
        <v>5</v>
      </c>
      <c r="P484">
        <v>249.51</v>
      </c>
      <c r="Q484">
        <v>287.01</v>
      </c>
      <c r="R484" t="s">
        <v>2054</v>
      </c>
    </row>
    <row r="485" spans="1:18" x14ac:dyDescent="0.25">
      <c r="A485" t="s">
        <v>536</v>
      </c>
      <c r="B485" s="1">
        <v>45196</v>
      </c>
      <c r="C485" s="1">
        <v>45205</v>
      </c>
      <c r="D485" t="s">
        <v>18</v>
      </c>
      <c r="E485" t="s">
        <v>19</v>
      </c>
      <c r="F485" t="s">
        <v>20</v>
      </c>
      <c r="G485" t="s">
        <v>35</v>
      </c>
      <c r="H485" t="s">
        <v>32</v>
      </c>
      <c r="I485">
        <v>14</v>
      </c>
      <c r="J485">
        <v>30.13</v>
      </c>
      <c r="K485">
        <v>8</v>
      </c>
      <c r="L485">
        <v>0</v>
      </c>
      <c r="M485">
        <v>29.74</v>
      </c>
      <c r="N485" t="s">
        <v>63</v>
      </c>
      <c r="O485">
        <v>9</v>
      </c>
      <c r="P485">
        <v>421.82</v>
      </c>
      <c r="Q485">
        <v>429.82</v>
      </c>
      <c r="R485" t="s">
        <v>2056</v>
      </c>
    </row>
    <row r="486" spans="1:18" x14ac:dyDescent="0.25">
      <c r="A486" t="s">
        <v>537</v>
      </c>
      <c r="B486" s="1">
        <v>45198</v>
      </c>
      <c r="C486" s="1">
        <v>45201</v>
      </c>
      <c r="D486" t="s">
        <v>25</v>
      </c>
      <c r="E486" t="s">
        <v>19</v>
      </c>
      <c r="F486" t="s">
        <v>20</v>
      </c>
      <c r="G486" t="s">
        <v>21</v>
      </c>
      <c r="H486" t="s">
        <v>40</v>
      </c>
      <c r="I486">
        <v>10</v>
      </c>
      <c r="J486">
        <v>12.92</v>
      </c>
      <c r="K486">
        <v>12</v>
      </c>
      <c r="L486">
        <v>5</v>
      </c>
      <c r="M486">
        <v>4.33</v>
      </c>
      <c r="N486" t="s">
        <v>23</v>
      </c>
      <c r="O486">
        <v>3</v>
      </c>
      <c r="P486">
        <v>129.19999999999999</v>
      </c>
      <c r="Q486">
        <v>141.19999999999999</v>
      </c>
      <c r="R486" t="s">
        <v>2056</v>
      </c>
    </row>
    <row r="487" spans="1:18" x14ac:dyDescent="0.25">
      <c r="A487" t="s">
        <v>538</v>
      </c>
      <c r="B487" s="1">
        <v>45199</v>
      </c>
      <c r="C487" s="1">
        <v>45203</v>
      </c>
      <c r="D487" t="s">
        <v>25</v>
      </c>
      <c r="E487" t="s">
        <v>19</v>
      </c>
      <c r="F487" t="s">
        <v>20</v>
      </c>
      <c r="G487" t="s">
        <v>21</v>
      </c>
      <c r="H487" t="s">
        <v>32</v>
      </c>
      <c r="I487">
        <v>12</v>
      </c>
      <c r="J487">
        <v>44.66</v>
      </c>
      <c r="K487">
        <v>8</v>
      </c>
      <c r="L487">
        <v>391</v>
      </c>
      <c r="M487">
        <v>38.869999999999997</v>
      </c>
      <c r="N487" t="s">
        <v>23</v>
      </c>
      <c r="O487">
        <v>4</v>
      </c>
      <c r="P487">
        <v>535.91999999999996</v>
      </c>
      <c r="Q487">
        <v>543.91999999999996</v>
      </c>
      <c r="R487" t="s">
        <v>2054</v>
      </c>
    </row>
    <row r="488" spans="1:18" x14ac:dyDescent="0.25">
      <c r="A488" t="s">
        <v>539</v>
      </c>
      <c r="B488" s="1">
        <v>45200</v>
      </c>
      <c r="C488" s="1">
        <v>45205</v>
      </c>
      <c r="D488" t="s">
        <v>54</v>
      </c>
      <c r="E488" t="s">
        <v>38</v>
      </c>
      <c r="F488" t="s">
        <v>39</v>
      </c>
      <c r="G488" t="s">
        <v>21</v>
      </c>
      <c r="H488" t="s">
        <v>40</v>
      </c>
      <c r="I488">
        <v>1</v>
      </c>
      <c r="J488">
        <v>205.08</v>
      </c>
      <c r="K488">
        <v>112.5</v>
      </c>
      <c r="L488">
        <v>197</v>
      </c>
      <c r="M488">
        <v>-15.23</v>
      </c>
      <c r="N488" t="s">
        <v>23</v>
      </c>
      <c r="O488">
        <v>5</v>
      </c>
      <c r="P488">
        <v>205.08</v>
      </c>
      <c r="Q488">
        <v>317.58000000000004</v>
      </c>
      <c r="R488" t="s">
        <v>2054</v>
      </c>
    </row>
    <row r="489" spans="1:18" x14ac:dyDescent="0.25">
      <c r="A489" t="s">
        <v>540</v>
      </c>
      <c r="B489" s="1">
        <v>45201</v>
      </c>
      <c r="C489" s="1">
        <v>45203</v>
      </c>
      <c r="D489" t="s">
        <v>82</v>
      </c>
      <c r="E489" t="s">
        <v>79</v>
      </c>
      <c r="F489" t="s">
        <v>80</v>
      </c>
      <c r="G489" t="s">
        <v>26</v>
      </c>
      <c r="H489" t="s">
        <v>32</v>
      </c>
      <c r="I489">
        <v>1</v>
      </c>
      <c r="J489">
        <v>103.1</v>
      </c>
      <c r="K489">
        <v>12</v>
      </c>
      <c r="L489">
        <v>324</v>
      </c>
      <c r="M489">
        <v>40.39</v>
      </c>
      <c r="N489" t="s">
        <v>23</v>
      </c>
      <c r="O489">
        <v>2</v>
      </c>
      <c r="P489">
        <v>103.1</v>
      </c>
      <c r="Q489">
        <v>115.1</v>
      </c>
      <c r="R489" t="s">
        <v>2054</v>
      </c>
    </row>
    <row r="490" spans="1:18" x14ac:dyDescent="0.25">
      <c r="A490" t="s">
        <v>541</v>
      </c>
      <c r="B490" s="1">
        <v>45202</v>
      </c>
      <c r="C490" s="1">
        <v>45203</v>
      </c>
      <c r="D490" t="s">
        <v>78</v>
      </c>
      <c r="E490" t="s">
        <v>79</v>
      </c>
      <c r="F490" t="s">
        <v>80</v>
      </c>
      <c r="G490" t="s">
        <v>26</v>
      </c>
      <c r="H490" t="s">
        <v>27</v>
      </c>
      <c r="I490">
        <v>2</v>
      </c>
      <c r="J490">
        <v>40.909999999999997</v>
      </c>
      <c r="K490">
        <v>12</v>
      </c>
      <c r="L490">
        <v>264</v>
      </c>
      <c r="M490">
        <v>30.82</v>
      </c>
      <c r="N490" t="s">
        <v>23</v>
      </c>
      <c r="O490">
        <v>1</v>
      </c>
      <c r="P490">
        <v>81.819999999999993</v>
      </c>
      <c r="Q490">
        <v>93.82</v>
      </c>
      <c r="R490" t="s">
        <v>2054</v>
      </c>
    </row>
    <row r="491" spans="1:18" x14ac:dyDescent="0.25">
      <c r="A491" t="s">
        <v>542</v>
      </c>
      <c r="B491" s="1">
        <v>45203</v>
      </c>
      <c r="C491" s="1">
        <v>45206</v>
      </c>
      <c r="D491" t="s">
        <v>50</v>
      </c>
      <c r="E491" t="s">
        <v>44</v>
      </c>
      <c r="F491" t="s">
        <v>45</v>
      </c>
      <c r="G491" t="s">
        <v>35</v>
      </c>
      <c r="H491" t="s">
        <v>40</v>
      </c>
      <c r="I491">
        <v>2</v>
      </c>
      <c r="J491">
        <v>1150.28</v>
      </c>
      <c r="K491">
        <v>37.5</v>
      </c>
      <c r="L491">
        <v>177</v>
      </c>
      <c r="M491">
        <v>786.45</v>
      </c>
      <c r="N491" t="s">
        <v>23</v>
      </c>
      <c r="O491">
        <v>3</v>
      </c>
      <c r="P491">
        <v>2300.56</v>
      </c>
      <c r="Q491">
        <v>2338.06</v>
      </c>
      <c r="R491" t="s">
        <v>2054</v>
      </c>
    </row>
    <row r="492" spans="1:18" x14ac:dyDescent="0.25">
      <c r="A492" t="s">
        <v>543</v>
      </c>
      <c r="B492" s="1">
        <v>45203</v>
      </c>
      <c r="C492" s="1">
        <v>45204</v>
      </c>
      <c r="D492" t="s">
        <v>54</v>
      </c>
      <c r="E492" t="s">
        <v>38</v>
      </c>
      <c r="F492" t="s">
        <v>39</v>
      </c>
      <c r="G492" t="s">
        <v>35</v>
      </c>
      <c r="H492" t="s">
        <v>32</v>
      </c>
      <c r="I492">
        <v>2</v>
      </c>
      <c r="J492">
        <v>122.17</v>
      </c>
      <c r="K492">
        <v>75</v>
      </c>
      <c r="L492">
        <v>208</v>
      </c>
      <c r="M492">
        <v>11.37</v>
      </c>
      <c r="N492" t="s">
        <v>23</v>
      </c>
      <c r="O492">
        <v>1</v>
      </c>
      <c r="P492">
        <v>244.34</v>
      </c>
      <c r="Q492">
        <v>319.34000000000003</v>
      </c>
      <c r="R492" t="s">
        <v>2054</v>
      </c>
    </row>
    <row r="493" spans="1:18" x14ac:dyDescent="0.25">
      <c r="A493" t="s">
        <v>544</v>
      </c>
      <c r="B493" s="1">
        <v>45203</v>
      </c>
      <c r="C493" s="1">
        <v>45206</v>
      </c>
      <c r="D493" t="s">
        <v>82</v>
      </c>
      <c r="E493" t="s">
        <v>79</v>
      </c>
      <c r="F493" t="s">
        <v>80</v>
      </c>
      <c r="G493" t="s">
        <v>35</v>
      </c>
      <c r="H493" t="s">
        <v>27</v>
      </c>
      <c r="I493">
        <v>2</v>
      </c>
      <c r="J493">
        <v>33.89</v>
      </c>
      <c r="K493">
        <v>12</v>
      </c>
      <c r="L493">
        <v>30</v>
      </c>
      <c r="M493">
        <v>24.5</v>
      </c>
      <c r="N493" t="s">
        <v>23</v>
      </c>
      <c r="O493">
        <v>3</v>
      </c>
      <c r="P493">
        <v>67.78</v>
      </c>
      <c r="Q493">
        <v>79.78</v>
      </c>
      <c r="R493" t="s">
        <v>2055</v>
      </c>
    </row>
    <row r="494" spans="1:18" x14ac:dyDescent="0.25">
      <c r="A494" t="s">
        <v>545</v>
      </c>
      <c r="B494" s="1">
        <v>45204</v>
      </c>
      <c r="C494" s="1">
        <v>45207</v>
      </c>
      <c r="D494" t="s">
        <v>72</v>
      </c>
      <c r="E494" t="s">
        <v>44</v>
      </c>
      <c r="F494" t="s">
        <v>45</v>
      </c>
      <c r="G494" t="s">
        <v>21</v>
      </c>
      <c r="H494" t="s">
        <v>22</v>
      </c>
      <c r="I494">
        <v>3</v>
      </c>
      <c r="J494">
        <v>889.58</v>
      </c>
      <c r="K494">
        <v>25</v>
      </c>
      <c r="L494">
        <v>31</v>
      </c>
      <c r="M494">
        <v>921.56</v>
      </c>
      <c r="N494" t="s">
        <v>23</v>
      </c>
      <c r="O494">
        <v>3</v>
      </c>
      <c r="P494">
        <v>2668.7400000000002</v>
      </c>
      <c r="Q494">
        <v>2693.7400000000002</v>
      </c>
      <c r="R494" t="s">
        <v>2055</v>
      </c>
    </row>
    <row r="495" spans="1:18" x14ac:dyDescent="0.25">
      <c r="A495" t="s">
        <v>546</v>
      </c>
      <c r="B495" s="1">
        <v>45205</v>
      </c>
      <c r="C495" s="1">
        <v>45206</v>
      </c>
      <c r="D495" t="s">
        <v>29</v>
      </c>
      <c r="E495" t="s">
        <v>30</v>
      </c>
      <c r="F495" t="s">
        <v>31</v>
      </c>
      <c r="G495" t="s">
        <v>21</v>
      </c>
      <c r="H495" t="s">
        <v>32</v>
      </c>
      <c r="I495">
        <v>3</v>
      </c>
      <c r="J495">
        <v>84.68</v>
      </c>
      <c r="K495">
        <v>12</v>
      </c>
      <c r="L495">
        <v>85</v>
      </c>
      <c r="M495">
        <v>95.61</v>
      </c>
      <c r="N495" t="s">
        <v>23</v>
      </c>
      <c r="O495">
        <v>1</v>
      </c>
      <c r="P495">
        <v>254.04000000000002</v>
      </c>
      <c r="Q495">
        <v>266.04000000000002</v>
      </c>
      <c r="R495" t="s">
        <v>2054</v>
      </c>
    </row>
    <row r="496" spans="1:18" x14ac:dyDescent="0.25">
      <c r="A496" t="s">
        <v>547</v>
      </c>
      <c r="B496" s="1">
        <v>45206</v>
      </c>
      <c r="C496" s="1">
        <v>45211</v>
      </c>
      <c r="D496" t="s">
        <v>25</v>
      </c>
      <c r="E496" t="s">
        <v>19</v>
      </c>
      <c r="F496" t="s">
        <v>20</v>
      </c>
      <c r="G496" t="s">
        <v>35</v>
      </c>
      <c r="H496" t="s">
        <v>40</v>
      </c>
      <c r="I496">
        <v>11</v>
      </c>
      <c r="J496">
        <v>21.44</v>
      </c>
      <c r="K496">
        <v>12</v>
      </c>
      <c r="L496">
        <v>245</v>
      </c>
      <c r="M496">
        <v>12.87</v>
      </c>
      <c r="N496" t="s">
        <v>23</v>
      </c>
      <c r="O496">
        <v>5</v>
      </c>
      <c r="P496">
        <v>235.84</v>
      </c>
      <c r="Q496">
        <v>247.84</v>
      </c>
      <c r="R496" t="s">
        <v>2054</v>
      </c>
    </row>
    <row r="497" spans="1:18" x14ac:dyDescent="0.25">
      <c r="A497" t="s">
        <v>548</v>
      </c>
      <c r="B497" s="1">
        <v>45206</v>
      </c>
      <c r="C497" s="1">
        <v>45207</v>
      </c>
      <c r="D497" t="s">
        <v>50</v>
      </c>
      <c r="E497" t="s">
        <v>44</v>
      </c>
      <c r="F497" t="s">
        <v>45</v>
      </c>
      <c r="G497" t="s">
        <v>35</v>
      </c>
      <c r="H497" t="s">
        <v>32</v>
      </c>
      <c r="I497">
        <v>3</v>
      </c>
      <c r="J497">
        <v>922.68</v>
      </c>
      <c r="K497">
        <v>25</v>
      </c>
      <c r="L497">
        <v>125</v>
      </c>
      <c r="M497">
        <v>956.32</v>
      </c>
      <c r="N497" t="s">
        <v>23</v>
      </c>
      <c r="O497">
        <v>1</v>
      </c>
      <c r="P497">
        <v>2768.04</v>
      </c>
      <c r="Q497">
        <v>2793.04</v>
      </c>
      <c r="R497" t="s">
        <v>2054</v>
      </c>
    </row>
    <row r="498" spans="1:18" x14ac:dyDescent="0.25">
      <c r="A498" t="s">
        <v>549</v>
      </c>
      <c r="B498" s="1">
        <v>45207</v>
      </c>
      <c r="C498" s="1">
        <v>45218</v>
      </c>
      <c r="D498" t="s">
        <v>50</v>
      </c>
      <c r="E498" t="s">
        <v>44</v>
      </c>
      <c r="F498" t="s">
        <v>45</v>
      </c>
      <c r="G498" t="s">
        <v>35</v>
      </c>
      <c r="H498" t="s">
        <v>40</v>
      </c>
      <c r="I498">
        <v>1</v>
      </c>
      <c r="J498">
        <v>1176.49</v>
      </c>
      <c r="K498">
        <v>37.5</v>
      </c>
      <c r="L498">
        <v>135</v>
      </c>
      <c r="M498">
        <v>393.02</v>
      </c>
      <c r="N498" t="s">
        <v>47</v>
      </c>
      <c r="O498">
        <v>11</v>
      </c>
      <c r="P498">
        <v>1176.49</v>
      </c>
      <c r="Q498">
        <v>1213.99</v>
      </c>
      <c r="R498" t="s">
        <v>2054</v>
      </c>
    </row>
    <row r="499" spans="1:18" x14ac:dyDescent="0.25">
      <c r="A499" t="s">
        <v>550</v>
      </c>
      <c r="B499" s="1">
        <v>45208</v>
      </c>
      <c r="C499" s="1">
        <v>45209</v>
      </c>
      <c r="D499" t="s">
        <v>25</v>
      </c>
      <c r="E499" t="s">
        <v>19</v>
      </c>
      <c r="F499" t="s">
        <v>20</v>
      </c>
      <c r="G499" t="s">
        <v>35</v>
      </c>
      <c r="H499" t="s">
        <v>27</v>
      </c>
      <c r="I499">
        <v>9</v>
      </c>
      <c r="J499">
        <v>31.12</v>
      </c>
      <c r="K499">
        <v>8</v>
      </c>
      <c r="L499">
        <v>286</v>
      </c>
      <c r="M499">
        <v>18.41</v>
      </c>
      <c r="N499" t="s">
        <v>23</v>
      </c>
      <c r="O499">
        <v>1</v>
      </c>
      <c r="P499">
        <v>280.08</v>
      </c>
      <c r="Q499">
        <v>288.08</v>
      </c>
      <c r="R499" t="s">
        <v>2054</v>
      </c>
    </row>
    <row r="500" spans="1:18" x14ac:dyDescent="0.25">
      <c r="A500" t="s">
        <v>551</v>
      </c>
      <c r="B500" s="1">
        <v>45209</v>
      </c>
      <c r="C500" s="1">
        <v>45217</v>
      </c>
      <c r="D500" t="s">
        <v>52</v>
      </c>
      <c r="E500" t="s">
        <v>30</v>
      </c>
      <c r="F500" t="s">
        <v>31</v>
      </c>
      <c r="G500" t="s">
        <v>35</v>
      </c>
      <c r="H500" t="s">
        <v>40</v>
      </c>
      <c r="I500">
        <v>5</v>
      </c>
      <c r="J500">
        <v>106.71</v>
      </c>
      <c r="K500">
        <v>18</v>
      </c>
      <c r="L500">
        <v>133</v>
      </c>
      <c r="M500">
        <v>204.41</v>
      </c>
      <c r="N500" t="s">
        <v>63</v>
      </c>
      <c r="O500">
        <v>8</v>
      </c>
      <c r="P500">
        <v>533.54999999999995</v>
      </c>
      <c r="Q500">
        <v>551.54999999999995</v>
      </c>
      <c r="R500" t="s">
        <v>2054</v>
      </c>
    </row>
    <row r="501" spans="1:18" x14ac:dyDescent="0.25">
      <c r="A501" t="s">
        <v>552</v>
      </c>
      <c r="B501" s="1">
        <v>45210</v>
      </c>
      <c r="C501" s="1">
        <v>45213</v>
      </c>
      <c r="D501" t="s">
        <v>25</v>
      </c>
      <c r="E501" t="s">
        <v>19</v>
      </c>
      <c r="F501" t="s">
        <v>20</v>
      </c>
      <c r="G501" t="s">
        <v>35</v>
      </c>
      <c r="H501" t="s">
        <v>27</v>
      </c>
      <c r="I501">
        <v>14</v>
      </c>
      <c r="J501">
        <v>14.48</v>
      </c>
      <c r="K501">
        <v>8</v>
      </c>
      <c r="L501">
        <v>213</v>
      </c>
      <c r="M501">
        <v>12.22</v>
      </c>
      <c r="N501" t="s">
        <v>23</v>
      </c>
      <c r="O501">
        <v>3</v>
      </c>
      <c r="P501">
        <v>202.72</v>
      </c>
      <c r="Q501">
        <v>210.72</v>
      </c>
      <c r="R501" t="s">
        <v>2054</v>
      </c>
    </row>
    <row r="502" spans="1:18" x14ac:dyDescent="0.25">
      <c r="A502" t="s">
        <v>553</v>
      </c>
      <c r="B502" s="1">
        <v>45211</v>
      </c>
      <c r="C502" s="1">
        <v>45215</v>
      </c>
      <c r="D502" t="s">
        <v>43</v>
      </c>
      <c r="E502" t="s">
        <v>44</v>
      </c>
      <c r="F502" t="s">
        <v>45</v>
      </c>
      <c r="G502" t="s">
        <v>35</v>
      </c>
      <c r="H502" t="s">
        <v>27</v>
      </c>
      <c r="I502">
        <v>2</v>
      </c>
      <c r="J502">
        <v>227.47</v>
      </c>
      <c r="K502">
        <v>25</v>
      </c>
      <c r="L502">
        <v>210</v>
      </c>
      <c r="M502">
        <v>146.72999999999999</v>
      </c>
      <c r="N502" t="s">
        <v>23</v>
      </c>
      <c r="O502">
        <v>4</v>
      </c>
      <c r="P502">
        <v>454.94</v>
      </c>
      <c r="Q502">
        <v>479.94</v>
      </c>
      <c r="R502" t="s">
        <v>2054</v>
      </c>
    </row>
    <row r="503" spans="1:18" x14ac:dyDescent="0.25">
      <c r="A503" t="s">
        <v>554</v>
      </c>
      <c r="B503" s="1">
        <v>45211</v>
      </c>
      <c r="C503" s="1">
        <v>45219</v>
      </c>
      <c r="D503" t="s">
        <v>50</v>
      </c>
      <c r="E503" t="s">
        <v>44</v>
      </c>
      <c r="F503" t="s">
        <v>45</v>
      </c>
      <c r="G503" t="s">
        <v>35</v>
      </c>
      <c r="H503" t="s">
        <v>40</v>
      </c>
      <c r="I503">
        <v>2</v>
      </c>
      <c r="J503">
        <v>402.87</v>
      </c>
      <c r="K503">
        <v>37.5</v>
      </c>
      <c r="L503">
        <v>230</v>
      </c>
      <c r="M503">
        <v>263.26</v>
      </c>
      <c r="N503" t="s">
        <v>63</v>
      </c>
      <c r="O503">
        <v>8</v>
      </c>
      <c r="P503">
        <v>805.74</v>
      </c>
      <c r="Q503">
        <v>843.24</v>
      </c>
      <c r="R503" t="s">
        <v>2054</v>
      </c>
    </row>
    <row r="504" spans="1:18" x14ac:dyDescent="0.25">
      <c r="A504" t="s">
        <v>555</v>
      </c>
      <c r="B504" s="1">
        <v>45211</v>
      </c>
      <c r="C504" s="1">
        <v>45218</v>
      </c>
      <c r="D504" t="s">
        <v>18</v>
      </c>
      <c r="E504" t="s">
        <v>19</v>
      </c>
      <c r="F504" t="s">
        <v>20</v>
      </c>
      <c r="G504" t="s">
        <v>35</v>
      </c>
      <c r="H504" t="s">
        <v>32</v>
      </c>
      <c r="I504">
        <v>7</v>
      </c>
      <c r="J504">
        <v>18.190000000000001</v>
      </c>
      <c r="K504">
        <v>8</v>
      </c>
      <c r="L504">
        <v>0</v>
      </c>
      <c r="M504">
        <v>6.19</v>
      </c>
      <c r="N504" t="s">
        <v>63</v>
      </c>
      <c r="O504">
        <v>7</v>
      </c>
      <c r="P504">
        <v>127.33000000000001</v>
      </c>
      <c r="Q504">
        <v>135.33000000000001</v>
      </c>
      <c r="R504" t="s">
        <v>2056</v>
      </c>
    </row>
    <row r="505" spans="1:18" x14ac:dyDescent="0.25">
      <c r="A505" t="s">
        <v>556</v>
      </c>
      <c r="B505" s="1">
        <v>45211</v>
      </c>
      <c r="C505" s="1">
        <v>45218</v>
      </c>
      <c r="D505" t="s">
        <v>25</v>
      </c>
      <c r="E505" t="s">
        <v>19</v>
      </c>
      <c r="F505" t="s">
        <v>20</v>
      </c>
      <c r="G505" t="s">
        <v>35</v>
      </c>
      <c r="H505" t="s">
        <v>22</v>
      </c>
      <c r="I505">
        <v>8</v>
      </c>
      <c r="J505">
        <v>32.46</v>
      </c>
      <c r="K505">
        <v>8</v>
      </c>
      <c r="L505">
        <v>356</v>
      </c>
      <c r="M505">
        <v>16.78</v>
      </c>
      <c r="N505" t="s">
        <v>63</v>
      </c>
      <c r="O505">
        <v>7</v>
      </c>
      <c r="P505">
        <v>259.68</v>
      </c>
      <c r="Q505">
        <v>267.68</v>
      </c>
      <c r="R505" t="s">
        <v>2054</v>
      </c>
    </row>
    <row r="506" spans="1:18" x14ac:dyDescent="0.25">
      <c r="A506" t="s">
        <v>557</v>
      </c>
      <c r="B506" s="1">
        <v>45212</v>
      </c>
      <c r="C506" s="1">
        <v>45214</v>
      </c>
      <c r="D506" t="s">
        <v>50</v>
      </c>
      <c r="E506" t="s">
        <v>44</v>
      </c>
      <c r="F506" t="s">
        <v>45</v>
      </c>
      <c r="G506" t="s">
        <v>35</v>
      </c>
      <c r="H506" t="s">
        <v>22</v>
      </c>
      <c r="I506">
        <v>1</v>
      </c>
      <c r="J506">
        <v>345.63</v>
      </c>
      <c r="K506">
        <v>25</v>
      </c>
      <c r="L506">
        <v>377</v>
      </c>
      <c r="M506">
        <v>108.47</v>
      </c>
      <c r="N506" t="s">
        <v>23</v>
      </c>
      <c r="O506">
        <v>2</v>
      </c>
      <c r="P506">
        <v>345.63</v>
      </c>
      <c r="Q506">
        <v>370.63</v>
      </c>
      <c r="R506" t="s">
        <v>2054</v>
      </c>
    </row>
    <row r="507" spans="1:18" x14ac:dyDescent="0.25">
      <c r="A507" t="s">
        <v>558</v>
      </c>
      <c r="B507" s="1">
        <v>45212</v>
      </c>
      <c r="C507" s="1">
        <v>45217</v>
      </c>
      <c r="D507" t="s">
        <v>43</v>
      </c>
      <c r="E507" t="s">
        <v>44</v>
      </c>
      <c r="F507" t="s">
        <v>45</v>
      </c>
      <c r="G507" t="s">
        <v>21</v>
      </c>
      <c r="H507" t="s">
        <v>27</v>
      </c>
      <c r="I507">
        <v>1</v>
      </c>
      <c r="J507">
        <v>1042.19</v>
      </c>
      <c r="K507">
        <v>25</v>
      </c>
      <c r="L507">
        <v>399</v>
      </c>
      <c r="M507">
        <v>352.27</v>
      </c>
      <c r="N507" t="s">
        <v>23</v>
      </c>
      <c r="O507">
        <v>5</v>
      </c>
      <c r="P507">
        <v>1042.19</v>
      </c>
      <c r="Q507">
        <v>1067.19</v>
      </c>
      <c r="R507" t="s">
        <v>2054</v>
      </c>
    </row>
    <row r="508" spans="1:18" x14ac:dyDescent="0.25">
      <c r="A508" t="s">
        <v>559</v>
      </c>
      <c r="B508" s="1">
        <v>45213</v>
      </c>
      <c r="C508" s="1">
        <v>45215</v>
      </c>
      <c r="D508" t="s">
        <v>82</v>
      </c>
      <c r="E508" t="s">
        <v>79</v>
      </c>
      <c r="F508" t="s">
        <v>80</v>
      </c>
      <c r="G508" t="s">
        <v>26</v>
      </c>
      <c r="H508" t="s">
        <v>27</v>
      </c>
      <c r="I508">
        <v>3</v>
      </c>
      <c r="J508">
        <v>140.47</v>
      </c>
      <c r="K508">
        <v>12</v>
      </c>
      <c r="L508">
        <v>239</v>
      </c>
      <c r="M508">
        <v>183.63</v>
      </c>
      <c r="N508" t="s">
        <v>23</v>
      </c>
      <c r="O508">
        <v>2</v>
      </c>
      <c r="P508">
        <v>421.40999999999997</v>
      </c>
      <c r="Q508">
        <v>433.40999999999997</v>
      </c>
      <c r="R508" t="s">
        <v>2054</v>
      </c>
    </row>
    <row r="509" spans="1:18" x14ac:dyDescent="0.25">
      <c r="A509" t="s">
        <v>560</v>
      </c>
      <c r="B509" s="1">
        <v>45213</v>
      </c>
      <c r="C509" s="1">
        <v>45215</v>
      </c>
      <c r="D509" t="s">
        <v>82</v>
      </c>
      <c r="E509" t="s">
        <v>79</v>
      </c>
      <c r="F509" t="s">
        <v>80</v>
      </c>
      <c r="G509" t="s">
        <v>26</v>
      </c>
      <c r="H509" t="s">
        <v>27</v>
      </c>
      <c r="I509">
        <v>2</v>
      </c>
      <c r="J509">
        <v>33.630000000000003</v>
      </c>
      <c r="K509">
        <v>12</v>
      </c>
      <c r="L509">
        <v>122</v>
      </c>
      <c r="M509">
        <v>24.27</v>
      </c>
      <c r="N509" t="s">
        <v>23</v>
      </c>
      <c r="O509">
        <v>2</v>
      </c>
      <c r="P509">
        <v>67.260000000000005</v>
      </c>
      <c r="Q509">
        <v>79.260000000000005</v>
      </c>
      <c r="R509" t="s">
        <v>2054</v>
      </c>
    </row>
    <row r="510" spans="1:18" x14ac:dyDescent="0.25">
      <c r="A510" t="s">
        <v>561</v>
      </c>
      <c r="B510" s="1">
        <v>45213</v>
      </c>
      <c r="C510" s="1">
        <v>45215</v>
      </c>
      <c r="D510" t="s">
        <v>72</v>
      </c>
      <c r="E510" t="s">
        <v>44</v>
      </c>
      <c r="F510" t="s">
        <v>45</v>
      </c>
      <c r="G510" t="s">
        <v>26</v>
      </c>
      <c r="H510" t="s">
        <v>27</v>
      </c>
      <c r="I510">
        <v>2</v>
      </c>
      <c r="J510">
        <v>390.38</v>
      </c>
      <c r="K510">
        <v>25</v>
      </c>
      <c r="L510">
        <v>72</v>
      </c>
      <c r="M510">
        <v>260.77</v>
      </c>
      <c r="N510" t="s">
        <v>23</v>
      </c>
      <c r="O510">
        <v>2</v>
      </c>
      <c r="P510">
        <v>780.76</v>
      </c>
      <c r="Q510">
        <v>805.76</v>
      </c>
      <c r="R510" t="s">
        <v>2054</v>
      </c>
    </row>
    <row r="511" spans="1:18" x14ac:dyDescent="0.25">
      <c r="A511" t="s">
        <v>562</v>
      </c>
      <c r="B511" s="1">
        <v>45214</v>
      </c>
      <c r="C511" s="1">
        <v>45216</v>
      </c>
      <c r="D511" t="s">
        <v>82</v>
      </c>
      <c r="E511" t="s">
        <v>79</v>
      </c>
      <c r="F511" t="s">
        <v>80</v>
      </c>
      <c r="G511" t="s">
        <v>35</v>
      </c>
      <c r="H511" t="s">
        <v>40</v>
      </c>
      <c r="I511">
        <v>4</v>
      </c>
      <c r="J511">
        <v>95.21</v>
      </c>
      <c r="K511">
        <v>18</v>
      </c>
      <c r="L511">
        <v>383</v>
      </c>
      <c r="M511">
        <v>-57.13</v>
      </c>
      <c r="N511" t="s">
        <v>23</v>
      </c>
      <c r="O511">
        <v>2</v>
      </c>
      <c r="P511">
        <v>380.84</v>
      </c>
      <c r="Q511">
        <v>398.84</v>
      </c>
      <c r="R511" t="s">
        <v>2054</v>
      </c>
    </row>
    <row r="512" spans="1:18" x14ac:dyDescent="0.25">
      <c r="A512" t="s">
        <v>563</v>
      </c>
      <c r="B512" s="1">
        <v>45214</v>
      </c>
      <c r="C512" s="1">
        <v>45216</v>
      </c>
      <c r="D512" t="s">
        <v>50</v>
      </c>
      <c r="E512" t="s">
        <v>44</v>
      </c>
      <c r="F512" t="s">
        <v>45</v>
      </c>
      <c r="G512" t="s">
        <v>26</v>
      </c>
      <c r="H512" t="s">
        <v>22</v>
      </c>
      <c r="I512">
        <v>1</v>
      </c>
      <c r="J512">
        <v>1093.97</v>
      </c>
      <c r="K512">
        <v>25</v>
      </c>
      <c r="L512">
        <v>309</v>
      </c>
      <c r="M512">
        <v>370.39</v>
      </c>
      <c r="N512" t="s">
        <v>23</v>
      </c>
      <c r="O512">
        <v>2</v>
      </c>
      <c r="P512">
        <v>1093.97</v>
      </c>
      <c r="Q512">
        <v>1118.97</v>
      </c>
      <c r="R512" t="s">
        <v>2054</v>
      </c>
    </row>
    <row r="513" spans="1:18" x14ac:dyDescent="0.25">
      <c r="A513" t="s">
        <v>564</v>
      </c>
      <c r="B513" s="1">
        <v>45215</v>
      </c>
      <c r="C513" s="1">
        <v>45218</v>
      </c>
      <c r="D513" t="s">
        <v>25</v>
      </c>
      <c r="E513" t="s">
        <v>19</v>
      </c>
      <c r="F513" t="s">
        <v>20</v>
      </c>
      <c r="G513" t="s">
        <v>26</v>
      </c>
      <c r="H513" t="s">
        <v>22</v>
      </c>
      <c r="I513">
        <v>14</v>
      </c>
      <c r="J513">
        <v>16.77</v>
      </c>
      <c r="K513">
        <v>8</v>
      </c>
      <c r="L513">
        <v>8</v>
      </c>
      <c r="M513">
        <v>-35.21</v>
      </c>
      <c r="N513" t="s">
        <v>23</v>
      </c>
      <c r="O513">
        <v>3</v>
      </c>
      <c r="P513">
        <v>234.78</v>
      </c>
      <c r="Q513">
        <v>242.78</v>
      </c>
      <c r="R513" t="s">
        <v>2056</v>
      </c>
    </row>
    <row r="514" spans="1:18" x14ac:dyDescent="0.25">
      <c r="A514" t="s">
        <v>565</v>
      </c>
      <c r="B514" s="1">
        <v>45215</v>
      </c>
      <c r="C514" s="1">
        <v>45220</v>
      </c>
      <c r="D514" t="s">
        <v>118</v>
      </c>
      <c r="E514" t="s">
        <v>79</v>
      </c>
      <c r="F514" t="s">
        <v>80</v>
      </c>
      <c r="G514" t="s">
        <v>35</v>
      </c>
      <c r="H514" t="s">
        <v>40</v>
      </c>
      <c r="I514">
        <v>3</v>
      </c>
      <c r="J514">
        <v>72.040000000000006</v>
      </c>
      <c r="K514">
        <v>18</v>
      </c>
      <c r="L514">
        <v>303</v>
      </c>
      <c r="M514">
        <v>-32.42</v>
      </c>
      <c r="N514" t="s">
        <v>23</v>
      </c>
      <c r="O514">
        <v>5</v>
      </c>
      <c r="P514">
        <v>216.12</v>
      </c>
      <c r="Q514">
        <v>234.12</v>
      </c>
      <c r="R514" t="s">
        <v>2054</v>
      </c>
    </row>
    <row r="515" spans="1:18" x14ac:dyDescent="0.25">
      <c r="A515" t="s">
        <v>566</v>
      </c>
      <c r="B515" s="1">
        <v>45217</v>
      </c>
      <c r="C515" s="1">
        <v>45221</v>
      </c>
      <c r="D515" t="s">
        <v>118</v>
      </c>
      <c r="E515" t="s">
        <v>79</v>
      </c>
      <c r="F515" t="s">
        <v>80</v>
      </c>
      <c r="G515" t="s">
        <v>26</v>
      </c>
      <c r="H515" t="s">
        <v>32</v>
      </c>
      <c r="I515">
        <v>5</v>
      </c>
      <c r="J515">
        <v>87.56</v>
      </c>
      <c r="K515">
        <v>12</v>
      </c>
      <c r="L515">
        <v>277</v>
      </c>
      <c r="M515">
        <v>191.01</v>
      </c>
      <c r="N515" t="s">
        <v>23</v>
      </c>
      <c r="O515">
        <v>4</v>
      </c>
      <c r="P515">
        <v>437.8</v>
      </c>
      <c r="Q515">
        <v>449.8</v>
      </c>
      <c r="R515" t="s">
        <v>2054</v>
      </c>
    </row>
    <row r="516" spans="1:18" x14ac:dyDescent="0.25">
      <c r="A516" t="s">
        <v>567</v>
      </c>
      <c r="B516" s="1">
        <v>45217</v>
      </c>
      <c r="C516" s="1">
        <v>45222</v>
      </c>
      <c r="D516" t="s">
        <v>82</v>
      </c>
      <c r="E516" t="s">
        <v>79</v>
      </c>
      <c r="F516" t="s">
        <v>80</v>
      </c>
      <c r="G516" t="s">
        <v>35</v>
      </c>
      <c r="H516" t="s">
        <v>40</v>
      </c>
      <c r="I516">
        <v>2</v>
      </c>
      <c r="J516">
        <v>142.31</v>
      </c>
      <c r="K516">
        <v>18</v>
      </c>
      <c r="L516">
        <v>277</v>
      </c>
      <c r="M516">
        <v>119.08</v>
      </c>
      <c r="N516" t="s">
        <v>23</v>
      </c>
      <c r="O516">
        <v>5</v>
      </c>
      <c r="P516">
        <v>284.62</v>
      </c>
      <c r="Q516">
        <v>302.62</v>
      </c>
      <c r="R516" t="s">
        <v>2054</v>
      </c>
    </row>
    <row r="517" spans="1:18" x14ac:dyDescent="0.25">
      <c r="A517" t="s">
        <v>568</v>
      </c>
      <c r="B517" s="1">
        <v>45219</v>
      </c>
      <c r="C517" s="1">
        <v>45222</v>
      </c>
      <c r="D517" t="s">
        <v>34</v>
      </c>
      <c r="E517" t="s">
        <v>30</v>
      </c>
      <c r="F517" t="s">
        <v>31</v>
      </c>
      <c r="G517" t="s">
        <v>21</v>
      </c>
      <c r="H517" t="s">
        <v>27</v>
      </c>
      <c r="I517">
        <v>4</v>
      </c>
      <c r="J517">
        <v>67.39</v>
      </c>
      <c r="K517">
        <v>12</v>
      </c>
      <c r="L517">
        <v>256</v>
      </c>
      <c r="M517">
        <v>101.83</v>
      </c>
      <c r="N517" t="s">
        <v>23</v>
      </c>
      <c r="O517">
        <v>3</v>
      </c>
      <c r="P517">
        <v>269.56</v>
      </c>
      <c r="Q517">
        <v>281.56</v>
      </c>
      <c r="R517" t="s">
        <v>2054</v>
      </c>
    </row>
    <row r="518" spans="1:18" x14ac:dyDescent="0.25">
      <c r="A518" t="s">
        <v>569</v>
      </c>
      <c r="B518" s="1">
        <v>45219</v>
      </c>
      <c r="C518" s="1">
        <v>45234</v>
      </c>
      <c r="D518" t="s">
        <v>34</v>
      </c>
      <c r="E518" t="s">
        <v>30</v>
      </c>
      <c r="F518" t="s">
        <v>31</v>
      </c>
      <c r="G518" t="s">
        <v>35</v>
      </c>
      <c r="H518" t="s">
        <v>40</v>
      </c>
      <c r="I518">
        <v>5</v>
      </c>
      <c r="J518">
        <v>93.95</v>
      </c>
      <c r="K518">
        <v>18</v>
      </c>
      <c r="L518">
        <v>283</v>
      </c>
      <c r="M518">
        <v>178.89</v>
      </c>
      <c r="N518" t="s">
        <v>47</v>
      </c>
      <c r="O518">
        <v>15</v>
      </c>
      <c r="P518">
        <v>469.75</v>
      </c>
      <c r="Q518">
        <v>487.75</v>
      </c>
      <c r="R518" t="s">
        <v>2054</v>
      </c>
    </row>
    <row r="519" spans="1:18" x14ac:dyDescent="0.25">
      <c r="A519" t="s">
        <v>570</v>
      </c>
      <c r="B519" s="1">
        <v>45220</v>
      </c>
      <c r="C519" s="1">
        <v>45222</v>
      </c>
      <c r="D519" t="s">
        <v>50</v>
      </c>
      <c r="E519" t="s">
        <v>44</v>
      </c>
      <c r="F519" t="s">
        <v>45</v>
      </c>
      <c r="G519" t="s">
        <v>26</v>
      </c>
      <c r="H519" t="s">
        <v>22</v>
      </c>
      <c r="I519">
        <v>2</v>
      </c>
      <c r="J519">
        <v>519.72</v>
      </c>
      <c r="K519">
        <v>25</v>
      </c>
      <c r="L519">
        <v>271</v>
      </c>
      <c r="M519">
        <v>351.3</v>
      </c>
      <c r="N519" t="s">
        <v>23</v>
      </c>
      <c r="O519">
        <v>2</v>
      </c>
      <c r="P519">
        <v>1039.44</v>
      </c>
      <c r="Q519">
        <v>1064.44</v>
      </c>
      <c r="R519" t="s">
        <v>2054</v>
      </c>
    </row>
    <row r="520" spans="1:18" x14ac:dyDescent="0.25">
      <c r="A520" t="s">
        <v>571</v>
      </c>
      <c r="B520" s="1">
        <v>45221</v>
      </c>
      <c r="C520" s="1">
        <v>45226</v>
      </c>
      <c r="D520" t="s">
        <v>37</v>
      </c>
      <c r="E520" t="s">
        <v>38</v>
      </c>
      <c r="F520" t="s">
        <v>39</v>
      </c>
      <c r="G520" t="s">
        <v>26</v>
      </c>
      <c r="H520" t="s">
        <v>27</v>
      </c>
      <c r="I520">
        <v>2</v>
      </c>
      <c r="J520">
        <v>352.48</v>
      </c>
      <c r="K520">
        <v>75</v>
      </c>
      <c r="L520">
        <v>329</v>
      </c>
      <c r="M520">
        <v>103.49</v>
      </c>
      <c r="N520" t="s">
        <v>23</v>
      </c>
      <c r="O520">
        <v>5</v>
      </c>
      <c r="P520">
        <v>704.96</v>
      </c>
      <c r="Q520">
        <v>779.96</v>
      </c>
      <c r="R520" t="s">
        <v>2054</v>
      </c>
    </row>
    <row r="521" spans="1:18" x14ac:dyDescent="0.25">
      <c r="A521" t="s">
        <v>572</v>
      </c>
      <c r="B521" s="1">
        <v>45221</v>
      </c>
      <c r="C521" s="1">
        <v>45226</v>
      </c>
      <c r="D521" t="s">
        <v>37</v>
      </c>
      <c r="E521" t="s">
        <v>38</v>
      </c>
      <c r="F521" t="s">
        <v>39</v>
      </c>
      <c r="G521" t="s">
        <v>26</v>
      </c>
      <c r="H521" t="s">
        <v>22</v>
      </c>
      <c r="I521">
        <v>1</v>
      </c>
      <c r="J521">
        <v>244.71</v>
      </c>
      <c r="K521">
        <v>75</v>
      </c>
      <c r="L521">
        <v>393</v>
      </c>
      <c r="M521">
        <v>11.44</v>
      </c>
      <c r="N521" t="s">
        <v>23</v>
      </c>
      <c r="O521">
        <v>5</v>
      </c>
      <c r="P521">
        <v>244.71</v>
      </c>
      <c r="Q521">
        <v>319.71000000000004</v>
      </c>
      <c r="R521" t="s">
        <v>2054</v>
      </c>
    </row>
    <row r="522" spans="1:18" x14ac:dyDescent="0.25">
      <c r="A522" t="s">
        <v>573</v>
      </c>
      <c r="B522" s="1">
        <v>45222</v>
      </c>
      <c r="C522" s="1">
        <v>45225</v>
      </c>
      <c r="D522" t="s">
        <v>56</v>
      </c>
      <c r="E522" t="s">
        <v>38</v>
      </c>
      <c r="F522" t="s">
        <v>39</v>
      </c>
      <c r="G522" t="s">
        <v>21</v>
      </c>
      <c r="H522" t="s">
        <v>32</v>
      </c>
      <c r="I522">
        <v>1</v>
      </c>
      <c r="J522">
        <v>330.87</v>
      </c>
      <c r="K522">
        <v>75</v>
      </c>
      <c r="L522">
        <v>281</v>
      </c>
      <c r="M522">
        <v>28.67</v>
      </c>
      <c r="N522" t="s">
        <v>23</v>
      </c>
      <c r="O522">
        <v>3</v>
      </c>
      <c r="P522">
        <v>330.87</v>
      </c>
      <c r="Q522">
        <v>405.87</v>
      </c>
      <c r="R522" t="s">
        <v>2054</v>
      </c>
    </row>
    <row r="523" spans="1:18" x14ac:dyDescent="0.25">
      <c r="A523" t="s">
        <v>574</v>
      </c>
      <c r="B523" s="1">
        <v>45222</v>
      </c>
      <c r="C523" s="1">
        <v>45225</v>
      </c>
      <c r="D523" t="s">
        <v>52</v>
      </c>
      <c r="E523" t="s">
        <v>30</v>
      </c>
      <c r="F523" t="s">
        <v>31</v>
      </c>
      <c r="G523" t="s">
        <v>21</v>
      </c>
      <c r="H523" t="s">
        <v>22</v>
      </c>
      <c r="I523">
        <v>2</v>
      </c>
      <c r="J523">
        <v>30.59</v>
      </c>
      <c r="K523">
        <v>12</v>
      </c>
      <c r="L523">
        <v>252</v>
      </c>
      <c r="M523">
        <v>18.47</v>
      </c>
      <c r="N523" t="s">
        <v>23</v>
      </c>
      <c r="O523">
        <v>3</v>
      </c>
      <c r="P523">
        <v>61.18</v>
      </c>
      <c r="Q523">
        <v>73.180000000000007</v>
      </c>
      <c r="R523" t="s">
        <v>2054</v>
      </c>
    </row>
    <row r="524" spans="1:18" x14ac:dyDescent="0.25">
      <c r="A524" t="s">
        <v>575</v>
      </c>
      <c r="B524" s="1">
        <v>45222</v>
      </c>
      <c r="C524" s="1">
        <v>45223</v>
      </c>
      <c r="D524" t="s">
        <v>18</v>
      </c>
      <c r="E524" t="s">
        <v>19</v>
      </c>
      <c r="F524" t="s">
        <v>20</v>
      </c>
      <c r="G524" t="s">
        <v>21</v>
      </c>
      <c r="H524" t="s">
        <v>32</v>
      </c>
      <c r="I524">
        <v>10</v>
      </c>
      <c r="J524">
        <v>49.16</v>
      </c>
      <c r="K524">
        <v>8</v>
      </c>
      <c r="L524">
        <v>225</v>
      </c>
      <c r="M524">
        <v>35.33</v>
      </c>
      <c r="N524" t="s">
        <v>23</v>
      </c>
      <c r="O524">
        <v>1</v>
      </c>
      <c r="P524">
        <v>491.59999999999997</v>
      </c>
      <c r="Q524">
        <v>499.59999999999997</v>
      </c>
      <c r="R524" t="s">
        <v>2054</v>
      </c>
    </row>
    <row r="525" spans="1:18" x14ac:dyDescent="0.25">
      <c r="A525" t="s">
        <v>576</v>
      </c>
      <c r="B525" s="1">
        <v>45224</v>
      </c>
      <c r="C525" s="1">
        <v>45227</v>
      </c>
      <c r="D525" t="s">
        <v>72</v>
      </c>
      <c r="E525" t="s">
        <v>44</v>
      </c>
      <c r="F525" t="s">
        <v>45</v>
      </c>
      <c r="G525" t="s">
        <v>35</v>
      </c>
      <c r="H525" t="s">
        <v>22</v>
      </c>
      <c r="I525">
        <v>1</v>
      </c>
      <c r="J525">
        <v>447.46</v>
      </c>
      <c r="K525">
        <v>25</v>
      </c>
      <c r="L525">
        <v>377</v>
      </c>
      <c r="M525">
        <v>144.11000000000001</v>
      </c>
      <c r="N525" t="s">
        <v>23</v>
      </c>
      <c r="O525">
        <v>3</v>
      </c>
      <c r="P525">
        <v>447.46</v>
      </c>
      <c r="Q525">
        <v>472.46</v>
      </c>
      <c r="R525" t="s">
        <v>2054</v>
      </c>
    </row>
    <row r="526" spans="1:18" x14ac:dyDescent="0.25">
      <c r="A526" t="s">
        <v>577</v>
      </c>
      <c r="B526" s="1">
        <v>45227</v>
      </c>
      <c r="C526" s="1">
        <v>45230</v>
      </c>
      <c r="D526" t="s">
        <v>58</v>
      </c>
      <c r="E526" t="s">
        <v>19</v>
      </c>
      <c r="F526" t="s">
        <v>20</v>
      </c>
      <c r="G526" t="s">
        <v>21</v>
      </c>
      <c r="H526" t="s">
        <v>32</v>
      </c>
      <c r="I526">
        <v>14</v>
      </c>
      <c r="J526">
        <v>37.909999999999997</v>
      </c>
      <c r="K526">
        <v>8</v>
      </c>
      <c r="L526">
        <v>6</v>
      </c>
      <c r="M526">
        <v>38.46</v>
      </c>
      <c r="N526" t="s">
        <v>23</v>
      </c>
      <c r="O526">
        <v>3</v>
      </c>
      <c r="P526">
        <v>530.74</v>
      </c>
      <c r="Q526">
        <v>538.74</v>
      </c>
      <c r="R526" t="s">
        <v>2056</v>
      </c>
    </row>
    <row r="527" spans="1:18" x14ac:dyDescent="0.25">
      <c r="A527" t="s">
        <v>578</v>
      </c>
      <c r="B527" s="1">
        <v>45228</v>
      </c>
      <c r="C527" s="1">
        <v>45232</v>
      </c>
      <c r="D527" t="s">
        <v>29</v>
      </c>
      <c r="E527" t="s">
        <v>30</v>
      </c>
      <c r="F527" t="s">
        <v>31</v>
      </c>
      <c r="G527" t="s">
        <v>35</v>
      </c>
      <c r="H527" t="s">
        <v>32</v>
      </c>
      <c r="I527">
        <v>5</v>
      </c>
      <c r="J527">
        <v>79.569999999999993</v>
      </c>
      <c r="K527">
        <v>12</v>
      </c>
      <c r="L527">
        <v>394</v>
      </c>
      <c r="M527">
        <v>153.13</v>
      </c>
      <c r="N527" t="s">
        <v>23</v>
      </c>
      <c r="O527">
        <v>4</v>
      </c>
      <c r="P527">
        <v>397.84999999999997</v>
      </c>
      <c r="Q527">
        <v>409.84999999999997</v>
      </c>
      <c r="R527" t="s">
        <v>2054</v>
      </c>
    </row>
    <row r="528" spans="1:18" x14ac:dyDescent="0.25">
      <c r="A528" t="s">
        <v>579</v>
      </c>
      <c r="B528" s="1">
        <v>45228</v>
      </c>
      <c r="C528" s="1">
        <v>45229</v>
      </c>
      <c r="D528" t="s">
        <v>82</v>
      </c>
      <c r="E528" t="s">
        <v>79</v>
      </c>
      <c r="F528" t="s">
        <v>80</v>
      </c>
      <c r="G528" t="s">
        <v>26</v>
      </c>
      <c r="H528" t="s">
        <v>22</v>
      </c>
      <c r="I528">
        <v>4</v>
      </c>
      <c r="J528">
        <v>53.4</v>
      </c>
      <c r="K528">
        <v>12</v>
      </c>
      <c r="L528">
        <v>242</v>
      </c>
      <c r="M528">
        <v>90.12</v>
      </c>
      <c r="N528" t="s">
        <v>23</v>
      </c>
      <c r="O528">
        <v>1</v>
      </c>
      <c r="P528">
        <v>213.6</v>
      </c>
      <c r="Q528">
        <v>225.6</v>
      </c>
      <c r="R528" t="s">
        <v>2054</v>
      </c>
    </row>
    <row r="529" spans="1:18" x14ac:dyDescent="0.25">
      <c r="A529" t="s">
        <v>580</v>
      </c>
      <c r="B529" s="1">
        <v>45228</v>
      </c>
      <c r="C529" s="1">
        <v>45233</v>
      </c>
      <c r="D529" t="s">
        <v>58</v>
      </c>
      <c r="E529" t="s">
        <v>19</v>
      </c>
      <c r="F529" t="s">
        <v>20</v>
      </c>
      <c r="G529" t="s">
        <v>21</v>
      </c>
      <c r="H529" t="s">
        <v>27</v>
      </c>
      <c r="I529">
        <v>13</v>
      </c>
      <c r="J529">
        <v>47.42</v>
      </c>
      <c r="K529">
        <v>8</v>
      </c>
      <c r="L529">
        <v>50</v>
      </c>
      <c r="M529">
        <v>-92.47</v>
      </c>
      <c r="N529" t="s">
        <v>23</v>
      </c>
      <c r="O529">
        <v>5</v>
      </c>
      <c r="P529">
        <v>616.46</v>
      </c>
      <c r="Q529">
        <v>624.46</v>
      </c>
      <c r="R529" t="s">
        <v>2055</v>
      </c>
    </row>
    <row r="530" spans="1:18" x14ac:dyDescent="0.25">
      <c r="A530" t="s">
        <v>581</v>
      </c>
      <c r="B530" s="1">
        <v>45228</v>
      </c>
      <c r="C530" s="1">
        <v>45231</v>
      </c>
      <c r="D530" t="s">
        <v>82</v>
      </c>
      <c r="E530" t="s">
        <v>79</v>
      </c>
      <c r="F530" t="s">
        <v>80</v>
      </c>
      <c r="G530" t="s">
        <v>21</v>
      </c>
      <c r="H530" t="s">
        <v>32</v>
      </c>
      <c r="I530">
        <v>1</v>
      </c>
      <c r="J530">
        <v>88.91</v>
      </c>
      <c r="K530">
        <v>12</v>
      </c>
      <c r="L530">
        <v>66</v>
      </c>
      <c r="M530">
        <v>34.01</v>
      </c>
      <c r="N530" t="s">
        <v>23</v>
      </c>
      <c r="O530">
        <v>3</v>
      </c>
      <c r="P530">
        <v>88.91</v>
      </c>
      <c r="Q530">
        <v>100.91</v>
      </c>
      <c r="R530" t="s">
        <v>2054</v>
      </c>
    </row>
    <row r="531" spans="1:18" x14ac:dyDescent="0.25">
      <c r="A531" t="s">
        <v>582</v>
      </c>
      <c r="B531" s="1">
        <v>45229</v>
      </c>
      <c r="C531" s="1">
        <v>45230</v>
      </c>
      <c r="D531" t="s">
        <v>118</v>
      </c>
      <c r="E531" t="s">
        <v>79</v>
      </c>
      <c r="F531" t="s">
        <v>80</v>
      </c>
      <c r="G531" t="s">
        <v>35</v>
      </c>
      <c r="H531" t="s">
        <v>40</v>
      </c>
      <c r="I531">
        <v>1</v>
      </c>
      <c r="J531">
        <v>31.46</v>
      </c>
      <c r="K531">
        <v>18</v>
      </c>
      <c r="L531">
        <v>308</v>
      </c>
      <c r="M531">
        <v>5.16</v>
      </c>
      <c r="N531" t="s">
        <v>23</v>
      </c>
      <c r="O531">
        <v>1</v>
      </c>
      <c r="P531">
        <v>31.46</v>
      </c>
      <c r="Q531">
        <v>49.46</v>
      </c>
      <c r="R531" t="s">
        <v>2054</v>
      </c>
    </row>
    <row r="532" spans="1:18" x14ac:dyDescent="0.25">
      <c r="A532" t="s">
        <v>583</v>
      </c>
      <c r="B532" s="1">
        <v>45229</v>
      </c>
      <c r="C532" s="1">
        <v>45233</v>
      </c>
      <c r="D532" t="s">
        <v>54</v>
      </c>
      <c r="E532" t="s">
        <v>38</v>
      </c>
      <c r="F532" t="s">
        <v>39</v>
      </c>
      <c r="G532" t="s">
        <v>26</v>
      </c>
      <c r="H532" t="s">
        <v>22</v>
      </c>
      <c r="I532">
        <v>2</v>
      </c>
      <c r="J532">
        <v>276.14999999999998</v>
      </c>
      <c r="K532">
        <v>75</v>
      </c>
      <c r="L532">
        <v>133</v>
      </c>
      <c r="M532">
        <v>72.959999999999994</v>
      </c>
      <c r="N532" t="s">
        <v>23</v>
      </c>
      <c r="O532">
        <v>4</v>
      </c>
      <c r="P532">
        <v>552.29999999999995</v>
      </c>
      <c r="Q532">
        <v>627.29999999999995</v>
      </c>
      <c r="R532" t="s">
        <v>2054</v>
      </c>
    </row>
    <row r="533" spans="1:18" x14ac:dyDescent="0.25">
      <c r="A533" t="s">
        <v>584</v>
      </c>
      <c r="B533" s="1">
        <v>45229</v>
      </c>
      <c r="C533" s="1">
        <v>45233</v>
      </c>
      <c r="D533" t="s">
        <v>118</v>
      </c>
      <c r="E533" t="s">
        <v>79</v>
      </c>
      <c r="F533" t="s">
        <v>80</v>
      </c>
      <c r="G533" t="s">
        <v>35</v>
      </c>
      <c r="H533" t="s">
        <v>27</v>
      </c>
      <c r="I533">
        <v>1</v>
      </c>
      <c r="J533">
        <v>86.57</v>
      </c>
      <c r="K533">
        <v>12</v>
      </c>
      <c r="L533">
        <v>319</v>
      </c>
      <c r="M533">
        <v>32.96</v>
      </c>
      <c r="N533" t="s">
        <v>23</v>
      </c>
      <c r="O533">
        <v>4</v>
      </c>
      <c r="P533">
        <v>86.57</v>
      </c>
      <c r="Q533">
        <v>98.57</v>
      </c>
      <c r="R533" t="s">
        <v>2054</v>
      </c>
    </row>
    <row r="534" spans="1:18" x14ac:dyDescent="0.25">
      <c r="A534" t="s">
        <v>585</v>
      </c>
      <c r="B534" s="1">
        <v>45230</v>
      </c>
      <c r="C534" s="1">
        <v>45234</v>
      </c>
      <c r="D534" t="s">
        <v>56</v>
      </c>
      <c r="E534" t="s">
        <v>38</v>
      </c>
      <c r="F534" t="s">
        <v>39</v>
      </c>
      <c r="G534" t="s">
        <v>35</v>
      </c>
      <c r="H534" t="s">
        <v>40</v>
      </c>
      <c r="I534">
        <v>1</v>
      </c>
      <c r="J534">
        <v>394.1</v>
      </c>
      <c r="K534">
        <v>112.5</v>
      </c>
      <c r="L534">
        <v>141</v>
      </c>
      <c r="M534">
        <v>22.57</v>
      </c>
      <c r="N534" t="s">
        <v>23</v>
      </c>
      <c r="O534">
        <v>4</v>
      </c>
      <c r="P534">
        <v>394.1</v>
      </c>
      <c r="Q534">
        <v>506.6</v>
      </c>
      <c r="R534" t="s">
        <v>2054</v>
      </c>
    </row>
    <row r="535" spans="1:18" x14ac:dyDescent="0.25">
      <c r="A535" t="s">
        <v>586</v>
      </c>
      <c r="B535" s="1">
        <v>45231</v>
      </c>
      <c r="C535" s="1">
        <v>45235</v>
      </c>
      <c r="D535" t="s">
        <v>43</v>
      </c>
      <c r="E535" t="s">
        <v>44</v>
      </c>
      <c r="F535" t="s">
        <v>45</v>
      </c>
      <c r="G535" t="s">
        <v>35</v>
      </c>
      <c r="H535" t="s">
        <v>40</v>
      </c>
      <c r="I535">
        <v>1</v>
      </c>
      <c r="J535">
        <v>930.13</v>
      </c>
      <c r="K535">
        <v>37.5</v>
      </c>
      <c r="L535">
        <v>365</v>
      </c>
      <c r="M535">
        <v>306.8</v>
      </c>
      <c r="N535" t="s">
        <v>23</v>
      </c>
      <c r="O535">
        <v>4</v>
      </c>
      <c r="P535">
        <v>930.13</v>
      </c>
      <c r="Q535">
        <v>967.63</v>
      </c>
      <c r="R535" t="s">
        <v>2054</v>
      </c>
    </row>
    <row r="536" spans="1:18" x14ac:dyDescent="0.25">
      <c r="A536" t="s">
        <v>587</v>
      </c>
      <c r="B536" s="1">
        <v>45231</v>
      </c>
      <c r="C536" s="1">
        <v>45234</v>
      </c>
      <c r="D536" t="s">
        <v>118</v>
      </c>
      <c r="E536" t="s">
        <v>79</v>
      </c>
      <c r="F536" t="s">
        <v>80</v>
      </c>
      <c r="G536" t="s">
        <v>21</v>
      </c>
      <c r="H536" t="s">
        <v>32</v>
      </c>
      <c r="I536">
        <v>5</v>
      </c>
      <c r="J536">
        <v>93.08</v>
      </c>
      <c r="K536">
        <v>12</v>
      </c>
      <c r="L536">
        <v>333</v>
      </c>
      <c r="M536">
        <v>203.43</v>
      </c>
      <c r="N536" t="s">
        <v>23</v>
      </c>
      <c r="O536">
        <v>3</v>
      </c>
      <c r="P536">
        <v>465.4</v>
      </c>
      <c r="Q536">
        <v>477.4</v>
      </c>
      <c r="R536" t="s">
        <v>2054</v>
      </c>
    </row>
    <row r="537" spans="1:18" x14ac:dyDescent="0.25">
      <c r="A537" t="s">
        <v>588</v>
      </c>
      <c r="B537" s="1">
        <v>45231</v>
      </c>
      <c r="C537" s="1">
        <v>45243</v>
      </c>
      <c r="D537" t="s">
        <v>78</v>
      </c>
      <c r="E537" t="s">
        <v>79</v>
      </c>
      <c r="F537" t="s">
        <v>80</v>
      </c>
      <c r="G537" t="s">
        <v>35</v>
      </c>
      <c r="H537" t="s">
        <v>27</v>
      </c>
      <c r="I537">
        <v>5</v>
      </c>
      <c r="J537">
        <v>105.39</v>
      </c>
      <c r="K537">
        <v>12</v>
      </c>
      <c r="L537">
        <v>350</v>
      </c>
      <c r="M537">
        <v>231.12</v>
      </c>
      <c r="N537" t="s">
        <v>47</v>
      </c>
      <c r="O537">
        <v>12</v>
      </c>
      <c r="P537">
        <v>526.95000000000005</v>
      </c>
      <c r="Q537">
        <v>538.95000000000005</v>
      </c>
      <c r="R537" t="s">
        <v>2054</v>
      </c>
    </row>
    <row r="538" spans="1:18" x14ac:dyDescent="0.25">
      <c r="A538" t="s">
        <v>589</v>
      </c>
      <c r="B538" s="1">
        <v>45232</v>
      </c>
      <c r="C538" s="1">
        <v>45240</v>
      </c>
      <c r="D538" t="s">
        <v>25</v>
      </c>
      <c r="E538" t="s">
        <v>19</v>
      </c>
      <c r="F538" t="s">
        <v>20</v>
      </c>
      <c r="G538" t="s">
        <v>35</v>
      </c>
      <c r="H538" t="s">
        <v>40</v>
      </c>
      <c r="I538">
        <v>12</v>
      </c>
      <c r="J538">
        <v>22.81</v>
      </c>
      <c r="K538">
        <v>12</v>
      </c>
      <c r="L538">
        <v>150</v>
      </c>
      <c r="M538">
        <v>15.9</v>
      </c>
      <c r="N538" t="s">
        <v>63</v>
      </c>
      <c r="O538">
        <v>8</v>
      </c>
      <c r="P538">
        <v>273.71999999999997</v>
      </c>
      <c r="Q538">
        <v>285.71999999999997</v>
      </c>
      <c r="R538" t="s">
        <v>2054</v>
      </c>
    </row>
    <row r="539" spans="1:18" x14ac:dyDescent="0.25">
      <c r="A539" t="s">
        <v>590</v>
      </c>
      <c r="B539" s="1">
        <v>45233</v>
      </c>
      <c r="C539" s="1">
        <v>45250</v>
      </c>
      <c r="D539" t="s">
        <v>82</v>
      </c>
      <c r="E539" t="s">
        <v>79</v>
      </c>
      <c r="F539" t="s">
        <v>80</v>
      </c>
      <c r="G539" t="s">
        <v>35</v>
      </c>
      <c r="H539" t="s">
        <v>27</v>
      </c>
      <c r="I539">
        <v>3</v>
      </c>
      <c r="J539">
        <v>143.27000000000001</v>
      </c>
      <c r="K539">
        <v>12</v>
      </c>
      <c r="L539">
        <v>64</v>
      </c>
      <c r="M539">
        <v>187.41</v>
      </c>
      <c r="N539" t="s">
        <v>47</v>
      </c>
      <c r="O539">
        <v>17</v>
      </c>
      <c r="P539">
        <v>429.81000000000006</v>
      </c>
      <c r="Q539">
        <v>441.81000000000006</v>
      </c>
      <c r="R539" t="s">
        <v>2054</v>
      </c>
    </row>
    <row r="540" spans="1:18" x14ac:dyDescent="0.25">
      <c r="A540" t="s">
        <v>591</v>
      </c>
      <c r="B540" s="1">
        <v>45234</v>
      </c>
      <c r="C540" s="1">
        <v>45236</v>
      </c>
      <c r="D540" t="s">
        <v>78</v>
      </c>
      <c r="E540" t="s">
        <v>79</v>
      </c>
      <c r="F540" t="s">
        <v>80</v>
      </c>
      <c r="G540" t="s">
        <v>35</v>
      </c>
      <c r="H540" t="s">
        <v>27</v>
      </c>
      <c r="I540">
        <v>3</v>
      </c>
      <c r="J540">
        <v>104.18</v>
      </c>
      <c r="K540">
        <v>12</v>
      </c>
      <c r="L540">
        <v>194</v>
      </c>
      <c r="M540">
        <v>134.63999999999999</v>
      </c>
      <c r="N540" t="s">
        <v>23</v>
      </c>
      <c r="O540">
        <v>2</v>
      </c>
      <c r="P540">
        <v>312.54000000000002</v>
      </c>
      <c r="Q540">
        <v>324.54000000000002</v>
      </c>
      <c r="R540" t="s">
        <v>2054</v>
      </c>
    </row>
    <row r="541" spans="1:18" x14ac:dyDescent="0.25">
      <c r="A541" t="s">
        <v>592</v>
      </c>
      <c r="B541" s="1">
        <v>45234</v>
      </c>
      <c r="C541" s="1">
        <v>45236</v>
      </c>
      <c r="D541" t="s">
        <v>58</v>
      </c>
      <c r="E541" t="s">
        <v>19</v>
      </c>
      <c r="F541" t="s">
        <v>20</v>
      </c>
      <c r="G541" t="s">
        <v>21</v>
      </c>
      <c r="H541" t="s">
        <v>22</v>
      </c>
      <c r="I541">
        <v>9</v>
      </c>
      <c r="J541">
        <v>35.19</v>
      </c>
      <c r="K541">
        <v>8</v>
      </c>
      <c r="L541">
        <v>5</v>
      </c>
      <c r="M541">
        <v>21.34</v>
      </c>
      <c r="N541" t="s">
        <v>23</v>
      </c>
      <c r="O541">
        <v>2</v>
      </c>
      <c r="P541">
        <v>316.70999999999998</v>
      </c>
      <c r="Q541">
        <v>324.70999999999998</v>
      </c>
      <c r="R541" t="s">
        <v>2056</v>
      </c>
    </row>
    <row r="542" spans="1:18" x14ac:dyDescent="0.25">
      <c r="A542" t="s">
        <v>593</v>
      </c>
      <c r="B542" s="1">
        <v>45235</v>
      </c>
      <c r="C542" s="1">
        <v>45236</v>
      </c>
      <c r="D542" t="s">
        <v>29</v>
      </c>
      <c r="E542" t="s">
        <v>30</v>
      </c>
      <c r="F542" t="s">
        <v>31</v>
      </c>
      <c r="G542" t="s">
        <v>21</v>
      </c>
      <c r="H542" t="s">
        <v>32</v>
      </c>
      <c r="I542">
        <v>2</v>
      </c>
      <c r="J542">
        <v>98.49</v>
      </c>
      <c r="K542">
        <v>12</v>
      </c>
      <c r="L542">
        <v>330</v>
      </c>
      <c r="M542">
        <v>72.8</v>
      </c>
      <c r="N542" t="s">
        <v>23</v>
      </c>
      <c r="O542">
        <v>1</v>
      </c>
      <c r="P542">
        <v>196.98</v>
      </c>
      <c r="Q542">
        <v>208.98</v>
      </c>
      <c r="R542" t="s">
        <v>2054</v>
      </c>
    </row>
    <row r="543" spans="1:18" x14ac:dyDescent="0.25">
      <c r="A543" t="s">
        <v>594</v>
      </c>
      <c r="B543" s="1">
        <v>45237</v>
      </c>
      <c r="C543" s="1">
        <v>45238</v>
      </c>
      <c r="D543" t="s">
        <v>56</v>
      </c>
      <c r="E543" t="s">
        <v>38</v>
      </c>
      <c r="F543" t="s">
        <v>39</v>
      </c>
      <c r="G543" t="s">
        <v>26</v>
      </c>
      <c r="H543" t="s">
        <v>22</v>
      </c>
      <c r="I543">
        <v>2</v>
      </c>
      <c r="J543">
        <v>158.09</v>
      </c>
      <c r="K543">
        <v>75</v>
      </c>
      <c r="L543">
        <v>113</v>
      </c>
      <c r="M543">
        <v>25.74</v>
      </c>
      <c r="N543" t="s">
        <v>23</v>
      </c>
      <c r="O543">
        <v>1</v>
      </c>
      <c r="P543">
        <v>316.18</v>
      </c>
      <c r="Q543">
        <v>391.18</v>
      </c>
      <c r="R543" t="s">
        <v>2054</v>
      </c>
    </row>
    <row r="544" spans="1:18" x14ac:dyDescent="0.25">
      <c r="A544" t="s">
        <v>595</v>
      </c>
      <c r="B544" s="1">
        <v>45237</v>
      </c>
      <c r="C544" s="1">
        <v>45240</v>
      </c>
      <c r="D544" t="s">
        <v>78</v>
      </c>
      <c r="E544" t="s">
        <v>79</v>
      </c>
      <c r="F544" t="s">
        <v>80</v>
      </c>
      <c r="G544" t="s">
        <v>21</v>
      </c>
      <c r="H544" t="s">
        <v>32</v>
      </c>
      <c r="I544">
        <v>4</v>
      </c>
      <c r="J544">
        <v>124.99</v>
      </c>
      <c r="K544">
        <v>12</v>
      </c>
      <c r="L544">
        <v>160</v>
      </c>
      <c r="M544">
        <v>218.99</v>
      </c>
      <c r="N544" t="s">
        <v>23</v>
      </c>
      <c r="O544">
        <v>3</v>
      </c>
      <c r="P544">
        <v>499.96</v>
      </c>
      <c r="Q544">
        <v>511.96</v>
      </c>
      <c r="R544" t="s">
        <v>2054</v>
      </c>
    </row>
    <row r="545" spans="1:18" x14ac:dyDescent="0.25">
      <c r="A545" t="s">
        <v>596</v>
      </c>
      <c r="B545" s="1">
        <v>45237</v>
      </c>
      <c r="C545" s="1">
        <v>45245</v>
      </c>
      <c r="D545" t="s">
        <v>25</v>
      </c>
      <c r="E545" t="s">
        <v>19</v>
      </c>
      <c r="F545" t="s">
        <v>20</v>
      </c>
      <c r="G545" t="s">
        <v>35</v>
      </c>
      <c r="H545" t="s">
        <v>40</v>
      </c>
      <c r="I545">
        <v>6</v>
      </c>
      <c r="J545">
        <v>41.96</v>
      </c>
      <c r="K545">
        <v>12</v>
      </c>
      <c r="L545">
        <v>53</v>
      </c>
      <c r="M545">
        <v>14.14</v>
      </c>
      <c r="N545" t="s">
        <v>63</v>
      </c>
      <c r="O545">
        <v>8</v>
      </c>
      <c r="P545">
        <v>251.76</v>
      </c>
      <c r="Q545">
        <v>263.76</v>
      </c>
      <c r="R545" t="s">
        <v>2054</v>
      </c>
    </row>
    <row r="546" spans="1:18" x14ac:dyDescent="0.25">
      <c r="A546" t="s">
        <v>597</v>
      </c>
      <c r="B546" s="1">
        <v>45237</v>
      </c>
      <c r="C546" s="1">
        <v>45242</v>
      </c>
      <c r="D546" t="s">
        <v>82</v>
      </c>
      <c r="E546" t="s">
        <v>79</v>
      </c>
      <c r="F546" t="s">
        <v>80</v>
      </c>
      <c r="G546" t="s">
        <v>21</v>
      </c>
      <c r="H546" t="s">
        <v>27</v>
      </c>
      <c r="I546">
        <v>4</v>
      </c>
      <c r="J546">
        <v>114.87</v>
      </c>
      <c r="K546">
        <v>12</v>
      </c>
      <c r="L546">
        <v>121</v>
      </c>
      <c r="M546">
        <v>200.77</v>
      </c>
      <c r="N546" t="s">
        <v>23</v>
      </c>
      <c r="O546">
        <v>5</v>
      </c>
      <c r="P546">
        <v>459.48</v>
      </c>
      <c r="Q546">
        <v>471.48</v>
      </c>
      <c r="R546" t="s">
        <v>2054</v>
      </c>
    </row>
    <row r="547" spans="1:18" x14ac:dyDescent="0.25">
      <c r="A547" t="s">
        <v>598</v>
      </c>
      <c r="B547" s="1">
        <v>45238</v>
      </c>
      <c r="C547" s="1">
        <v>45241</v>
      </c>
      <c r="D547" t="s">
        <v>118</v>
      </c>
      <c r="E547" t="s">
        <v>79</v>
      </c>
      <c r="F547" t="s">
        <v>80</v>
      </c>
      <c r="G547" t="s">
        <v>35</v>
      </c>
      <c r="H547" t="s">
        <v>40</v>
      </c>
      <c r="I547">
        <v>1</v>
      </c>
      <c r="J547">
        <v>21.18</v>
      </c>
      <c r="K547">
        <v>18</v>
      </c>
      <c r="L547">
        <v>345</v>
      </c>
      <c r="M547">
        <v>0.53</v>
      </c>
      <c r="N547" t="s">
        <v>23</v>
      </c>
      <c r="O547">
        <v>3</v>
      </c>
      <c r="P547">
        <v>21.18</v>
      </c>
      <c r="Q547">
        <v>39.18</v>
      </c>
      <c r="R547" t="s">
        <v>2054</v>
      </c>
    </row>
    <row r="548" spans="1:18" x14ac:dyDescent="0.25">
      <c r="A548" t="s">
        <v>599</v>
      </c>
      <c r="B548" s="1">
        <v>45238</v>
      </c>
      <c r="C548" s="1">
        <v>45245</v>
      </c>
      <c r="D548" t="s">
        <v>34</v>
      </c>
      <c r="E548" t="s">
        <v>30</v>
      </c>
      <c r="F548" t="s">
        <v>31</v>
      </c>
      <c r="G548" t="s">
        <v>35</v>
      </c>
      <c r="H548" t="s">
        <v>27</v>
      </c>
      <c r="I548">
        <v>5</v>
      </c>
      <c r="J548">
        <v>124.65</v>
      </c>
      <c r="K548">
        <v>12</v>
      </c>
      <c r="L548">
        <v>305</v>
      </c>
      <c r="M548">
        <v>243.29</v>
      </c>
      <c r="N548" t="s">
        <v>63</v>
      </c>
      <c r="O548">
        <v>7</v>
      </c>
      <c r="P548">
        <v>623.25</v>
      </c>
      <c r="Q548">
        <v>635.25</v>
      </c>
      <c r="R548" t="s">
        <v>2054</v>
      </c>
    </row>
    <row r="549" spans="1:18" x14ac:dyDescent="0.25">
      <c r="A549" t="s">
        <v>600</v>
      </c>
      <c r="B549" s="1">
        <v>45239</v>
      </c>
      <c r="C549" s="1">
        <v>45242</v>
      </c>
      <c r="D549" t="s">
        <v>29</v>
      </c>
      <c r="E549" t="s">
        <v>30</v>
      </c>
      <c r="F549" t="s">
        <v>31</v>
      </c>
      <c r="G549" t="s">
        <v>35</v>
      </c>
      <c r="H549" t="s">
        <v>40</v>
      </c>
      <c r="I549">
        <v>5</v>
      </c>
      <c r="J549">
        <v>61.25</v>
      </c>
      <c r="K549">
        <v>18</v>
      </c>
      <c r="L549">
        <v>71</v>
      </c>
      <c r="M549">
        <v>113.5</v>
      </c>
      <c r="N549" t="s">
        <v>23</v>
      </c>
      <c r="O549">
        <v>3</v>
      </c>
      <c r="P549">
        <v>306.25</v>
      </c>
      <c r="Q549">
        <v>324.25</v>
      </c>
      <c r="R549" t="s">
        <v>2054</v>
      </c>
    </row>
    <row r="550" spans="1:18" x14ac:dyDescent="0.25">
      <c r="A550" t="s">
        <v>601</v>
      </c>
      <c r="B550" s="1">
        <v>45239</v>
      </c>
      <c r="C550" s="1">
        <v>45241</v>
      </c>
      <c r="D550" t="s">
        <v>25</v>
      </c>
      <c r="E550" t="s">
        <v>19</v>
      </c>
      <c r="F550" t="s">
        <v>20</v>
      </c>
      <c r="G550" t="s">
        <v>26</v>
      </c>
      <c r="H550" t="s">
        <v>22</v>
      </c>
      <c r="I550">
        <v>9</v>
      </c>
      <c r="J550">
        <v>40.200000000000003</v>
      </c>
      <c r="K550">
        <v>8</v>
      </c>
      <c r="L550">
        <v>172</v>
      </c>
      <c r="M550">
        <v>24.94</v>
      </c>
      <c r="N550" t="s">
        <v>23</v>
      </c>
      <c r="O550">
        <v>2</v>
      </c>
      <c r="P550">
        <v>361.8</v>
      </c>
      <c r="Q550">
        <v>369.8</v>
      </c>
      <c r="R550" t="s">
        <v>2054</v>
      </c>
    </row>
    <row r="551" spans="1:18" x14ac:dyDescent="0.25">
      <c r="A551" t="s">
        <v>602</v>
      </c>
      <c r="B551" s="1">
        <v>45239</v>
      </c>
      <c r="C551" s="1">
        <v>45243</v>
      </c>
      <c r="D551" t="s">
        <v>29</v>
      </c>
      <c r="E551" t="s">
        <v>30</v>
      </c>
      <c r="F551" t="s">
        <v>31</v>
      </c>
      <c r="G551" t="s">
        <v>35</v>
      </c>
      <c r="H551" t="s">
        <v>40</v>
      </c>
      <c r="I551">
        <v>5</v>
      </c>
      <c r="J551">
        <v>92.82</v>
      </c>
      <c r="K551">
        <v>18</v>
      </c>
      <c r="L551">
        <v>173</v>
      </c>
      <c r="M551">
        <v>176.63</v>
      </c>
      <c r="N551" t="s">
        <v>23</v>
      </c>
      <c r="O551">
        <v>4</v>
      </c>
      <c r="P551">
        <v>464.09999999999997</v>
      </c>
      <c r="Q551">
        <v>482.09999999999997</v>
      </c>
      <c r="R551" t="s">
        <v>2054</v>
      </c>
    </row>
    <row r="552" spans="1:18" x14ac:dyDescent="0.25">
      <c r="A552" t="s">
        <v>603</v>
      </c>
      <c r="B552" s="1">
        <v>45240</v>
      </c>
      <c r="C552" s="1">
        <v>45243</v>
      </c>
      <c r="D552" t="s">
        <v>72</v>
      </c>
      <c r="E552" t="s">
        <v>44</v>
      </c>
      <c r="F552" t="s">
        <v>45</v>
      </c>
      <c r="G552" t="s">
        <v>35</v>
      </c>
      <c r="H552" t="s">
        <v>27</v>
      </c>
      <c r="I552">
        <v>1</v>
      </c>
      <c r="J552">
        <v>1025.5999999999999</v>
      </c>
      <c r="K552">
        <v>25</v>
      </c>
      <c r="L552">
        <v>363</v>
      </c>
      <c r="M552">
        <v>346.46</v>
      </c>
      <c r="N552" t="s">
        <v>23</v>
      </c>
      <c r="O552">
        <v>3</v>
      </c>
      <c r="P552">
        <v>1025.5999999999999</v>
      </c>
      <c r="Q552">
        <v>1050.5999999999999</v>
      </c>
      <c r="R552" t="s">
        <v>2054</v>
      </c>
    </row>
    <row r="553" spans="1:18" x14ac:dyDescent="0.25">
      <c r="A553" t="s">
        <v>604</v>
      </c>
      <c r="B553" s="1">
        <v>45241</v>
      </c>
      <c r="C553" s="1">
        <v>45258</v>
      </c>
      <c r="D553" t="s">
        <v>118</v>
      </c>
      <c r="E553" t="s">
        <v>79</v>
      </c>
      <c r="F553" t="s">
        <v>80</v>
      </c>
      <c r="G553" t="s">
        <v>35</v>
      </c>
      <c r="H553" t="s">
        <v>27</v>
      </c>
      <c r="I553">
        <v>1</v>
      </c>
      <c r="J553">
        <v>76.89</v>
      </c>
      <c r="K553">
        <v>12</v>
      </c>
      <c r="L553">
        <v>308</v>
      </c>
      <c r="M553">
        <v>28.6</v>
      </c>
      <c r="N553" t="s">
        <v>47</v>
      </c>
      <c r="O553">
        <v>17</v>
      </c>
      <c r="P553">
        <v>76.89</v>
      </c>
      <c r="Q553">
        <v>88.89</v>
      </c>
      <c r="R553" t="s">
        <v>2054</v>
      </c>
    </row>
    <row r="554" spans="1:18" x14ac:dyDescent="0.25">
      <c r="A554" t="s">
        <v>605</v>
      </c>
      <c r="B554" s="1">
        <v>45242</v>
      </c>
      <c r="C554" s="1">
        <v>45259</v>
      </c>
      <c r="D554" t="s">
        <v>37</v>
      </c>
      <c r="E554" t="s">
        <v>38</v>
      </c>
      <c r="F554" t="s">
        <v>39</v>
      </c>
      <c r="G554" t="s">
        <v>35</v>
      </c>
      <c r="H554" t="s">
        <v>40</v>
      </c>
      <c r="I554">
        <v>2</v>
      </c>
      <c r="J554">
        <v>441.76</v>
      </c>
      <c r="K554">
        <v>112.5</v>
      </c>
      <c r="L554">
        <v>210</v>
      </c>
      <c r="M554">
        <v>120.45</v>
      </c>
      <c r="N554" t="s">
        <v>47</v>
      </c>
      <c r="O554">
        <v>17</v>
      </c>
      <c r="P554">
        <v>883.52</v>
      </c>
      <c r="Q554">
        <v>996.02</v>
      </c>
      <c r="R554" t="s">
        <v>2054</v>
      </c>
    </row>
    <row r="555" spans="1:18" x14ac:dyDescent="0.25">
      <c r="A555" t="s">
        <v>606</v>
      </c>
      <c r="B555" s="1">
        <v>45243</v>
      </c>
      <c r="C555" s="1">
        <v>45245</v>
      </c>
      <c r="D555" t="s">
        <v>52</v>
      </c>
      <c r="E555" t="s">
        <v>30</v>
      </c>
      <c r="F555" t="s">
        <v>31</v>
      </c>
      <c r="G555" t="s">
        <v>21</v>
      </c>
      <c r="H555" t="s">
        <v>22</v>
      </c>
      <c r="I555">
        <v>3</v>
      </c>
      <c r="J555">
        <v>67.58</v>
      </c>
      <c r="K555">
        <v>12</v>
      </c>
      <c r="L555">
        <v>245</v>
      </c>
      <c r="M555">
        <v>75.099999999999994</v>
      </c>
      <c r="N555" t="s">
        <v>23</v>
      </c>
      <c r="O555">
        <v>2</v>
      </c>
      <c r="P555">
        <v>202.74</v>
      </c>
      <c r="Q555">
        <v>214.74</v>
      </c>
      <c r="R555" t="s">
        <v>2054</v>
      </c>
    </row>
    <row r="556" spans="1:18" x14ac:dyDescent="0.25">
      <c r="A556" t="s">
        <v>607</v>
      </c>
      <c r="B556" s="1">
        <v>45244</v>
      </c>
      <c r="C556" s="1">
        <v>45245</v>
      </c>
      <c r="D556" t="s">
        <v>37</v>
      </c>
      <c r="E556" t="s">
        <v>38</v>
      </c>
      <c r="F556" t="s">
        <v>39</v>
      </c>
      <c r="G556" t="s">
        <v>26</v>
      </c>
      <c r="H556" t="s">
        <v>32</v>
      </c>
      <c r="I556">
        <v>2</v>
      </c>
      <c r="J556">
        <v>447.82</v>
      </c>
      <c r="K556">
        <v>75</v>
      </c>
      <c r="L556">
        <v>312</v>
      </c>
      <c r="M556">
        <v>141.63</v>
      </c>
      <c r="N556" t="s">
        <v>23</v>
      </c>
      <c r="O556">
        <v>1</v>
      </c>
      <c r="P556">
        <v>895.64</v>
      </c>
      <c r="Q556">
        <v>970.64</v>
      </c>
      <c r="R556" t="s">
        <v>2054</v>
      </c>
    </row>
    <row r="557" spans="1:18" x14ac:dyDescent="0.25">
      <c r="A557" t="s">
        <v>608</v>
      </c>
      <c r="B557" s="1">
        <v>45244</v>
      </c>
      <c r="C557" s="1">
        <v>45249</v>
      </c>
      <c r="D557" t="s">
        <v>75</v>
      </c>
      <c r="E557" t="s">
        <v>44</v>
      </c>
      <c r="F557" t="s">
        <v>45</v>
      </c>
      <c r="G557" t="s">
        <v>21</v>
      </c>
      <c r="H557" t="s">
        <v>27</v>
      </c>
      <c r="I557">
        <v>3</v>
      </c>
      <c r="J557">
        <v>622.70000000000005</v>
      </c>
      <c r="K557">
        <v>25</v>
      </c>
      <c r="L557">
        <v>377</v>
      </c>
      <c r="M557">
        <v>641.34</v>
      </c>
      <c r="N557" t="s">
        <v>23</v>
      </c>
      <c r="O557">
        <v>5</v>
      </c>
      <c r="P557">
        <v>1868.1000000000001</v>
      </c>
      <c r="Q557">
        <v>1893.1000000000001</v>
      </c>
      <c r="R557" t="s">
        <v>2054</v>
      </c>
    </row>
    <row r="558" spans="1:18" x14ac:dyDescent="0.25">
      <c r="A558" t="s">
        <v>609</v>
      </c>
      <c r="B558" s="1">
        <v>45244</v>
      </c>
      <c r="C558" s="1">
        <v>45247</v>
      </c>
      <c r="D558" t="s">
        <v>25</v>
      </c>
      <c r="E558" t="s">
        <v>19</v>
      </c>
      <c r="F558" t="s">
        <v>20</v>
      </c>
      <c r="G558" t="s">
        <v>21</v>
      </c>
      <c r="H558" t="s">
        <v>27</v>
      </c>
      <c r="I558">
        <v>10</v>
      </c>
      <c r="J558">
        <v>16.87</v>
      </c>
      <c r="K558">
        <v>8</v>
      </c>
      <c r="L558">
        <v>58</v>
      </c>
      <c r="M558">
        <v>9.49</v>
      </c>
      <c r="N558" t="s">
        <v>23</v>
      </c>
      <c r="O558">
        <v>3</v>
      </c>
      <c r="P558">
        <v>168.70000000000002</v>
      </c>
      <c r="Q558">
        <v>176.70000000000002</v>
      </c>
      <c r="R558" t="s">
        <v>2054</v>
      </c>
    </row>
    <row r="559" spans="1:18" x14ac:dyDescent="0.25">
      <c r="A559" t="s">
        <v>610</v>
      </c>
      <c r="B559" s="1">
        <v>45244</v>
      </c>
      <c r="C559" s="1">
        <v>45249</v>
      </c>
      <c r="D559" t="s">
        <v>25</v>
      </c>
      <c r="E559" t="s">
        <v>19</v>
      </c>
      <c r="F559" t="s">
        <v>20</v>
      </c>
      <c r="G559" t="s">
        <v>21</v>
      </c>
      <c r="H559" t="s">
        <v>22</v>
      </c>
      <c r="I559">
        <v>12</v>
      </c>
      <c r="J559">
        <v>47.91</v>
      </c>
      <c r="K559">
        <v>8</v>
      </c>
      <c r="L559">
        <v>330</v>
      </c>
      <c r="M559">
        <v>42</v>
      </c>
      <c r="N559" t="s">
        <v>23</v>
      </c>
      <c r="O559">
        <v>5</v>
      </c>
      <c r="P559">
        <v>574.91999999999996</v>
      </c>
      <c r="Q559">
        <v>582.91999999999996</v>
      </c>
      <c r="R559" t="s">
        <v>2054</v>
      </c>
    </row>
    <row r="560" spans="1:18" x14ac:dyDescent="0.25">
      <c r="A560" t="s">
        <v>611</v>
      </c>
      <c r="B560" s="1">
        <v>45244</v>
      </c>
      <c r="C560" s="1">
        <v>45247</v>
      </c>
      <c r="D560" t="s">
        <v>50</v>
      </c>
      <c r="E560" t="s">
        <v>44</v>
      </c>
      <c r="F560" t="s">
        <v>45</v>
      </c>
      <c r="G560" t="s">
        <v>35</v>
      </c>
      <c r="H560" t="s">
        <v>22</v>
      </c>
      <c r="I560">
        <v>3</v>
      </c>
      <c r="J560">
        <v>994.13</v>
      </c>
      <c r="K560">
        <v>25</v>
      </c>
      <c r="L560">
        <v>75</v>
      </c>
      <c r="M560">
        <v>1031.3399999999999</v>
      </c>
      <c r="N560" t="s">
        <v>23</v>
      </c>
      <c r="O560">
        <v>3</v>
      </c>
      <c r="P560">
        <v>2982.39</v>
      </c>
      <c r="Q560">
        <v>3007.39</v>
      </c>
      <c r="R560" t="s">
        <v>2054</v>
      </c>
    </row>
    <row r="561" spans="1:18" x14ac:dyDescent="0.25">
      <c r="A561" t="s">
        <v>612</v>
      </c>
      <c r="B561" s="1">
        <v>45246</v>
      </c>
      <c r="C561" s="1">
        <v>45248</v>
      </c>
      <c r="D561" t="s">
        <v>82</v>
      </c>
      <c r="E561" t="s">
        <v>79</v>
      </c>
      <c r="F561" t="s">
        <v>80</v>
      </c>
      <c r="G561" t="s">
        <v>26</v>
      </c>
      <c r="H561" t="s">
        <v>32</v>
      </c>
      <c r="I561">
        <v>2</v>
      </c>
      <c r="J561">
        <v>131.66999999999999</v>
      </c>
      <c r="K561">
        <v>12</v>
      </c>
      <c r="L561">
        <v>124</v>
      </c>
      <c r="M561">
        <v>112.5</v>
      </c>
      <c r="N561" t="s">
        <v>23</v>
      </c>
      <c r="O561">
        <v>2</v>
      </c>
      <c r="P561">
        <v>263.33999999999997</v>
      </c>
      <c r="Q561">
        <v>275.33999999999997</v>
      </c>
      <c r="R561" t="s">
        <v>2054</v>
      </c>
    </row>
    <row r="562" spans="1:18" x14ac:dyDescent="0.25">
      <c r="A562" t="s">
        <v>613</v>
      </c>
      <c r="B562" s="1">
        <v>45247</v>
      </c>
      <c r="C562" s="1">
        <v>45256</v>
      </c>
      <c r="D562" t="s">
        <v>50</v>
      </c>
      <c r="E562" t="s">
        <v>44</v>
      </c>
      <c r="F562" t="s">
        <v>45</v>
      </c>
      <c r="G562" t="s">
        <v>35</v>
      </c>
      <c r="H562" t="s">
        <v>22</v>
      </c>
      <c r="I562">
        <v>2</v>
      </c>
      <c r="J562">
        <v>520.57000000000005</v>
      </c>
      <c r="K562">
        <v>25</v>
      </c>
      <c r="L562">
        <v>84</v>
      </c>
      <c r="M562">
        <v>351.9</v>
      </c>
      <c r="N562" t="s">
        <v>63</v>
      </c>
      <c r="O562">
        <v>9</v>
      </c>
      <c r="P562">
        <v>1041.1400000000001</v>
      </c>
      <c r="Q562">
        <v>1066.1400000000001</v>
      </c>
      <c r="R562" t="s">
        <v>2054</v>
      </c>
    </row>
    <row r="563" spans="1:18" x14ac:dyDescent="0.25">
      <c r="A563" t="s">
        <v>614</v>
      </c>
      <c r="B563" s="1">
        <v>45247</v>
      </c>
      <c r="C563" s="1">
        <v>45248</v>
      </c>
      <c r="D563" t="s">
        <v>56</v>
      </c>
      <c r="E563" t="s">
        <v>38</v>
      </c>
      <c r="F563" t="s">
        <v>39</v>
      </c>
      <c r="G563" t="s">
        <v>26</v>
      </c>
      <c r="H563" t="s">
        <v>27</v>
      </c>
      <c r="I563">
        <v>1</v>
      </c>
      <c r="J563">
        <v>402.72</v>
      </c>
      <c r="K563">
        <v>75</v>
      </c>
      <c r="L563">
        <v>101</v>
      </c>
      <c r="M563">
        <v>43.04</v>
      </c>
      <c r="N563" t="s">
        <v>23</v>
      </c>
      <c r="O563">
        <v>1</v>
      </c>
      <c r="P563">
        <v>402.72</v>
      </c>
      <c r="Q563">
        <v>477.72</v>
      </c>
      <c r="R563" t="s">
        <v>2054</v>
      </c>
    </row>
    <row r="564" spans="1:18" x14ac:dyDescent="0.25">
      <c r="A564" t="s">
        <v>615</v>
      </c>
      <c r="B564" s="1">
        <v>45247</v>
      </c>
      <c r="C564" s="1">
        <v>45263</v>
      </c>
      <c r="D564" t="s">
        <v>75</v>
      </c>
      <c r="E564" t="s">
        <v>44</v>
      </c>
      <c r="F564" t="s">
        <v>45</v>
      </c>
      <c r="G564" t="s">
        <v>35</v>
      </c>
      <c r="H564" t="s">
        <v>40</v>
      </c>
      <c r="I564">
        <v>3</v>
      </c>
      <c r="J564">
        <v>241.64</v>
      </c>
      <c r="K564">
        <v>37.5</v>
      </c>
      <c r="L564">
        <v>227</v>
      </c>
      <c r="M564">
        <v>234.98</v>
      </c>
      <c r="N564" t="s">
        <v>47</v>
      </c>
      <c r="O564">
        <v>16</v>
      </c>
      <c r="P564">
        <v>724.92</v>
      </c>
      <c r="Q564">
        <v>762.42</v>
      </c>
      <c r="R564" t="s">
        <v>2054</v>
      </c>
    </row>
    <row r="565" spans="1:18" x14ac:dyDescent="0.25">
      <c r="A565" t="s">
        <v>616</v>
      </c>
      <c r="B565" s="1">
        <v>45250</v>
      </c>
      <c r="C565" s="1">
        <v>45252</v>
      </c>
      <c r="D565" t="s">
        <v>50</v>
      </c>
      <c r="E565" t="s">
        <v>44</v>
      </c>
      <c r="F565" t="s">
        <v>45</v>
      </c>
      <c r="G565" t="s">
        <v>21</v>
      </c>
      <c r="H565" t="s">
        <v>40</v>
      </c>
      <c r="I565">
        <v>3</v>
      </c>
      <c r="J565">
        <v>1064.4000000000001</v>
      </c>
      <c r="K565">
        <v>37.5</v>
      </c>
      <c r="L565">
        <v>356</v>
      </c>
      <c r="M565">
        <v>1098.8699999999999</v>
      </c>
      <c r="N565" t="s">
        <v>23</v>
      </c>
      <c r="O565">
        <v>2</v>
      </c>
      <c r="P565">
        <v>3193.2000000000003</v>
      </c>
      <c r="Q565">
        <v>3230.7000000000003</v>
      </c>
      <c r="R565" t="s">
        <v>2054</v>
      </c>
    </row>
    <row r="566" spans="1:18" x14ac:dyDescent="0.25">
      <c r="A566" t="s">
        <v>617</v>
      </c>
      <c r="B566" s="1">
        <v>45250</v>
      </c>
      <c r="C566" s="1">
        <v>45252</v>
      </c>
      <c r="D566" t="s">
        <v>52</v>
      </c>
      <c r="E566" t="s">
        <v>30</v>
      </c>
      <c r="F566" t="s">
        <v>31</v>
      </c>
      <c r="G566" t="s">
        <v>35</v>
      </c>
      <c r="H566" t="s">
        <v>40</v>
      </c>
      <c r="I566">
        <v>3</v>
      </c>
      <c r="J566">
        <v>29.46</v>
      </c>
      <c r="K566">
        <v>18</v>
      </c>
      <c r="L566">
        <v>223</v>
      </c>
      <c r="M566">
        <v>26.35</v>
      </c>
      <c r="N566" t="s">
        <v>23</v>
      </c>
      <c r="O566">
        <v>2</v>
      </c>
      <c r="P566">
        <v>88.38</v>
      </c>
      <c r="Q566">
        <v>106.38</v>
      </c>
      <c r="R566" t="s">
        <v>2054</v>
      </c>
    </row>
    <row r="567" spans="1:18" x14ac:dyDescent="0.25">
      <c r="A567" t="s">
        <v>618</v>
      </c>
      <c r="B567" s="1">
        <v>45250</v>
      </c>
      <c r="C567" s="1">
        <v>45254</v>
      </c>
      <c r="D567" t="s">
        <v>29</v>
      </c>
      <c r="E567" t="s">
        <v>30</v>
      </c>
      <c r="F567" t="s">
        <v>31</v>
      </c>
      <c r="G567" t="s">
        <v>26</v>
      </c>
      <c r="H567" t="s">
        <v>27</v>
      </c>
      <c r="I567">
        <v>2</v>
      </c>
      <c r="J567">
        <v>66.22</v>
      </c>
      <c r="K567">
        <v>12</v>
      </c>
      <c r="L567">
        <v>356</v>
      </c>
      <c r="M567">
        <v>46.98</v>
      </c>
      <c r="N567" t="s">
        <v>23</v>
      </c>
      <c r="O567">
        <v>4</v>
      </c>
      <c r="P567">
        <v>132.44</v>
      </c>
      <c r="Q567">
        <v>144.44</v>
      </c>
      <c r="R567" t="s">
        <v>2054</v>
      </c>
    </row>
    <row r="568" spans="1:18" x14ac:dyDescent="0.25">
      <c r="A568" t="s">
        <v>619</v>
      </c>
      <c r="B568" s="1">
        <v>45252</v>
      </c>
      <c r="C568" s="1">
        <v>45267</v>
      </c>
      <c r="D568" t="s">
        <v>75</v>
      </c>
      <c r="E568" t="s">
        <v>44</v>
      </c>
      <c r="F568" t="s">
        <v>45</v>
      </c>
      <c r="G568" t="s">
        <v>35</v>
      </c>
      <c r="H568" t="s">
        <v>22</v>
      </c>
      <c r="I568">
        <v>1</v>
      </c>
      <c r="J568">
        <v>998.48</v>
      </c>
      <c r="K568">
        <v>25</v>
      </c>
      <c r="L568">
        <v>399</v>
      </c>
      <c r="M568">
        <v>336.97</v>
      </c>
      <c r="N568" t="s">
        <v>47</v>
      </c>
      <c r="O568">
        <v>15</v>
      </c>
      <c r="P568">
        <v>998.48</v>
      </c>
      <c r="Q568">
        <v>1023.48</v>
      </c>
      <c r="R568" t="s">
        <v>2054</v>
      </c>
    </row>
    <row r="569" spans="1:18" x14ac:dyDescent="0.25">
      <c r="A569" t="s">
        <v>620</v>
      </c>
      <c r="B569" s="1">
        <v>45253</v>
      </c>
      <c r="C569" s="1">
        <v>45258</v>
      </c>
      <c r="D569" t="s">
        <v>52</v>
      </c>
      <c r="E569" t="s">
        <v>30</v>
      </c>
      <c r="F569" t="s">
        <v>31</v>
      </c>
      <c r="G569" t="s">
        <v>35</v>
      </c>
      <c r="H569" t="s">
        <v>40</v>
      </c>
      <c r="I569">
        <v>3</v>
      </c>
      <c r="J569">
        <v>73.959999999999994</v>
      </c>
      <c r="K569">
        <v>18</v>
      </c>
      <c r="L569">
        <v>258</v>
      </c>
      <c r="M569">
        <v>79.760000000000005</v>
      </c>
      <c r="N569" t="s">
        <v>23</v>
      </c>
      <c r="O569">
        <v>5</v>
      </c>
      <c r="P569">
        <v>221.88</v>
      </c>
      <c r="Q569">
        <v>239.88</v>
      </c>
      <c r="R569" t="s">
        <v>2054</v>
      </c>
    </row>
    <row r="570" spans="1:18" x14ac:dyDescent="0.25">
      <c r="A570" t="s">
        <v>621</v>
      </c>
      <c r="B570" s="1">
        <v>45254</v>
      </c>
      <c r="C570" s="1">
        <v>45259</v>
      </c>
      <c r="D570" t="s">
        <v>82</v>
      </c>
      <c r="E570" t="s">
        <v>79</v>
      </c>
      <c r="F570" t="s">
        <v>80</v>
      </c>
      <c r="G570" t="s">
        <v>35</v>
      </c>
      <c r="H570" t="s">
        <v>32</v>
      </c>
      <c r="I570">
        <v>2</v>
      </c>
      <c r="J570">
        <v>24.57</v>
      </c>
      <c r="K570">
        <v>12</v>
      </c>
      <c r="L570">
        <v>347</v>
      </c>
      <c r="M570">
        <v>16.11</v>
      </c>
      <c r="N570" t="s">
        <v>23</v>
      </c>
      <c r="O570">
        <v>5</v>
      </c>
      <c r="P570">
        <v>49.14</v>
      </c>
      <c r="Q570">
        <v>61.14</v>
      </c>
      <c r="R570" t="s">
        <v>2054</v>
      </c>
    </row>
    <row r="571" spans="1:18" x14ac:dyDescent="0.25">
      <c r="A571" t="s">
        <v>622</v>
      </c>
      <c r="B571" s="1">
        <v>45254</v>
      </c>
      <c r="C571" s="1">
        <v>45271</v>
      </c>
      <c r="D571" t="s">
        <v>78</v>
      </c>
      <c r="E571" t="s">
        <v>79</v>
      </c>
      <c r="F571" t="s">
        <v>80</v>
      </c>
      <c r="G571" t="s">
        <v>35</v>
      </c>
      <c r="H571" t="s">
        <v>22</v>
      </c>
      <c r="I571">
        <v>4</v>
      </c>
      <c r="J571">
        <v>141.35</v>
      </c>
      <c r="K571">
        <v>12</v>
      </c>
      <c r="L571">
        <v>96</v>
      </c>
      <c r="M571">
        <v>248.43</v>
      </c>
      <c r="N571" t="s">
        <v>47</v>
      </c>
      <c r="O571">
        <v>17</v>
      </c>
      <c r="P571">
        <v>565.4</v>
      </c>
      <c r="Q571">
        <v>577.4</v>
      </c>
      <c r="R571" t="s">
        <v>2054</v>
      </c>
    </row>
    <row r="572" spans="1:18" x14ac:dyDescent="0.25">
      <c r="A572" t="s">
        <v>623</v>
      </c>
      <c r="B572" s="1">
        <v>45254</v>
      </c>
      <c r="C572" s="1">
        <v>45256</v>
      </c>
      <c r="D572" t="s">
        <v>29</v>
      </c>
      <c r="E572" t="s">
        <v>30</v>
      </c>
      <c r="F572" t="s">
        <v>31</v>
      </c>
      <c r="G572" t="s">
        <v>35</v>
      </c>
      <c r="H572" t="s">
        <v>40</v>
      </c>
      <c r="I572">
        <v>1</v>
      </c>
      <c r="J572">
        <v>94.12</v>
      </c>
      <c r="K572">
        <v>18</v>
      </c>
      <c r="L572">
        <v>340</v>
      </c>
      <c r="M572">
        <v>28.65</v>
      </c>
      <c r="N572" t="s">
        <v>23</v>
      </c>
      <c r="O572">
        <v>2</v>
      </c>
      <c r="P572">
        <v>94.12</v>
      </c>
      <c r="Q572">
        <v>112.12</v>
      </c>
      <c r="R572" t="s">
        <v>2054</v>
      </c>
    </row>
    <row r="573" spans="1:18" x14ac:dyDescent="0.25">
      <c r="A573" t="s">
        <v>624</v>
      </c>
      <c r="B573" s="1">
        <v>45255</v>
      </c>
      <c r="C573" s="1">
        <v>45259</v>
      </c>
      <c r="D573" t="s">
        <v>75</v>
      </c>
      <c r="E573" t="s">
        <v>44</v>
      </c>
      <c r="F573" t="s">
        <v>45</v>
      </c>
      <c r="G573" t="s">
        <v>21</v>
      </c>
      <c r="H573" t="s">
        <v>32</v>
      </c>
      <c r="I573">
        <v>2</v>
      </c>
      <c r="J573">
        <v>487.4</v>
      </c>
      <c r="K573">
        <v>25</v>
      </c>
      <c r="L573">
        <v>234</v>
      </c>
      <c r="M573">
        <v>328.68</v>
      </c>
      <c r="N573" t="s">
        <v>23</v>
      </c>
      <c r="O573">
        <v>4</v>
      </c>
      <c r="P573">
        <v>974.8</v>
      </c>
      <c r="Q573">
        <v>999.8</v>
      </c>
      <c r="R573" t="s">
        <v>2054</v>
      </c>
    </row>
    <row r="574" spans="1:18" x14ac:dyDescent="0.25">
      <c r="A574" t="s">
        <v>625</v>
      </c>
      <c r="B574" s="1">
        <v>45255</v>
      </c>
      <c r="C574" s="1">
        <v>45258</v>
      </c>
      <c r="D574" t="s">
        <v>34</v>
      </c>
      <c r="E574" t="s">
        <v>30</v>
      </c>
      <c r="F574" t="s">
        <v>31</v>
      </c>
      <c r="G574" t="s">
        <v>26</v>
      </c>
      <c r="H574" t="s">
        <v>32</v>
      </c>
      <c r="I574">
        <v>4</v>
      </c>
      <c r="J574">
        <v>149.9</v>
      </c>
      <c r="K574">
        <v>12</v>
      </c>
      <c r="L574">
        <v>244</v>
      </c>
      <c r="M574">
        <v>233.84</v>
      </c>
      <c r="N574" t="s">
        <v>23</v>
      </c>
      <c r="O574">
        <v>3</v>
      </c>
      <c r="P574">
        <v>599.6</v>
      </c>
      <c r="Q574">
        <v>611.6</v>
      </c>
      <c r="R574" t="s">
        <v>2054</v>
      </c>
    </row>
    <row r="575" spans="1:18" x14ac:dyDescent="0.25">
      <c r="A575" t="s">
        <v>626</v>
      </c>
      <c r="B575" s="1">
        <v>45255</v>
      </c>
      <c r="C575" s="1">
        <v>45259</v>
      </c>
      <c r="D575" t="s">
        <v>25</v>
      </c>
      <c r="E575" t="s">
        <v>19</v>
      </c>
      <c r="F575" t="s">
        <v>20</v>
      </c>
      <c r="G575" t="s">
        <v>21</v>
      </c>
      <c r="H575" t="s">
        <v>40</v>
      </c>
      <c r="I575">
        <v>8</v>
      </c>
      <c r="J575">
        <v>46.23</v>
      </c>
      <c r="K575">
        <v>12</v>
      </c>
      <c r="L575">
        <v>173</v>
      </c>
      <c r="M575">
        <v>23.59</v>
      </c>
      <c r="N575" t="s">
        <v>23</v>
      </c>
      <c r="O575">
        <v>4</v>
      </c>
      <c r="P575">
        <v>369.84</v>
      </c>
      <c r="Q575">
        <v>381.84</v>
      </c>
      <c r="R575" t="s">
        <v>2054</v>
      </c>
    </row>
    <row r="576" spans="1:18" x14ac:dyDescent="0.25">
      <c r="A576" t="s">
        <v>627</v>
      </c>
      <c r="B576" s="1">
        <v>45256</v>
      </c>
      <c r="C576" s="1">
        <v>45272</v>
      </c>
      <c r="D576" t="s">
        <v>72</v>
      </c>
      <c r="E576" t="s">
        <v>44</v>
      </c>
      <c r="F576" t="s">
        <v>45</v>
      </c>
      <c r="G576" t="s">
        <v>35</v>
      </c>
      <c r="H576" t="s">
        <v>32</v>
      </c>
      <c r="I576">
        <v>3</v>
      </c>
      <c r="J576">
        <v>364.73</v>
      </c>
      <c r="K576">
        <v>25</v>
      </c>
      <c r="L576">
        <v>120</v>
      </c>
      <c r="M576">
        <v>370.47</v>
      </c>
      <c r="N576" t="s">
        <v>47</v>
      </c>
      <c r="O576">
        <v>16</v>
      </c>
      <c r="P576">
        <v>1094.19</v>
      </c>
      <c r="Q576">
        <v>1119.19</v>
      </c>
      <c r="R576" t="s">
        <v>2054</v>
      </c>
    </row>
    <row r="577" spans="1:18" x14ac:dyDescent="0.25">
      <c r="A577" t="s">
        <v>628</v>
      </c>
      <c r="B577" s="1">
        <v>45256</v>
      </c>
      <c r="C577" s="1">
        <v>45257</v>
      </c>
      <c r="D577" t="s">
        <v>75</v>
      </c>
      <c r="E577" t="s">
        <v>44</v>
      </c>
      <c r="F577" t="s">
        <v>45</v>
      </c>
      <c r="G577" t="s">
        <v>26</v>
      </c>
      <c r="H577" t="s">
        <v>22</v>
      </c>
      <c r="I577">
        <v>1</v>
      </c>
      <c r="J577">
        <v>703.13</v>
      </c>
      <c r="K577">
        <v>25</v>
      </c>
      <c r="L577">
        <v>362</v>
      </c>
      <c r="M577">
        <v>233.6</v>
      </c>
      <c r="N577" t="s">
        <v>23</v>
      </c>
      <c r="O577">
        <v>1</v>
      </c>
      <c r="P577">
        <v>703.13</v>
      </c>
      <c r="Q577">
        <v>728.13</v>
      </c>
      <c r="R577" t="s">
        <v>2054</v>
      </c>
    </row>
    <row r="578" spans="1:18" x14ac:dyDescent="0.25">
      <c r="A578" t="s">
        <v>629</v>
      </c>
      <c r="B578" s="1">
        <v>45257</v>
      </c>
      <c r="C578" s="1">
        <v>45262</v>
      </c>
      <c r="D578" t="s">
        <v>118</v>
      </c>
      <c r="E578" t="s">
        <v>79</v>
      </c>
      <c r="F578" t="s">
        <v>80</v>
      </c>
      <c r="G578" t="s">
        <v>21</v>
      </c>
      <c r="H578" t="s">
        <v>32</v>
      </c>
      <c r="I578">
        <v>2</v>
      </c>
      <c r="J578">
        <v>73.34</v>
      </c>
      <c r="K578">
        <v>12</v>
      </c>
      <c r="L578">
        <v>84</v>
      </c>
      <c r="M578">
        <v>60.01</v>
      </c>
      <c r="N578" t="s">
        <v>23</v>
      </c>
      <c r="O578">
        <v>5</v>
      </c>
      <c r="P578">
        <v>146.68</v>
      </c>
      <c r="Q578">
        <v>158.68</v>
      </c>
      <c r="R578" t="s">
        <v>2054</v>
      </c>
    </row>
    <row r="579" spans="1:18" x14ac:dyDescent="0.25">
      <c r="A579" t="s">
        <v>630</v>
      </c>
      <c r="B579" s="1">
        <v>45260</v>
      </c>
      <c r="C579" s="1">
        <v>45262</v>
      </c>
      <c r="D579" t="s">
        <v>37</v>
      </c>
      <c r="E579" t="s">
        <v>38</v>
      </c>
      <c r="F579" t="s">
        <v>39</v>
      </c>
      <c r="G579" t="s">
        <v>21</v>
      </c>
      <c r="H579" t="s">
        <v>22</v>
      </c>
      <c r="I579">
        <v>1</v>
      </c>
      <c r="J579">
        <v>499.28</v>
      </c>
      <c r="K579">
        <v>75</v>
      </c>
      <c r="L579">
        <v>388</v>
      </c>
      <c r="M579">
        <v>62.36</v>
      </c>
      <c r="N579" t="s">
        <v>23</v>
      </c>
      <c r="O579">
        <v>2</v>
      </c>
      <c r="P579">
        <v>499.28</v>
      </c>
      <c r="Q579">
        <v>574.28</v>
      </c>
      <c r="R579" t="s">
        <v>2054</v>
      </c>
    </row>
    <row r="580" spans="1:18" x14ac:dyDescent="0.25">
      <c r="A580" t="s">
        <v>631</v>
      </c>
      <c r="B580" s="1">
        <v>45260</v>
      </c>
      <c r="C580" s="1">
        <v>45265</v>
      </c>
      <c r="D580" t="s">
        <v>50</v>
      </c>
      <c r="E580" t="s">
        <v>44</v>
      </c>
      <c r="F580" t="s">
        <v>45</v>
      </c>
      <c r="G580" t="s">
        <v>35</v>
      </c>
      <c r="H580" t="s">
        <v>40</v>
      </c>
      <c r="I580">
        <v>3</v>
      </c>
      <c r="J580">
        <v>735.41</v>
      </c>
      <c r="K580">
        <v>37.5</v>
      </c>
      <c r="L580">
        <v>29</v>
      </c>
      <c r="M580">
        <v>753.43</v>
      </c>
      <c r="N580" t="s">
        <v>23</v>
      </c>
      <c r="O580">
        <v>5</v>
      </c>
      <c r="P580">
        <v>2206.23</v>
      </c>
      <c r="Q580">
        <v>2243.73</v>
      </c>
      <c r="R580" t="s">
        <v>2055</v>
      </c>
    </row>
    <row r="581" spans="1:18" x14ac:dyDescent="0.25">
      <c r="A581" t="s">
        <v>632</v>
      </c>
      <c r="B581" s="1">
        <v>45260</v>
      </c>
      <c r="C581" s="1">
        <v>45264</v>
      </c>
      <c r="D581" t="s">
        <v>50</v>
      </c>
      <c r="E581" t="s">
        <v>44</v>
      </c>
      <c r="F581" t="s">
        <v>45</v>
      </c>
      <c r="G581" t="s">
        <v>35</v>
      </c>
      <c r="H581" t="s">
        <v>40</v>
      </c>
      <c r="I581">
        <v>1</v>
      </c>
      <c r="J581">
        <v>995.54</v>
      </c>
      <c r="K581">
        <v>37.5</v>
      </c>
      <c r="L581">
        <v>151</v>
      </c>
      <c r="M581">
        <v>329.69</v>
      </c>
      <c r="N581" t="s">
        <v>23</v>
      </c>
      <c r="O581">
        <v>4</v>
      </c>
      <c r="P581">
        <v>995.54</v>
      </c>
      <c r="Q581">
        <v>1033.04</v>
      </c>
      <c r="R581" t="s">
        <v>2054</v>
      </c>
    </row>
    <row r="582" spans="1:18" x14ac:dyDescent="0.25">
      <c r="A582" t="s">
        <v>633</v>
      </c>
      <c r="B582" s="1">
        <v>45261</v>
      </c>
      <c r="C582" s="1">
        <v>45263</v>
      </c>
      <c r="D582" t="s">
        <v>118</v>
      </c>
      <c r="E582" t="s">
        <v>79</v>
      </c>
      <c r="F582" t="s">
        <v>80</v>
      </c>
      <c r="G582" t="s">
        <v>26</v>
      </c>
      <c r="H582" t="s">
        <v>27</v>
      </c>
      <c r="I582">
        <v>2</v>
      </c>
      <c r="J582">
        <v>141.18</v>
      </c>
      <c r="K582">
        <v>12</v>
      </c>
      <c r="L582">
        <v>345</v>
      </c>
      <c r="M582">
        <v>121.06</v>
      </c>
      <c r="N582" t="s">
        <v>23</v>
      </c>
      <c r="O582">
        <v>2</v>
      </c>
      <c r="P582">
        <v>282.36</v>
      </c>
      <c r="Q582">
        <v>294.36</v>
      </c>
      <c r="R582" t="s">
        <v>2054</v>
      </c>
    </row>
    <row r="583" spans="1:18" x14ac:dyDescent="0.25">
      <c r="A583" t="s">
        <v>634</v>
      </c>
      <c r="B583" s="1">
        <v>45261</v>
      </c>
      <c r="C583" s="1">
        <v>45263</v>
      </c>
      <c r="D583" t="s">
        <v>18</v>
      </c>
      <c r="E583" t="s">
        <v>19</v>
      </c>
      <c r="F583" t="s">
        <v>20</v>
      </c>
      <c r="G583" t="s">
        <v>35</v>
      </c>
      <c r="H583" t="s">
        <v>40</v>
      </c>
      <c r="I583">
        <v>6</v>
      </c>
      <c r="J583">
        <v>26.2</v>
      </c>
      <c r="K583">
        <v>12</v>
      </c>
      <c r="L583">
        <v>27</v>
      </c>
      <c r="M583">
        <v>6.58</v>
      </c>
      <c r="N583" t="s">
        <v>23</v>
      </c>
      <c r="O583">
        <v>2</v>
      </c>
      <c r="P583">
        <v>157.19999999999999</v>
      </c>
      <c r="Q583">
        <v>169.2</v>
      </c>
      <c r="R583" t="s">
        <v>2055</v>
      </c>
    </row>
    <row r="584" spans="1:18" x14ac:dyDescent="0.25">
      <c r="A584" t="s">
        <v>635</v>
      </c>
      <c r="B584" s="1">
        <v>45261</v>
      </c>
      <c r="C584" s="1">
        <v>45263</v>
      </c>
      <c r="D584" t="s">
        <v>50</v>
      </c>
      <c r="E584" t="s">
        <v>44</v>
      </c>
      <c r="F584" t="s">
        <v>45</v>
      </c>
      <c r="G584" t="s">
        <v>26</v>
      </c>
      <c r="H584" t="s">
        <v>22</v>
      </c>
      <c r="I584">
        <v>1</v>
      </c>
      <c r="J584">
        <v>359.39</v>
      </c>
      <c r="K584">
        <v>25</v>
      </c>
      <c r="L584">
        <v>197</v>
      </c>
      <c r="M584">
        <v>113.29</v>
      </c>
      <c r="N584" t="s">
        <v>23</v>
      </c>
      <c r="O584">
        <v>2</v>
      </c>
      <c r="P584">
        <v>359.39</v>
      </c>
      <c r="Q584">
        <v>384.39</v>
      </c>
      <c r="R584" t="s">
        <v>2054</v>
      </c>
    </row>
    <row r="585" spans="1:18" x14ac:dyDescent="0.25">
      <c r="A585" t="s">
        <v>636</v>
      </c>
      <c r="B585" s="1">
        <v>45262</v>
      </c>
      <c r="C585" s="1">
        <v>45275</v>
      </c>
      <c r="D585" t="s">
        <v>58</v>
      </c>
      <c r="E585" t="s">
        <v>19</v>
      </c>
      <c r="F585" t="s">
        <v>20</v>
      </c>
      <c r="G585" t="s">
        <v>35</v>
      </c>
      <c r="H585" t="s">
        <v>22</v>
      </c>
      <c r="I585">
        <v>11</v>
      </c>
      <c r="J585">
        <v>43.5</v>
      </c>
      <c r="K585">
        <v>8</v>
      </c>
      <c r="L585">
        <v>353</v>
      </c>
      <c r="M585">
        <v>34.28</v>
      </c>
      <c r="N585" t="s">
        <v>47</v>
      </c>
      <c r="O585">
        <v>13</v>
      </c>
      <c r="P585">
        <v>478.5</v>
      </c>
      <c r="Q585">
        <v>486.5</v>
      </c>
      <c r="R585" t="s">
        <v>2054</v>
      </c>
    </row>
    <row r="586" spans="1:18" x14ac:dyDescent="0.25">
      <c r="A586" t="s">
        <v>637</v>
      </c>
      <c r="B586" s="1">
        <v>45262</v>
      </c>
      <c r="C586" s="1">
        <v>45265</v>
      </c>
      <c r="D586" t="s">
        <v>118</v>
      </c>
      <c r="E586" t="s">
        <v>79</v>
      </c>
      <c r="F586" t="s">
        <v>80</v>
      </c>
      <c r="G586" t="s">
        <v>21</v>
      </c>
      <c r="H586" t="s">
        <v>27</v>
      </c>
      <c r="I586">
        <v>3</v>
      </c>
      <c r="J586">
        <v>62.51</v>
      </c>
      <c r="K586">
        <v>12</v>
      </c>
      <c r="L586">
        <v>172</v>
      </c>
      <c r="M586">
        <v>78.39</v>
      </c>
      <c r="N586" t="s">
        <v>23</v>
      </c>
      <c r="O586">
        <v>3</v>
      </c>
      <c r="P586">
        <v>187.53</v>
      </c>
      <c r="Q586">
        <v>199.53</v>
      </c>
      <c r="R586" t="s">
        <v>2054</v>
      </c>
    </row>
    <row r="587" spans="1:18" x14ac:dyDescent="0.25">
      <c r="A587" t="s">
        <v>638</v>
      </c>
      <c r="B587" s="1">
        <v>45262</v>
      </c>
      <c r="C587" s="1">
        <v>45263</v>
      </c>
      <c r="D587" t="s">
        <v>58</v>
      </c>
      <c r="E587" t="s">
        <v>19</v>
      </c>
      <c r="F587" t="s">
        <v>20</v>
      </c>
      <c r="G587" t="s">
        <v>21</v>
      </c>
      <c r="H587" t="s">
        <v>40</v>
      </c>
      <c r="I587">
        <v>14</v>
      </c>
      <c r="J587">
        <v>42.58</v>
      </c>
      <c r="K587">
        <v>12</v>
      </c>
      <c r="L587">
        <v>32</v>
      </c>
      <c r="M587">
        <v>41.69</v>
      </c>
      <c r="N587" t="s">
        <v>23</v>
      </c>
      <c r="O587">
        <v>1</v>
      </c>
      <c r="P587">
        <v>596.12</v>
      </c>
      <c r="Q587">
        <v>608.12</v>
      </c>
      <c r="R587" t="s">
        <v>2055</v>
      </c>
    </row>
    <row r="588" spans="1:18" x14ac:dyDescent="0.25">
      <c r="A588" t="s">
        <v>639</v>
      </c>
      <c r="B588" s="1">
        <v>45262</v>
      </c>
      <c r="C588" s="1">
        <v>45264</v>
      </c>
      <c r="D588" t="s">
        <v>50</v>
      </c>
      <c r="E588" t="s">
        <v>44</v>
      </c>
      <c r="F588" t="s">
        <v>45</v>
      </c>
      <c r="G588" t="s">
        <v>21</v>
      </c>
      <c r="H588" t="s">
        <v>27</v>
      </c>
      <c r="I588">
        <v>3</v>
      </c>
      <c r="J588">
        <v>627.51</v>
      </c>
      <c r="K588">
        <v>25</v>
      </c>
      <c r="L588">
        <v>201</v>
      </c>
      <c r="M588">
        <v>646.38</v>
      </c>
      <c r="N588" t="s">
        <v>23</v>
      </c>
      <c r="O588">
        <v>2</v>
      </c>
      <c r="P588">
        <v>1882.53</v>
      </c>
      <c r="Q588">
        <v>1907.53</v>
      </c>
      <c r="R588" t="s">
        <v>2054</v>
      </c>
    </row>
    <row r="589" spans="1:18" x14ac:dyDescent="0.25">
      <c r="A589" t="s">
        <v>640</v>
      </c>
      <c r="B589" s="1">
        <v>45263</v>
      </c>
      <c r="C589" s="1">
        <v>45276</v>
      </c>
      <c r="D589" t="s">
        <v>118</v>
      </c>
      <c r="E589" t="s">
        <v>79</v>
      </c>
      <c r="F589" t="s">
        <v>80</v>
      </c>
      <c r="G589" t="s">
        <v>35</v>
      </c>
      <c r="H589" t="s">
        <v>22</v>
      </c>
      <c r="I589">
        <v>2</v>
      </c>
      <c r="J589">
        <v>44.84</v>
      </c>
      <c r="K589">
        <v>12</v>
      </c>
      <c r="L589">
        <v>124</v>
      </c>
      <c r="M589">
        <v>34.36</v>
      </c>
      <c r="N589" t="s">
        <v>47</v>
      </c>
      <c r="O589">
        <v>13</v>
      </c>
      <c r="P589">
        <v>89.68</v>
      </c>
      <c r="Q589">
        <v>101.68</v>
      </c>
      <c r="R589" t="s">
        <v>2054</v>
      </c>
    </row>
    <row r="590" spans="1:18" x14ac:dyDescent="0.25">
      <c r="A590" t="s">
        <v>641</v>
      </c>
      <c r="B590" s="1">
        <v>45264</v>
      </c>
      <c r="C590" s="1">
        <v>45266</v>
      </c>
      <c r="D590" t="s">
        <v>52</v>
      </c>
      <c r="E590" t="s">
        <v>30</v>
      </c>
      <c r="F590" t="s">
        <v>31</v>
      </c>
      <c r="G590" t="s">
        <v>26</v>
      </c>
      <c r="H590" t="s">
        <v>32</v>
      </c>
      <c r="I590">
        <v>4</v>
      </c>
      <c r="J590">
        <v>141.77000000000001</v>
      </c>
      <c r="K590">
        <v>12</v>
      </c>
      <c r="L590">
        <v>182</v>
      </c>
      <c r="M590">
        <v>220.82</v>
      </c>
      <c r="N590" t="s">
        <v>23</v>
      </c>
      <c r="O590">
        <v>2</v>
      </c>
      <c r="P590">
        <v>567.08000000000004</v>
      </c>
      <c r="Q590">
        <v>579.08000000000004</v>
      </c>
      <c r="R590" t="s">
        <v>2054</v>
      </c>
    </row>
    <row r="591" spans="1:18" x14ac:dyDescent="0.25">
      <c r="A591" t="s">
        <v>642</v>
      </c>
      <c r="B591" s="1">
        <v>45264</v>
      </c>
      <c r="C591" s="1">
        <v>45266</v>
      </c>
      <c r="D591" t="s">
        <v>25</v>
      </c>
      <c r="E591" t="s">
        <v>19</v>
      </c>
      <c r="F591" t="s">
        <v>20</v>
      </c>
      <c r="G591" t="s">
        <v>21</v>
      </c>
      <c r="H591" t="s">
        <v>22</v>
      </c>
      <c r="I591">
        <v>6</v>
      </c>
      <c r="J591">
        <v>43.4</v>
      </c>
      <c r="K591">
        <v>8</v>
      </c>
      <c r="L591">
        <v>7</v>
      </c>
      <c r="M591">
        <v>16.829999999999998</v>
      </c>
      <c r="N591" t="s">
        <v>23</v>
      </c>
      <c r="O591">
        <v>2</v>
      </c>
      <c r="P591">
        <v>260.39999999999998</v>
      </c>
      <c r="Q591">
        <v>268.39999999999998</v>
      </c>
      <c r="R591" t="s">
        <v>2056</v>
      </c>
    </row>
    <row r="592" spans="1:18" x14ac:dyDescent="0.25">
      <c r="A592" t="s">
        <v>643</v>
      </c>
      <c r="B592" s="1">
        <v>45264</v>
      </c>
      <c r="C592" s="1">
        <v>45265</v>
      </c>
      <c r="D592" t="s">
        <v>58</v>
      </c>
      <c r="E592" t="s">
        <v>19</v>
      </c>
      <c r="F592" t="s">
        <v>20</v>
      </c>
      <c r="G592" t="s">
        <v>21</v>
      </c>
      <c r="H592" t="s">
        <v>22</v>
      </c>
      <c r="I592">
        <v>12</v>
      </c>
      <c r="J592">
        <v>37.22</v>
      </c>
      <c r="K592">
        <v>8</v>
      </c>
      <c r="L592">
        <v>255</v>
      </c>
      <c r="M592">
        <v>-67</v>
      </c>
      <c r="N592" t="s">
        <v>23</v>
      </c>
      <c r="O592">
        <v>1</v>
      </c>
      <c r="P592">
        <v>446.64</v>
      </c>
      <c r="Q592">
        <v>454.64</v>
      </c>
      <c r="R592" t="s">
        <v>2054</v>
      </c>
    </row>
    <row r="593" spans="1:18" x14ac:dyDescent="0.25">
      <c r="A593" t="s">
        <v>644</v>
      </c>
      <c r="B593" s="1">
        <v>45264</v>
      </c>
      <c r="C593" s="1">
        <v>45268</v>
      </c>
      <c r="D593" t="s">
        <v>54</v>
      </c>
      <c r="E593" t="s">
        <v>38</v>
      </c>
      <c r="F593" t="s">
        <v>39</v>
      </c>
      <c r="G593" t="s">
        <v>21</v>
      </c>
      <c r="H593" t="s">
        <v>32</v>
      </c>
      <c r="I593">
        <v>2</v>
      </c>
      <c r="J593">
        <v>461.33</v>
      </c>
      <c r="K593">
        <v>75</v>
      </c>
      <c r="L593">
        <v>158</v>
      </c>
      <c r="M593">
        <v>147.03</v>
      </c>
      <c r="N593" t="s">
        <v>23</v>
      </c>
      <c r="O593">
        <v>4</v>
      </c>
      <c r="P593">
        <v>922.66</v>
      </c>
      <c r="Q593">
        <v>997.66</v>
      </c>
      <c r="R593" t="s">
        <v>2054</v>
      </c>
    </row>
    <row r="594" spans="1:18" x14ac:dyDescent="0.25">
      <c r="A594" t="s">
        <v>645</v>
      </c>
      <c r="B594" s="1">
        <v>45264</v>
      </c>
      <c r="C594" s="1">
        <v>45274</v>
      </c>
      <c r="D594" t="s">
        <v>72</v>
      </c>
      <c r="E594" t="s">
        <v>44</v>
      </c>
      <c r="F594" t="s">
        <v>45</v>
      </c>
      <c r="G594" t="s">
        <v>35</v>
      </c>
      <c r="H594" t="s">
        <v>40</v>
      </c>
      <c r="I594">
        <v>2</v>
      </c>
      <c r="J594">
        <v>872.33</v>
      </c>
      <c r="K594">
        <v>37.5</v>
      </c>
      <c r="L594">
        <v>67</v>
      </c>
      <c r="M594">
        <v>591.88</v>
      </c>
      <c r="N594" t="s">
        <v>63</v>
      </c>
      <c r="O594">
        <v>10</v>
      </c>
      <c r="P594">
        <v>1744.66</v>
      </c>
      <c r="Q594">
        <v>1782.16</v>
      </c>
      <c r="R594" t="s">
        <v>2054</v>
      </c>
    </row>
    <row r="595" spans="1:18" x14ac:dyDescent="0.25">
      <c r="A595" t="s">
        <v>646</v>
      </c>
      <c r="B595" s="1">
        <v>45265</v>
      </c>
      <c r="C595" s="1">
        <v>45267</v>
      </c>
      <c r="D595" t="s">
        <v>82</v>
      </c>
      <c r="E595" t="s">
        <v>79</v>
      </c>
      <c r="F595" t="s">
        <v>80</v>
      </c>
      <c r="G595" t="s">
        <v>21</v>
      </c>
      <c r="H595" t="s">
        <v>22</v>
      </c>
      <c r="I595">
        <v>1</v>
      </c>
      <c r="J595">
        <v>69.69</v>
      </c>
      <c r="K595">
        <v>12</v>
      </c>
      <c r="L595">
        <v>275</v>
      </c>
      <c r="M595">
        <v>25.36</v>
      </c>
      <c r="N595" t="s">
        <v>23</v>
      </c>
      <c r="O595">
        <v>2</v>
      </c>
      <c r="P595">
        <v>69.69</v>
      </c>
      <c r="Q595">
        <v>81.69</v>
      </c>
      <c r="R595" t="s">
        <v>2054</v>
      </c>
    </row>
    <row r="596" spans="1:18" x14ac:dyDescent="0.25">
      <c r="A596" t="s">
        <v>647</v>
      </c>
      <c r="B596" s="1">
        <v>45265</v>
      </c>
      <c r="C596" s="1">
        <v>45277</v>
      </c>
      <c r="D596" t="s">
        <v>37</v>
      </c>
      <c r="E596" t="s">
        <v>38</v>
      </c>
      <c r="F596" t="s">
        <v>39</v>
      </c>
      <c r="G596" t="s">
        <v>35</v>
      </c>
      <c r="H596" t="s">
        <v>40</v>
      </c>
      <c r="I596">
        <v>1</v>
      </c>
      <c r="J596">
        <v>121.38</v>
      </c>
      <c r="K596">
        <v>112.5</v>
      </c>
      <c r="L596">
        <v>47</v>
      </c>
      <c r="M596">
        <v>-31.97</v>
      </c>
      <c r="N596" t="s">
        <v>47</v>
      </c>
      <c r="O596">
        <v>12</v>
      </c>
      <c r="P596">
        <v>121.38</v>
      </c>
      <c r="Q596">
        <v>233.88</v>
      </c>
      <c r="R596" t="s">
        <v>2055</v>
      </c>
    </row>
    <row r="597" spans="1:18" x14ac:dyDescent="0.25">
      <c r="A597" t="s">
        <v>648</v>
      </c>
      <c r="B597" s="1">
        <v>45266</v>
      </c>
      <c r="C597" s="1">
        <v>45271</v>
      </c>
      <c r="D597" t="s">
        <v>56</v>
      </c>
      <c r="E597" t="s">
        <v>38</v>
      </c>
      <c r="F597" t="s">
        <v>39</v>
      </c>
      <c r="G597" t="s">
        <v>35</v>
      </c>
      <c r="H597" t="s">
        <v>27</v>
      </c>
      <c r="I597">
        <v>1</v>
      </c>
      <c r="J597">
        <v>101.88</v>
      </c>
      <c r="K597">
        <v>75</v>
      </c>
      <c r="L597">
        <v>171</v>
      </c>
      <c r="M597">
        <v>-17.12</v>
      </c>
      <c r="N597" t="s">
        <v>23</v>
      </c>
      <c r="O597">
        <v>5</v>
      </c>
      <c r="P597">
        <v>101.88</v>
      </c>
      <c r="Q597">
        <v>176.88</v>
      </c>
      <c r="R597" t="s">
        <v>2054</v>
      </c>
    </row>
    <row r="598" spans="1:18" x14ac:dyDescent="0.25">
      <c r="A598" t="s">
        <v>649</v>
      </c>
      <c r="B598" s="1">
        <v>45267</v>
      </c>
      <c r="C598" s="1">
        <v>45270</v>
      </c>
      <c r="D598" t="s">
        <v>78</v>
      </c>
      <c r="E598" t="s">
        <v>79</v>
      </c>
      <c r="F598" t="s">
        <v>80</v>
      </c>
      <c r="G598" t="s">
        <v>21</v>
      </c>
      <c r="H598" t="s">
        <v>27</v>
      </c>
      <c r="I598">
        <v>3</v>
      </c>
      <c r="J598">
        <v>78.08</v>
      </c>
      <c r="K598">
        <v>12</v>
      </c>
      <c r="L598">
        <v>103</v>
      </c>
      <c r="M598">
        <v>99.41</v>
      </c>
      <c r="N598" t="s">
        <v>23</v>
      </c>
      <c r="O598">
        <v>3</v>
      </c>
      <c r="P598">
        <v>234.24</v>
      </c>
      <c r="Q598">
        <v>246.24</v>
      </c>
      <c r="R598" t="s">
        <v>2054</v>
      </c>
    </row>
    <row r="599" spans="1:18" x14ac:dyDescent="0.25">
      <c r="A599" t="s">
        <v>650</v>
      </c>
      <c r="B599" s="1">
        <v>45267</v>
      </c>
      <c r="C599" s="1">
        <v>45271</v>
      </c>
      <c r="D599" t="s">
        <v>18</v>
      </c>
      <c r="E599" t="s">
        <v>19</v>
      </c>
      <c r="F599" t="s">
        <v>20</v>
      </c>
      <c r="G599" t="s">
        <v>26</v>
      </c>
      <c r="H599" t="s">
        <v>27</v>
      </c>
      <c r="I599">
        <v>5</v>
      </c>
      <c r="J599">
        <v>31.25</v>
      </c>
      <c r="K599">
        <v>8</v>
      </c>
      <c r="L599">
        <v>357</v>
      </c>
      <c r="M599">
        <v>8.5</v>
      </c>
      <c r="N599" t="s">
        <v>23</v>
      </c>
      <c r="O599">
        <v>4</v>
      </c>
      <c r="P599">
        <v>156.25</v>
      </c>
      <c r="Q599">
        <v>164.25</v>
      </c>
      <c r="R599" t="s">
        <v>2054</v>
      </c>
    </row>
    <row r="600" spans="1:18" x14ac:dyDescent="0.25">
      <c r="A600" t="s">
        <v>651</v>
      </c>
      <c r="B600" s="1">
        <v>45268</v>
      </c>
      <c r="C600" s="1">
        <v>45269</v>
      </c>
      <c r="D600" t="s">
        <v>75</v>
      </c>
      <c r="E600" t="s">
        <v>44</v>
      </c>
      <c r="F600" t="s">
        <v>45</v>
      </c>
      <c r="G600" t="s">
        <v>21</v>
      </c>
      <c r="H600" t="s">
        <v>32</v>
      </c>
      <c r="I600">
        <v>3</v>
      </c>
      <c r="J600">
        <v>860.47</v>
      </c>
      <c r="K600">
        <v>25</v>
      </c>
      <c r="L600">
        <v>253</v>
      </c>
      <c r="M600">
        <v>890.99</v>
      </c>
      <c r="N600" t="s">
        <v>23</v>
      </c>
      <c r="O600">
        <v>1</v>
      </c>
      <c r="P600">
        <v>2581.41</v>
      </c>
      <c r="Q600">
        <v>2606.41</v>
      </c>
      <c r="R600" t="s">
        <v>2054</v>
      </c>
    </row>
    <row r="601" spans="1:18" x14ac:dyDescent="0.25">
      <c r="A601" t="s">
        <v>652</v>
      </c>
      <c r="B601" s="1">
        <v>45268</v>
      </c>
      <c r="C601" s="1">
        <v>45272</v>
      </c>
      <c r="D601" t="s">
        <v>34</v>
      </c>
      <c r="E601" t="s">
        <v>30</v>
      </c>
      <c r="F601" t="s">
        <v>31</v>
      </c>
      <c r="G601" t="s">
        <v>26</v>
      </c>
      <c r="H601" t="s">
        <v>22</v>
      </c>
      <c r="I601">
        <v>1</v>
      </c>
      <c r="J601">
        <v>127.63</v>
      </c>
      <c r="K601">
        <v>12</v>
      </c>
      <c r="L601">
        <v>169</v>
      </c>
      <c r="M601">
        <v>45.05</v>
      </c>
      <c r="N601" t="s">
        <v>23</v>
      </c>
      <c r="O601">
        <v>4</v>
      </c>
      <c r="P601">
        <v>127.63</v>
      </c>
      <c r="Q601">
        <v>139.63</v>
      </c>
      <c r="R601" t="s">
        <v>2054</v>
      </c>
    </row>
    <row r="602" spans="1:18" x14ac:dyDescent="0.25">
      <c r="A602" t="s">
        <v>653</v>
      </c>
      <c r="B602" s="1">
        <v>45268</v>
      </c>
      <c r="C602" s="1">
        <v>45273</v>
      </c>
      <c r="D602" t="s">
        <v>25</v>
      </c>
      <c r="E602" t="s">
        <v>19</v>
      </c>
      <c r="F602" t="s">
        <v>20</v>
      </c>
      <c r="G602" t="s">
        <v>21</v>
      </c>
      <c r="H602" t="s">
        <v>22</v>
      </c>
      <c r="I602">
        <v>9</v>
      </c>
      <c r="J602">
        <v>28.9</v>
      </c>
      <c r="K602">
        <v>8</v>
      </c>
      <c r="L602">
        <v>291</v>
      </c>
      <c r="M602">
        <v>16.809999999999999</v>
      </c>
      <c r="N602" t="s">
        <v>23</v>
      </c>
      <c r="O602">
        <v>5</v>
      </c>
      <c r="P602">
        <v>260.09999999999997</v>
      </c>
      <c r="Q602">
        <v>268.09999999999997</v>
      </c>
      <c r="R602" t="s">
        <v>2054</v>
      </c>
    </row>
    <row r="603" spans="1:18" x14ac:dyDescent="0.25">
      <c r="A603" t="s">
        <v>654</v>
      </c>
      <c r="B603" s="1">
        <v>45268</v>
      </c>
      <c r="C603" s="1">
        <v>45270</v>
      </c>
      <c r="D603" t="s">
        <v>118</v>
      </c>
      <c r="E603" t="s">
        <v>79</v>
      </c>
      <c r="F603" t="s">
        <v>80</v>
      </c>
      <c r="G603" t="s">
        <v>35</v>
      </c>
      <c r="H603" t="s">
        <v>40</v>
      </c>
      <c r="I603">
        <v>4</v>
      </c>
      <c r="J603">
        <v>40.75</v>
      </c>
      <c r="K603">
        <v>18</v>
      </c>
      <c r="L603">
        <v>380</v>
      </c>
      <c r="M603">
        <v>64.349999999999994</v>
      </c>
      <c r="N603" t="s">
        <v>23</v>
      </c>
      <c r="O603">
        <v>2</v>
      </c>
      <c r="P603">
        <v>163</v>
      </c>
      <c r="Q603">
        <v>181</v>
      </c>
      <c r="R603" t="s">
        <v>2054</v>
      </c>
    </row>
    <row r="604" spans="1:18" x14ac:dyDescent="0.25">
      <c r="A604" t="s">
        <v>655</v>
      </c>
      <c r="B604" s="1">
        <v>45269</v>
      </c>
      <c r="C604" s="1">
        <v>45270</v>
      </c>
      <c r="D604" t="s">
        <v>56</v>
      </c>
      <c r="E604" t="s">
        <v>38</v>
      </c>
      <c r="F604" t="s">
        <v>39</v>
      </c>
      <c r="G604" t="s">
        <v>26</v>
      </c>
      <c r="H604" t="s">
        <v>27</v>
      </c>
      <c r="I604">
        <v>1</v>
      </c>
      <c r="J604">
        <v>174.71</v>
      </c>
      <c r="K604">
        <v>75</v>
      </c>
      <c r="L604">
        <v>102</v>
      </c>
      <c r="M604">
        <v>-2.56</v>
      </c>
      <c r="N604" t="s">
        <v>23</v>
      </c>
      <c r="O604">
        <v>1</v>
      </c>
      <c r="P604">
        <v>174.71</v>
      </c>
      <c r="Q604">
        <v>249.71</v>
      </c>
      <c r="R604" t="s">
        <v>2054</v>
      </c>
    </row>
    <row r="605" spans="1:18" x14ac:dyDescent="0.25">
      <c r="A605" t="s">
        <v>656</v>
      </c>
      <c r="B605" s="1">
        <v>45270</v>
      </c>
      <c r="C605" s="1">
        <v>45286</v>
      </c>
      <c r="D605" t="s">
        <v>37</v>
      </c>
      <c r="E605" t="s">
        <v>38</v>
      </c>
      <c r="F605" t="s">
        <v>39</v>
      </c>
      <c r="G605" t="s">
        <v>35</v>
      </c>
      <c r="H605" t="s">
        <v>40</v>
      </c>
      <c r="I605">
        <v>2</v>
      </c>
      <c r="J605">
        <v>196.5</v>
      </c>
      <c r="K605">
        <v>112.5</v>
      </c>
      <c r="L605">
        <v>348</v>
      </c>
      <c r="M605">
        <v>22.35</v>
      </c>
      <c r="N605" t="s">
        <v>47</v>
      </c>
      <c r="O605">
        <v>16</v>
      </c>
      <c r="P605">
        <v>393</v>
      </c>
      <c r="Q605">
        <v>505.5</v>
      </c>
      <c r="R605" t="s">
        <v>2054</v>
      </c>
    </row>
    <row r="606" spans="1:18" x14ac:dyDescent="0.25">
      <c r="A606" t="s">
        <v>657</v>
      </c>
      <c r="B606" s="1">
        <v>45271</v>
      </c>
      <c r="C606" s="1">
        <v>45272</v>
      </c>
      <c r="D606" t="s">
        <v>72</v>
      </c>
      <c r="E606" t="s">
        <v>44</v>
      </c>
      <c r="F606" t="s">
        <v>45</v>
      </c>
      <c r="G606" t="s">
        <v>21</v>
      </c>
      <c r="H606" t="s">
        <v>22</v>
      </c>
      <c r="I606">
        <v>3</v>
      </c>
      <c r="J606">
        <v>441.35</v>
      </c>
      <c r="K606">
        <v>25</v>
      </c>
      <c r="L606">
        <v>71</v>
      </c>
      <c r="M606">
        <v>450.92</v>
      </c>
      <c r="N606" t="s">
        <v>23</v>
      </c>
      <c r="O606">
        <v>1</v>
      </c>
      <c r="P606">
        <v>1324.0500000000002</v>
      </c>
      <c r="Q606">
        <v>1349.0500000000002</v>
      </c>
      <c r="R606" t="s">
        <v>2054</v>
      </c>
    </row>
    <row r="607" spans="1:18" x14ac:dyDescent="0.25">
      <c r="A607" t="s">
        <v>658</v>
      </c>
      <c r="B607" s="1">
        <v>45271</v>
      </c>
      <c r="C607" s="1">
        <v>45275</v>
      </c>
      <c r="D607" t="s">
        <v>52</v>
      </c>
      <c r="E607" t="s">
        <v>30</v>
      </c>
      <c r="F607" t="s">
        <v>31</v>
      </c>
      <c r="G607" t="s">
        <v>26</v>
      </c>
      <c r="H607" t="s">
        <v>32</v>
      </c>
      <c r="I607">
        <v>5</v>
      </c>
      <c r="J607">
        <v>123.05</v>
      </c>
      <c r="K607">
        <v>12</v>
      </c>
      <c r="L607">
        <v>319</v>
      </c>
      <c r="M607">
        <v>240.09</v>
      </c>
      <c r="N607" t="s">
        <v>23</v>
      </c>
      <c r="O607">
        <v>4</v>
      </c>
      <c r="P607">
        <v>615.25</v>
      </c>
      <c r="Q607">
        <v>627.25</v>
      </c>
      <c r="R607" t="s">
        <v>2054</v>
      </c>
    </row>
    <row r="608" spans="1:18" x14ac:dyDescent="0.25">
      <c r="A608" t="s">
        <v>659</v>
      </c>
      <c r="B608" s="1">
        <v>45272</v>
      </c>
      <c r="C608" s="1">
        <v>45275</v>
      </c>
      <c r="D608" t="s">
        <v>54</v>
      </c>
      <c r="E608" t="s">
        <v>38</v>
      </c>
      <c r="F608" t="s">
        <v>39</v>
      </c>
      <c r="G608" t="s">
        <v>35</v>
      </c>
      <c r="H608" t="s">
        <v>40</v>
      </c>
      <c r="I608">
        <v>2</v>
      </c>
      <c r="J608">
        <v>203.76</v>
      </c>
      <c r="K608">
        <v>112.5</v>
      </c>
      <c r="L608">
        <v>383</v>
      </c>
      <c r="M608">
        <v>25.25</v>
      </c>
      <c r="N608" t="s">
        <v>23</v>
      </c>
      <c r="O608">
        <v>3</v>
      </c>
      <c r="P608">
        <v>407.52</v>
      </c>
      <c r="Q608">
        <v>520.02</v>
      </c>
      <c r="R608" t="s">
        <v>2054</v>
      </c>
    </row>
    <row r="609" spans="1:18" x14ac:dyDescent="0.25">
      <c r="A609" t="s">
        <v>660</v>
      </c>
      <c r="B609" s="1">
        <v>45272</v>
      </c>
      <c r="C609" s="1">
        <v>45273</v>
      </c>
      <c r="D609" t="s">
        <v>37</v>
      </c>
      <c r="E609" t="s">
        <v>38</v>
      </c>
      <c r="F609" t="s">
        <v>39</v>
      </c>
      <c r="G609" t="s">
        <v>21</v>
      </c>
      <c r="H609" t="s">
        <v>22</v>
      </c>
      <c r="I609">
        <v>2</v>
      </c>
      <c r="J609">
        <v>365.45</v>
      </c>
      <c r="K609">
        <v>75</v>
      </c>
      <c r="L609">
        <v>30</v>
      </c>
      <c r="M609">
        <v>108.68</v>
      </c>
      <c r="N609" t="s">
        <v>23</v>
      </c>
      <c r="O609">
        <v>1</v>
      </c>
      <c r="P609">
        <v>730.9</v>
      </c>
      <c r="Q609">
        <v>805.9</v>
      </c>
      <c r="R609" t="s">
        <v>2055</v>
      </c>
    </row>
    <row r="610" spans="1:18" x14ac:dyDescent="0.25">
      <c r="A610" t="s">
        <v>661</v>
      </c>
      <c r="B610" s="1">
        <v>45272</v>
      </c>
      <c r="C610" s="1">
        <v>45273</v>
      </c>
      <c r="D610" t="s">
        <v>50</v>
      </c>
      <c r="E610" t="s">
        <v>44</v>
      </c>
      <c r="F610" t="s">
        <v>45</v>
      </c>
      <c r="G610" t="s">
        <v>21</v>
      </c>
      <c r="H610" t="s">
        <v>32</v>
      </c>
      <c r="I610">
        <v>1</v>
      </c>
      <c r="J610">
        <v>929.52</v>
      </c>
      <c r="K610">
        <v>25</v>
      </c>
      <c r="L610">
        <v>228</v>
      </c>
      <c r="M610">
        <v>312.83</v>
      </c>
      <c r="N610" t="s">
        <v>23</v>
      </c>
      <c r="O610">
        <v>1</v>
      </c>
      <c r="P610">
        <v>929.52</v>
      </c>
      <c r="Q610">
        <v>954.52</v>
      </c>
      <c r="R610" t="s">
        <v>2054</v>
      </c>
    </row>
    <row r="611" spans="1:18" x14ac:dyDescent="0.25">
      <c r="A611" t="s">
        <v>662</v>
      </c>
      <c r="B611" s="1">
        <v>45273</v>
      </c>
      <c r="C611" s="1">
        <v>45274</v>
      </c>
      <c r="D611" t="s">
        <v>52</v>
      </c>
      <c r="E611" t="s">
        <v>30</v>
      </c>
      <c r="F611" t="s">
        <v>31</v>
      </c>
      <c r="G611" t="s">
        <v>21</v>
      </c>
      <c r="H611" t="s">
        <v>32</v>
      </c>
      <c r="I611">
        <v>1</v>
      </c>
      <c r="J611">
        <v>80.81</v>
      </c>
      <c r="K611">
        <v>12</v>
      </c>
      <c r="L611">
        <v>163</v>
      </c>
      <c r="M611">
        <v>26.32</v>
      </c>
      <c r="N611" t="s">
        <v>23</v>
      </c>
      <c r="O611">
        <v>1</v>
      </c>
      <c r="P611">
        <v>80.81</v>
      </c>
      <c r="Q611">
        <v>92.81</v>
      </c>
      <c r="R611" t="s">
        <v>2054</v>
      </c>
    </row>
    <row r="612" spans="1:18" x14ac:dyDescent="0.25">
      <c r="A612" t="s">
        <v>663</v>
      </c>
      <c r="B612" s="1">
        <v>45274</v>
      </c>
      <c r="C612" s="1">
        <v>45287</v>
      </c>
      <c r="D612" t="s">
        <v>34</v>
      </c>
      <c r="E612" t="s">
        <v>30</v>
      </c>
      <c r="F612" t="s">
        <v>31</v>
      </c>
      <c r="G612" t="s">
        <v>35</v>
      </c>
      <c r="H612" t="s">
        <v>27</v>
      </c>
      <c r="I612">
        <v>2</v>
      </c>
      <c r="J612">
        <v>79.819999999999993</v>
      </c>
      <c r="K612">
        <v>12</v>
      </c>
      <c r="L612">
        <v>289</v>
      </c>
      <c r="M612">
        <v>57.85</v>
      </c>
      <c r="N612" t="s">
        <v>47</v>
      </c>
      <c r="O612">
        <v>13</v>
      </c>
      <c r="P612">
        <v>159.63999999999999</v>
      </c>
      <c r="Q612">
        <v>171.64</v>
      </c>
      <c r="R612" t="s">
        <v>2054</v>
      </c>
    </row>
    <row r="613" spans="1:18" x14ac:dyDescent="0.25">
      <c r="A613" t="s">
        <v>664</v>
      </c>
      <c r="B613" s="1">
        <v>45274</v>
      </c>
      <c r="C613" s="1">
        <v>45278</v>
      </c>
      <c r="D613" t="s">
        <v>37</v>
      </c>
      <c r="E613" t="s">
        <v>38</v>
      </c>
      <c r="F613" t="s">
        <v>39</v>
      </c>
      <c r="G613" t="s">
        <v>35</v>
      </c>
      <c r="H613" t="s">
        <v>22</v>
      </c>
      <c r="I613">
        <v>1</v>
      </c>
      <c r="J613">
        <v>469.8</v>
      </c>
      <c r="K613">
        <v>75</v>
      </c>
      <c r="L613">
        <v>42</v>
      </c>
      <c r="M613">
        <v>56.46</v>
      </c>
      <c r="N613" t="s">
        <v>23</v>
      </c>
      <c r="O613">
        <v>4</v>
      </c>
      <c r="P613">
        <v>469.8</v>
      </c>
      <c r="Q613">
        <v>544.79999999999995</v>
      </c>
      <c r="R613" t="s">
        <v>2055</v>
      </c>
    </row>
    <row r="614" spans="1:18" x14ac:dyDescent="0.25">
      <c r="A614" t="s">
        <v>665</v>
      </c>
      <c r="B614" s="1">
        <v>45275</v>
      </c>
      <c r="C614" s="1">
        <v>45279</v>
      </c>
      <c r="D614" t="s">
        <v>72</v>
      </c>
      <c r="E614" t="s">
        <v>44</v>
      </c>
      <c r="F614" t="s">
        <v>45</v>
      </c>
      <c r="G614" t="s">
        <v>26</v>
      </c>
      <c r="H614" t="s">
        <v>32</v>
      </c>
      <c r="I614">
        <v>2</v>
      </c>
      <c r="J614">
        <v>1074.42</v>
      </c>
      <c r="K614">
        <v>25</v>
      </c>
      <c r="L614">
        <v>234</v>
      </c>
      <c r="M614">
        <v>739.59</v>
      </c>
      <c r="N614" t="s">
        <v>23</v>
      </c>
      <c r="O614">
        <v>4</v>
      </c>
      <c r="P614">
        <v>2148.84</v>
      </c>
      <c r="Q614">
        <v>2173.84</v>
      </c>
      <c r="R614" t="s">
        <v>2054</v>
      </c>
    </row>
    <row r="615" spans="1:18" x14ac:dyDescent="0.25">
      <c r="A615" t="s">
        <v>666</v>
      </c>
      <c r="B615" s="1">
        <v>45275</v>
      </c>
      <c r="C615" s="1">
        <v>45276</v>
      </c>
      <c r="D615" t="s">
        <v>29</v>
      </c>
      <c r="E615" t="s">
        <v>30</v>
      </c>
      <c r="F615" t="s">
        <v>31</v>
      </c>
      <c r="G615" t="s">
        <v>26</v>
      </c>
      <c r="H615" t="s">
        <v>22</v>
      </c>
      <c r="I615">
        <v>3</v>
      </c>
      <c r="J615">
        <v>105.02</v>
      </c>
      <c r="K615">
        <v>12</v>
      </c>
      <c r="L615">
        <v>285</v>
      </c>
      <c r="M615">
        <v>120.02</v>
      </c>
      <c r="N615" t="s">
        <v>23</v>
      </c>
      <c r="O615">
        <v>1</v>
      </c>
      <c r="P615">
        <v>315.06</v>
      </c>
      <c r="Q615">
        <v>327.06</v>
      </c>
      <c r="R615" t="s">
        <v>2054</v>
      </c>
    </row>
    <row r="616" spans="1:18" x14ac:dyDescent="0.25">
      <c r="A616" t="s">
        <v>667</v>
      </c>
      <c r="B616" s="1">
        <v>45276</v>
      </c>
      <c r="C616" s="1">
        <v>45281</v>
      </c>
      <c r="D616" t="s">
        <v>82</v>
      </c>
      <c r="E616" t="s">
        <v>79</v>
      </c>
      <c r="F616" t="s">
        <v>80</v>
      </c>
      <c r="G616" t="s">
        <v>21</v>
      </c>
      <c r="H616" t="s">
        <v>22</v>
      </c>
      <c r="I616">
        <v>2</v>
      </c>
      <c r="J616">
        <v>25.61</v>
      </c>
      <c r="K616">
        <v>12</v>
      </c>
      <c r="L616">
        <v>273</v>
      </c>
      <c r="M616">
        <v>17.05</v>
      </c>
      <c r="N616" t="s">
        <v>23</v>
      </c>
      <c r="O616">
        <v>5</v>
      </c>
      <c r="P616">
        <v>51.22</v>
      </c>
      <c r="Q616">
        <v>63.22</v>
      </c>
      <c r="R616" t="s">
        <v>2054</v>
      </c>
    </row>
    <row r="617" spans="1:18" x14ac:dyDescent="0.25">
      <c r="A617" t="s">
        <v>668</v>
      </c>
      <c r="B617" s="1">
        <v>45276</v>
      </c>
      <c r="C617" s="1">
        <v>45280</v>
      </c>
      <c r="D617" t="s">
        <v>72</v>
      </c>
      <c r="E617" t="s">
        <v>44</v>
      </c>
      <c r="F617" t="s">
        <v>45</v>
      </c>
      <c r="G617" t="s">
        <v>21</v>
      </c>
      <c r="H617" t="s">
        <v>40</v>
      </c>
      <c r="I617">
        <v>2</v>
      </c>
      <c r="J617">
        <v>521.54</v>
      </c>
      <c r="K617">
        <v>37.5</v>
      </c>
      <c r="L617">
        <v>349</v>
      </c>
      <c r="M617">
        <v>346.33</v>
      </c>
      <c r="N617" t="s">
        <v>23</v>
      </c>
      <c r="O617">
        <v>4</v>
      </c>
      <c r="P617">
        <v>1043.08</v>
      </c>
      <c r="Q617">
        <v>1080.58</v>
      </c>
      <c r="R617" t="s">
        <v>2054</v>
      </c>
    </row>
    <row r="618" spans="1:18" x14ac:dyDescent="0.25">
      <c r="A618" t="s">
        <v>669</v>
      </c>
      <c r="B618" s="1">
        <v>45276</v>
      </c>
      <c r="C618" s="1">
        <v>45281</v>
      </c>
      <c r="D618" t="s">
        <v>54</v>
      </c>
      <c r="E618" t="s">
        <v>38</v>
      </c>
      <c r="F618" t="s">
        <v>39</v>
      </c>
      <c r="G618" t="s">
        <v>21</v>
      </c>
      <c r="H618" t="s">
        <v>22</v>
      </c>
      <c r="I618">
        <v>1</v>
      </c>
      <c r="J618">
        <v>311.22000000000003</v>
      </c>
      <c r="K618">
        <v>75</v>
      </c>
      <c r="L618">
        <v>177</v>
      </c>
      <c r="M618">
        <v>24.74</v>
      </c>
      <c r="N618" t="s">
        <v>23</v>
      </c>
      <c r="O618">
        <v>5</v>
      </c>
      <c r="P618">
        <v>311.22000000000003</v>
      </c>
      <c r="Q618">
        <v>386.22</v>
      </c>
      <c r="R618" t="s">
        <v>2054</v>
      </c>
    </row>
    <row r="619" spans="1:18" x14ac:dyDescent="0.25">
      <c r="A619" t="s">
        <v>670</v>
      </c>
      <c r="B619" s="1">
        <v>45276</v>
      </c>
      <c r="C619" s="1">
        <v>45278</v>
      </c>
      <c r="D619" t="s">
        <v>82</v>
      </c>
      <c r="E619" t="s">
        <v>79</v>
      </c>
      <c r="F619" t="s">
        <v>80</v>
      </c>
      <c r="G619" t="s">
        <v>26</v>
      </c>
      <c r="H619" t="s">
        <v>22</v>
      </c>
      <c r="I619">
        <v>4</v>
      </c>
      <c r="J619">
        <v>87.23</v>
      </c>
      <c r="K619">
        <v>12</v>
      </c>
      <c r="L619">
        <v>250</v>
      </c>
      <c r="M619">
        <v>151</v>
      </c>
      <c r="N619" t="s">
        <v>23</v>
      </c>
      <c r="O619">
        <v>2</v>
      </c>
      <c r="P619">
        <v>348.92</v>
      </c>
      <c r="Q619">
        <v>360.92</v>
      </c>
      <c r="R619" t="s">
        <v>2054</v>
      </c>
    </row>
    <row r="620" spans="1:18" x14ac:dyDescent="0.25">
      <c r="A620" t="s">
        <v>671</v>
      </c>
      <c r="B620" s="1">
        <v>45277</v>
      </c>
      <c r="C620" s="1">
        <v>45278</v>
      </c>
      <c r="D620" t="s">
        <v>25</v>
      </c>
      <c r="E620" t="s">
        <v>19</v>
      </c>
      <c r="F620" t="s">
        <v>20</v>
      </c>
      <c r="G620" t="s">
        <v>35</v>
      </c>
      <c r="H620" t="s">
        <v>40</v>
      </c>
      <c r="I620">
        <v>14</v>
      </c>
      <c r="J620">
        <v>45.18</v>
      </c>
      <c r="K620">
        <v>12</v>
      </c>
      <c r="L620">
        <v>297</v>
      </c>
      <c r="M620">
        <v>44.6</v>
      </c>
      <c r="N620" t="s">
        <v>23</v>
      </c>
      <c r="O620">
        <v>1</v>
      </c>
      <c r="P620">
        <v>632.52</v>
      </c>
      <c r="Q620">
        <v>644.52</v>
      </c>
      <c r="R620" t="s">
        <v>2054</v>
      </c>
    </row>
    <row r="621" spans="1:18" x14ac:dyDescent="0.25">
      <c r="A621" t="s">
        <v>672</v>
      </c>
      <c r="B621" s="1">
        <v>45279</v>
      </c>
      <c r="C621" s="1">
        <v>45281</v>
      </c>
      <c r="D621" t="s">
        <v>43</v>
      </c>
      <c r="E621" t="s">
        <v>44</v>
      </c>
      <c r="F621" t="s">
        <v>45</v>
      </c>
      <c r="G621" t="s">
        <v>35</v>
      </c>
      <c r="H621" t="s">
        <v>27</v>
      </c>
      <c r="I621">
        <v>2</v>
      </c>
      <c r="J621">
        <v>754.13</v>
      </c>
      <c r="K621">
        <v>25</v>
      </c>
      <c r="L621">
        <v>307</v>
      </c>
      <c r="M621">
        <v>515.39</v>
      </c>
      <c r="N621" t="s">
        <v>23</v>
      </c>
      <c r="O621">
        <v>2</v>
      </c>
      <c r="P621">
        <v>1508.26</v>
      </c>
      <c r="Q621">
        <v>1533.26</v>
      </c>
      <c r="R621" t="s">
        <v>2054</v>
      </c>
    </row>
    <row r="622" spans="1:18" x14ac:dyDescent="0.25">
      <c r="A622" t="s">
        <v>673</v>
      </c>
      <c r="B622" s="1">
        <v>45279</v>
      </c>
      <c r="C622" s="1">
        <v>45283</v>
      </c>
      <c r="D622" t="s">
        <v>75</v>
      </c>
      <c r="E622" t="s">
        <v>44</v>
      </c>
      <c r="F622" t="s">
        <v>45</v>
      </c>
      <c r="G622" t="s">
        <v>21</v>
      </c>
      <c r="H622" t="s">
        <v>32</v>
      </c>
      <c r="I622">
        <v>3</v>
      </c>
      <c r="J622">
        <v>974.25</v>
      </c>
      <c r="K622">
        <v>25</v>
      </c>
      <c r="L622">
        <v>339</v>
      </c>
      <c r="M622">
        <v>1010.46</v>
      </c>
      <c r="N622" t="s">
        <v>23</v>
      </c>
      <c r="O622">
        <v>4</v>
      </c>
      <c r="P622">
        <v>2922.75</v>
      </c>
      <c r="Q622">
        <v>2947.75</v>
      </c>
      <c r="R622" t="s">
        <v>2054</v>
      </c>
    </row>
    <row r="623" spans="1:18" x14ac:dyDescent="0.25">
      <c r="A623" t="s">
        <v>674</v>
      </c>
      <c r="B623" s="1">
        <v>45279</v>
      </c>
      <c r="C623" s="1">
        <v>45283</v>
      </c>
      <c r="D623" t="s">
        <v>72</v>
      </c>
      <c r="E623" t="s">
        <v>44</v>
      </c>
      <c r="F623" t="s">
        <v>45</v>
      </c>
      <c r="G623" t="s">
        <v>26</v>
      </c>
      <c r="H623" t="s">
        <v>27</v>
      </c>
      <c r="I623">
        <v>2</v>
      </c>
      <c r="J623">
        <v>1091.2</v>
      </c>
      <c r="K623">
        <v>25</v>
      </c>
      <c r="L623">
        <v>372</v>
      </c>
      <c r="M623">
        <v>751.34</v>
      </c>
      <c r="N623" t="s">
        <v>23</v>
      </c>
      <c r="O623">
        <v>4</v>
      </c>
      <c r="P623">
        <v>2182.4</v>
      </c>
      <c r="Q623">
        <v>2207.4</v>
      </c>
      <c r="R623" t="s">
        <v>2054</v>
      </c>
    </row>
    <row r="624" spans="1:18" x14ac:dyDescent="0.25">
      <c r="A624" t="s">
        <v>675</v>
      </c>
      <c r="B624" s="1">
        <v>45280</v>
      </c>
      <c r="C624" s="1">
        <v>45281</v>
      </c>
      <c r="D624" t="s">
        <v>25</v>
      </c>
      <c r="E624" t="s">
        <v>19</v>
      </c>
      <c r="F624" t="s">
        <v>20</v>
      </c>
      <c r="G624" t="s">
        <v>35</v>
      </c>
      <c r="H624" t="s">
        <v>40</v>
      </c>
      <c r="I624">
        <v>7</v>
      </c>
      <c r="J624">
        <v>20.81</v>
      </c>
      <c r="K624">
        <v>12</v>
      </c>
      <c r="L624">
        <v>263</v>
      </c>
      <c r="M624">
        <v>5.66</v>
      </c>
      <c r="N624" t="s">
        <v>23</v>
      </c>
      <c r="O624">
        <v>1</v>
      </c>
      <c r="P624">
        <v>145.66999999999999</v>
      </c>
      <c r="Q624">
        <v>157.66999999999999</v>
      </c>
      <c r="R624" t="s">
        <v>2054</v>
      </c>
    </row>
    <row r="625" spans="1:18" x14ac:dyDescent="0.25">
      <c r="A625" t="s">
        <v>676</v>
      </c>
      <c r="B625" s="1">
        <v>45282</v>
      </c>
      <c r="C625" s="1">
        <v>45284</v>
      </c>
      <c r="D625" t="s">
        <v>58</v>
      </c>
      <c r="E625" t="s">
        <v>19</v>
      </c>
      <c r="F625" t="s">
        <v>20</v>
      </c>
      <c r="G625" t="s">
        <v>21</v>
      </c>
      <c r="H625" t="s">
        <v>22</v>
      </c>
      <c r="I625">
        <v>9</v>
      </c>
      <c r="J625">
        <v>27.54</v>
      </c>
      <c r="K625">
        <v>8</v>
      </c>
      <c r="L625">
        <v>367</v>
      </c>
      <c r="M625">
        <v>15.83</v>
      </c>
      <c r="N625" t="s">
        <v>23</v>
      </c>
      <c r="O625">
        <v>2</v>
      </c>
      <c r="P625">
        <v>247.85999999999999</v>
      </c>
      <c r="Q625">
        <v>255.85999999999999</v>
      </c>
      <c r="R625" t="s">
        <v>2054</v>
      </c>
    </row>
    <row r="626" spans="1:18" x14ac:dyDescent="0.25">
      <c r="A626" t="s">
        <v>677</v>
      </c>
      <c r="B626" s="1">
        <v>45282</v>
      </c>
      <c r="C626" s="1">
        <v>45287</v>
      </c>
      <c r="D626" t="s">
        <v>50</v>
      </c>
      <c r="E626" t="s">
        <v>44</v>
      </c>
      <c r="F626" t="s">
        <v>45</v>
      </c>
      <c r="G626" t="s">
        <v>26</v>
      </c>
      <c r="H626" t="s">
        <v>22</v>
      </c>
      <c r="I626">
        <v>2</v>
      </c>
      <c r="J626">
        <v>1007.74</v>
      </c>
      <c r="K626">
        <v>25</v>
      </c>
      <c r="L626">
        <v>45</v>
      </c>
      <c r="M626">
        <v>692.92</v>
      </c>
      <c r="N626" t="s">
        <v>23</v>
      </c>
      <c r="O626">
        <v>5</v>
      </c>
      <c r="P626">
        <v>2015.48</v>
      </c>
      <c r="Q626">
        <v>2040.48</v>
      </c>
      <c r="R626" t="s">
        <v>2055</v>
      </c>
    </row>
    <row r="627" spans="1:18" x14ac:dyDescent="0.25">
      <c r="A627" t="s">
        <v>678</v>
      </c>
      <c r="B627" s="1">
        <v>45282</v>
      </c>
      <c r="C627" s="1">
        <v>45287</v>
      </c>
      <c r="D627" t="s">
        <v>82</v>
      </c>
      <c r="E627" t="s">
        <v>79</v>
      </c>
      <c r="F627" t="s">
        <v>80</v>
      </c>
      <c r="G627" t="s">
        <v>35</v>
      </c>
      <c r="H627" t="s">
        <v>27</v>
      </c>
      <c r="I627">
        <v>4</v>
      </c>
      <c r="J627">
        <v>50.37</v>
      </c>
      <c r="K627">
        <v>12</v>
      </c>
      <c r="L627">
        <v>142</v>
      </c>
      <c r="M627">
        <v>84.67</v>
      </c>
      <c r="N627" t="s">
        <v>23</v>
      </c>
      <c r="O627">
        <v>5</v>
      </c>
      <c r="P627">
        <v>201.48</v>
      </c>
      <c r="Q627">
        <v>213.48</v>
      </c>
      <c r="R627" t="s">
        <v>2054</v>
      </c>
    </row>
    <row r="628" spans="1:18" x14ac:dyDescent="0.25">
      <c r="A628" t="s">
        <v>679</v>
      </c>
      <c r="B628" s="1">
        <v>45283</v>
      </c>
      <c r="C628" s="1">
        <v>45284</v>
      </c>
      <c r="D628" t="s">
        <v>29</v>
      </c>
      <c r="E628" t="s">
        <v>30</v>
      </c>
      <c r="F628" t="s">
        <v>31</v>
      </c>
      <c r="G628" t="s">
        <v>35</v>
      </c>
      <c r="H628" t="s">
        <v>22</v>
      </c>
      <c r="I628">
        <v>2</v>
      </c>
      <c r="J628">
        <v>38.840000000000003</v>
      </c>
      <c r="K628">
        <v>12</v>
      </c>
      <c r="L628">
        <v>46</v>
      </c>
      <c r="M628">
        <v>25.07</v>
      </c>
      <c r="N628" t="s">
        <v>23</v>
      </c>
      <c r="O628">
        <v>1</v>
      </c>
      <c r="P628">
        <v>77.680000000000007</v>
      </c>
      <c r="Q628">
        <v>89.68</v>
      </c>
      <c r="R628" t="s">
        <v>2055</v>
      </c>
    </row>
    <row r="629" spans="1:18" x14ac:dyDescent="0.25">
      <c r="A629" t="s">
        <v>680</v>
      </c>
      <c r="B629" s="1">
        <v>45284</v>
      </c>
      <c r="C629" s="1">
        <v>45287</v>
      </c>
      <c r="D629" t="s">
        <v>58</v>
      </c>
      <c r="E629" t="s">
        <v>19</v>
      </c>
      <c r="F629" t="s">
        <v>20</v>
      </c>
      <c r="G629" t="s">
        <v>26</v>
      </c>
      <c r="H629" t="s">
        <v>32</v>
      </c>
      <c r="I629">
        <v>9</v>
      </c>
      <c r="J629">
        <v>20.52</v>
      </c>
      <c r="K629">
        <v>8</v>
      </c>
      <c r="L629">
        <v>133</v>
      </c>
      <c r="M629">
        <v>10.78</v>
      </c>
      <c r="N629" t="s">
        <v>23</v>
      </c>
      <c r="O629">
        <v>3</v>
      </c>
      <c r="P629">
        <v>184.68</v>
      </c>
      <c r="Q629">
        <v>192.68</v>
      </c>
      <c r="R629" t="s">
        <v>2054</v>
      </c>
    </row>
    <row r="630" spans="1:18" x14ac:dyDescent="0.25">
      <c r="A630" t="s">
        <v>681</v>
      </c>
      <c r="B630" s="1">
        <v>45286</v>
      </c>
      <c r="C630" s="1">
        <v>45302</v>
      </c>
      <c r="D630" t="s">
        <v>54</v>
      </c>
      <c r="E630" t="s">
        <v>38</v>
      </c>
      <c r="F630" t="s">
        <v>39</v>
      </c>
      <c r="G630" t="s">
        <v>35</v>
      </c>
      <c r="H630" t="s">
        <v>40</v>
      </c>
      <c r="I630">
        <v>1</v>
      </c>
      <c r="J630">
        <v>466.03</v>
      </c>
      <c r="K630">
        <v>112.5</v>
      </c>
      <c r="L630">
        <v>394</v>
      </c>
      <c r="M630">
        <v>36.96</v>
      </c>
      <c r="N630" t="s">
        <v>47</v>
      </c>
      <c r="O630">
        <v>16</v>
      </c>
      <c r="P630">
        <v>466.03</v>
      </c>
      <c r="Q630">
        <v>578.53</v>
      </c>
      <c r="R630" t="s">
        <v>2054</v>
      </c>
    </row>
    <row r="631" spans="1:18" x14ac:dyDescent="0.25">
      <c r="A631" t="s">
        <v>682</v>
      </c>
      <c r="B631" s="1">
        <v>45286</v>
      </c>
      <c r="C631" s="1">
        <v>45291</v>
      </c>
      <c r="D631" t="s">
        <v>82</v>
      </c>
      <c r="E631" t="s">
        <v>79</v>
      </c>
      <c r="F631" t="s">
        <v>80</v>
      </c>
      <c r="G631" t="s">
        <v>26</v>
      </c>
      <c r="H631" t="s">
        <v>32</v>
      </c>
      <c r="I631">
        <v>1</v>
      </c>
      <c r="J631">
        <v>86.18</v>
      </c>
      <c r="K631">
        <v>12</v>
      </c>
      <c r="L631">
        <v>222</v>
      </c>
      <c r="M631">
        <v>32.78</v>
      </c>
      <c r="N631" t="s">
        <v>23</v>
      </c>
      <c r="O631">
        <v>5</v>
      </c>
      <c r="P631">
        <v>86.18</v>
      </c>
      <c r="Q631">
        <v>98.18</v>
      </c>
      <c r="R631" t="s">
        <v>2054</v>
      </c>
    </row>
    <row r="632" spans="1:18" x14ac:dyDescent="0.25">
      <c r="A632" t="s">
        <v>683</v>
      </c>
      <c r="B632" s="1">
        <v>45286</v>
      </c>
      <c r="C632" s="1">
        <v>45288</v>
      </c>
      <c r="D632" t="s">
        <v>58</v>
      </c>
      <c r="E632" t="s">
        <v>19</v>
      </c>
      <c r="F632" t="s">
        <v>20</v>
      </c>
      <c r="G632" t="s">
        <v>26</v>
      </c>
      <c r="H632" t="s">
        <v>32</v>
      </c>
      <c r="I632">
        <v>14</v>
      </c>
      <c r="J632">
        <v>47.84</v>
      </c>
      <c r="K632">
        <v>8</v>
      </c>
      <c r="L632">
        <v>92</v>
      </c>
      <c r="M632">
        <v>49.58</v>
      </c>
      <c r="N632" t="s">
        <v>23</v>
      </c>
      <c r="O632">
        <v>2</v>
      </c>
      <c r="P632">
        <v>669.76</v>
      </c>
      <c r="Q632">
        <v>677.76</v>
      </c>
      <c r="R632" t="s">
        <v>2054</v>
      </c>
    </row>
    <row r="633" spans="1:18" x14ac:dyDescent="0.25">
      <c r="A633" t="s">
        <v>684</v>
      </c>
      <c r="B633" s="1">
        <v>45287</v>
      </c>
      <c r="C633" s="1">
        <v>45288</v>
      </c>
      <c r="D633" t="s">
        <v>50</v>
      </c>
      <c r="E633" t="s">
        <v>44</v>
      </c>
      <c r="F633" t="s">
        <v>45</v>
      </c>
      <c r="G633" t="s">
        <v>35</v>
      </c>
      <c r="H633" t="s">
        <v>32</v>
      </c>
      <c r="I633">
        <v>1</v>
      </c>
      <c r="J633">
        <v>209.31</v>
      </c>
      <c r="K633">
        <v>25</v>
      </c>
      <c r="L633">
        <v>29</v>
      </c>
      <c r="M633">
        <v>60.76</v>
      </c>
      <c r="N633" t="s">
        <v>23</v>
      </c>
      <c r="O633">
        <v>1</v>
      </c>
      <c r="P633">
        <v>209.31</v>
      </c>
      <c r="Q633">
        <v>234.31</v>
      </c>
      <c r="R633" t="s">
        <v>2055</v>
      </c>
    </row>
    <row r="634" spans="1:18" x14ac:dyDescent="0.25">
      <c r="A634" t="s">
        <v>685</v>
      </c>
      <c r="B634" s="1">
        <v>45287</v>
      </c>
      <c r="C634" s="1">
        <v>45291</v>
      </c>
      <c r="D634" t="s">
        <v>54</v>
      </c>
      <c r="E634" t="s">
        <v>38</v>
      </c>
      <c r="F634" t="s">
        <v>39</v>
      </c>
      <c r="G634" t="s">
        <v>35</v>
      </c>
      <c r="H634" t="s">
        <v>40</v>
      </c>
      <c r="I634">
        <v>1</v>
      </c>
      <c r="J634">
        <v>364.76</v>
      </c>
      <c r="K634">
        <v>112.5</v>
      </c>
      <c r="L634">
        <v>225</v>
      </c>
      <c r="M634">
        <v>16.7</v>
      </c>
      <c r="N634" t="s">
        <v>23</v>
      </c>
      <c r="O634">
        <v>4</v>
      </c>
      <c r="P634">
        <v>364.76</v>
      </c>
      <c r="Q634">
        <v>477.26</v>
      </c>
      <c r="R634" t="s">
        <v>2054</v>
      </c>
    </row>
    <row r="635" spans="1:18" x14ac:dyDescent="0.25">
      <c r="A635" t="s">
        <v>686</v>
      </c>
      <c r="B635" s="1">
        <v>45289</v>
      </c>
      <c r="C635" s="1">
        <v>45290</v>
      </c>
      <c r="D635" t="s">
        <v>37</v>
      </c>
      <c r="E635" t="s">
        <v>38</v>
      </c>
      <c r="F635" t="s">
        <v>39</v>
      </c>
      <c r="G635" t="s">
        <v>35</v>
      </c>
      <c r="H635" t="s">
        <v>40</v>
      </c>
      <c r="I635">
        <v>1</v>
      </c>
      <c r="J635">
        <v>314.14999999999998</v>
      </c>
      <c r="K635">
        <v>112.5</v>
      </c>
      <c r="L635">
        <v>176</v>
      </c>
      <c r="M635">
        <v>6.58</v>
      </c>
      <c r="N635" t="s">
        <v>23</v>
      </c>
      <c r="O635">
        <v>1</v>
      </c>
      <c r="P635">
        <v>314.14999999999998</v>
      </c>
      <c r="Q635">
        <v>426.65</v>
      </c>
      <c r="R635" t="s">
        <v>2054</v>
      </c>
    </row>
    <row r="636" spans="1:18" x14ac:dyDescent="0.25">
      <c r="A636" t="s">
        <v>687</v>
      </c>
      <c r="B636" s="1">
        <v>45289</v>
      </c>
      <c r="C636" s="1">
        <v>45294</v>
      </c>
      <c r="D636" t="s">
        <v>37</v>
      </c>
      <c r="E636" t="s">
        <v>38</v>
      </c>
      <c r="F636" t="s">
        <v>39</v>
      </c>
      <c r="G636" t="s">
        <v>35</v>
      </c>
      <c r="H636" t="s">
        <v>32</v>
      </c>
      <c r="I636">
        <v>2</v>
      </c>
      <c r="J636">
        <v>320.94</v>
      </c>
      <c r="K636">
        <v>75</v>
      </c>
      <c r="L636">
        <v>237</v>
      </c>
      <c r="M636">
        <v>90.87</v>
      </c>
      <c r="N636" t="s">
        <v>23</v>
      </c>
      <c r="O636">
        <v>5</v>
      </c>
      <c r="P636">
        <v>641.88</v>
      </c>
      <c r="Q636">
        <v>716.88</v>
      </c>
      <c r="R636" t="s">
        <v>2054</v>
      </c>
    </row>
    <row r="637" spans="1:18" x14ac:dyDescent="0.25">
      <c r="A637" t="s">
        <v>688</v>
      </c>
      <c r="B637" s="1">
        <v>45289</v>
      </c>
      <c r="C637" s="1">
        <v>45305</v>
      </c>
      <c r="D637" t="s">
        <v>56</v>
      </c>
      <c r="E637" t="s">
        <v>38</v>
      </c>
      <c r="F637" t="s">
        <v>39</v>
      </c>
      <c r="G637" t="s">
        <v>35</v>
      </c>
      <c r="H637" t="s">
        <v>40</v>
      </c>
      <c r="I637">
        <v>1</v>
      </c>
      <c r="J637">
        <v>230.71</v>
      </c>
      <c r="K637">
        <v>112.5</v>
      </c>
      <c r="L637">
        <v>194</v>
      </c>
      <c r="M637">
        <v>-10.11</v>
      </c>
      <c r="N637" t="s">
        <v>47</v>
      </c>
      <c r="O637">
        <v>16</v>
      </c>
      <c r="P637">
        <v>230.71</v>
      </c>
      <c r="Q637">
        <v>343.21000000000004</v>
      </c>
      <c r="R637" t="s">
        <v>2054</v>
      </c>
    </row>
    <row r="638" spans="1:18" x14ac:dyDescent="0.25">
      <c r="A638" t="s">
        <v>689</v>
      </c>
      <c r="B638" s="1">
        <v>45289</v>
      </c>
      <c r="C638" s="1">
        <v>45294</v>
      </c>
      <c r="D638" t="s">
        <v>37</v>
      </c>
      <c r="E638" t="s">
        <v>38</v>
      </c>
      <c r="F638" t="s">
        <v>39</v>
      </c>
      <c r="G638" t="s">
        <v>35</v>
      </c>
      <c r="H638" t="s">
        <v>32</v>
      </c>
      <c r="I638">
        <v>2</v>
      </c>
      <c r="J638">
        <v>111.89</v>
      </c>
      <c r="K638">
        <v>75</v>
      </c>
      <c r="L638">
        <v>79</v>
      </c>
      <c r="M638">
        <v>7.26</v>
      </c>
      <c r="N638" t="s">
        <v>23</v>
      </c>
      <c r="O638">
        <v>5</v>
      </c>
      <c r="P638">
        <v>223.78</v>
      </c>
      <c r="Q638">
        <v>298.77999999999997</v>
      </c>
      <c r="R638" t="s">
        <v>2054</v>
      </c>
    </row>
    <row r="639" spans="1:18" x14ac:dyDescent="0.25">
      <c r="A639" t="s">
        <v>690</v>
      </c>
      <c r="B639" s="1">
        <v>45290</v>
      </c>
      <c r="C639" s="1">
        <v>45291</v>
      </c>
      <c r="D639" t="s">
        <v>18</v>
      </c>
      <c r="E639" t="s">
        <v>19</v>
      </c>
      <c r="F639" t="s">
        <v>20</v>
      </c>
      <c r="G639" t="s">
        <v>35</v>
      </c>
      <c r="H639" t="s">
        <v>27</v>
      </c>
      <c r="I639">
        <v>5</v>
      </c>
      <c r="J639">
        <v>15.62</v>
      </c>
      <c r="K639">
        <v>8</v>
      </c>
      <c r="L639">
        <v>76</v>
      </c>
      <c r="M639">
        <v>2.25</v>
      </c>
      <c r="N639" t="s">
        <v>23</v>
      </c>
      <c r="O639">
        <v>1</v>
      </c>
      <c r="P639">
        <v>78.099999999999994</v>
      </c>
      <c r="Q639">
        <v>86.1</v>
      </c>
      <c r="R639" t="s">
        <v>2054</v>
      </c>
    </row>
    <row r="640" spans="1:18" x14ac:dyDescent="0.25">
      <c r="A640" t="s">
        <v>691</v>
      </c>
      <c r="B640" s="1">
        <v>45290</v>
      </c>
      <c r="C640" s="1">
        <v>45293</v>
      </c>
      <c r="D640" t="s">
        <v>118</v>
      </c>
      <c r="E640" t="s">
        <v>79</v>
      </c>
      <c r="F640" t="s">
        <v>80</v>
      </c>
      <c r="G640" t="s">
        <v>21</v>
      </c>
      <c r="H640" t="s">
        <v>27</v>
      </c>
      <c r="I640">
        <v>1</v>
      </c>
      <c r="J640">
        <v>33.799999999999997</v>
      </c>
      <c r="K640">
        <v>12</v>
      </c>
      <c r="L640">
        <v>253</v>
      </c>
      <c r="M640">
        <v>9.2100000000000009</v>
      </c>
      <c r="N640" t="s">
        <v>23</v>
      </c>
      <c r="O640">
        <v>3</v>
      </c>
      <c r="P640">
        <v>33.799999999999997</v>
      </c>
      <c r="Q640">
        <v>45.8</v>
      </c>
      <c r="R640" t="s">
        <v>2054</v>
      </c>
    </row>
    <row r="641" spans="1:18" x14ac:dyDescent="0.25">
      <c r="A641" t="s">
        <v>692</v>
      </c>
      <c r="B641" s="1">
        <v>45290</v>
      </c>
      <c r="C641" s="1">
        <v>45291</v>
      </c>
      <c r="D641" t="s">
        <v>43</v>
      </c>
      <c r="E641" t="s">
        <v>44</v>
      </c>
      <c r="F641" t="s">
        <v>45</v>
      </c>
      <c r="G641" t="s">
        <v>21</v>
      </c>
      <c r="H641" t="s">
        <v>22</v>
      </c>
      <c r="I641">
        <v>1</v>
      </c>
      <c r="J641">
        <v>839.39</v>
      </c>
      <c r="K641">
        <v>25</v>
      </c>
      <c r="L641">
        <v>80</v>
      </c>
      <c r="M641">
        <v>281.29000000000002</v>
      </c>
      <c r="N641" t="s">
        <v>23</v>
      </c>
      <c r="O641">
        <v>1</v>
      </c>
      <c r="P641">
        <v>839.39</v>
      </c>
      <c r="Q641">
        <v>864.39</v>
      </c>
      <c r="R641" t="s">
        <v>2054</v>
      </c>
    </row>
    <row r="642" spans="1:18" x14ac:dyDescent="0.25">
      <c r="A642" t="s">
        <v>693</v>
      </c>
      <c r="B642" s="1">
        <v>45291</v>
      </c>
      <c r="C642" s="1">
        <v>45304</v>
      </c>
      <c r="D642" t="s">
        <v>58</v>
      </c>
      <c r="E642" t="s">
        <v>19</v>
      </c>
      <c r="F642" t="s">
        <v>20</v>
      </c>
      <c r="G642" t="s">
        <v>35</v>
      </c>
      <c r="H642" t="s">
        <v>40</v>
      </c>
      <c r="I642">
        <v>8</v>
      </c>
      <c r="J642">
        <v>21.9</v>
      </c>
      <c r="K642">
        <v>12</v>
      </c>
      <c r="L642">
        <v>9</v>
      </c>
      <c r="M642">
        <v>8.02</v>
      </c>
      <c r="N642" t="s">
        <v>47</v>
      </c>
      <c r="O642">
        <v>13</v>
      </c>
      <c r="P642">
        <v>175.2</v>
      </c>
      <c r="Q642">
        <v>187.2</v>
      </c>
      <c r="R642" t="s">
        <v>2056</v>
      </c>
    </row>
    <row r="643" spans="1:18" x14ac:dyDescent="0.25">
      <c r="A643" t="s">
        <v>694</v>
      </c>
      <c r="B643" s="1">
        <v>45291</v>
      </c>
      <c r="C643" s="1">
        <v>45295</v>
      </c>
      <c r="D643" t="s">
        <v>72</v>
      </c>
      <c r="E643" t="s">
        <v>44</v>
      </c>
      <c r="F643" t="s">
        <v>45</v>
      </c>
      <c r="G643" t="s">
        <v>35</v>
      </c>
      <c r="H643" t="s">
        <v>27</v>
      </c>
      <c r="I643">
        <v>1</v>
      </c>
      <c r="J643">
        <v>854.91</v>
      </c>
      <c r="K643">
        <v>25</v>
      </c>
      <c r="L643">
        <v>220</v>
      </c>
      <c r="M643">
        <v>286.72000000000003</v>
      </c>
      <c r="N643" t="s">
        <v>23</v>
      </c>
      <c r="O643">
        <v>4</v>
      </c>
      <c r="P643">
        <v>854.91</v>
      </c>
      <c r="Q643">
        <v>879.91</v>
      </c>
      <c r="R643" t="s">
        <v>2054</v>
      </c>
    </row>
    <row r="644" spans="1:18" x14ac:dyDescent="0.25">
      <c r="A644" t="s">
        <v>695</v>
      </c>
      <c r="B644" s="1">
        <v>45291</v>
      </c>
      <c r="C644" s="1">
        <v>45306</v>
      </c>
      <c r="D644" t="s">
        <v>52</v>
      </c>
      <c r="E644" t="s">
        <v>30</v>
      </c>
      <c r="F644" t="s">
        <v>31</v>
      </c>
      <c r="G644" t="s">
        <v>35</v>
      </c>
      <c r="H644" t="s">
        <v>27</v>
      </c>
      <c r="I644">
        <v>2</v>
      </c>
      <c r="J644">
        <v>45.19</v>
      </c>
      <c r="K644">
        <v>12</v>
      </c>
      <c r="L644">
        <v>50</v>
      </c>
      <c r="M644">
        <v>30.16</v>
      </c>
      <c r="N644" t="s">
        <v>47</v>
      </c>
      <c r="O644">
        <v>15</v>
      </c>
      <c r="P644">
        <v>90.38</v>
      </c>
      <c r="Q644">
        <v>102.38</v>
      </c>
      <c r="R644" t="s">
        <v>2055</v>
      </c>
    </row>
    <row r="645" spans="1:18" x14ac:dyDescent="0.25">
      <c r="A645" t="s">
        <v>696</v>
      </c>
      <c r="B645" s="1">
        <v>45292</v>
      </c>
      <c r="C645" s="1">
        <v>45293</v>
      </c>
      <c r="D645" t="s">
        <v>75</v>
      </c>
      <c r="E645" t="s">
        <v>44</v>
      </c>
      <c r="F645" t="s">
        <v>45</v>
      </c>
      <c r="G645" t="s">
        <v>35</v>
      </c>
      <c r="H645" t="s">
        <v>40</v>
      </c>
      <c r="I645">
        <v>3</v>
      </c>
      <c r="J645">
        <v>434.06</v>
      </c>
      <c r="K645">
        <v>37.5</v>
      </c>
      <c r="L645">
        <v>327</v>
      </c>
      <c r="M645">
        <v>437.01</v>
      </c>
      <c r="N645" t="s">
        <v>23</v>
      </c>
      <c r="O645">
        <v>1</v>
      </c>
      <c r="P645">
        <v>1302.18</v>
      </c>
      <c r="Q645">
        <v>1339.68</v>
      </c>
      <c r="R645" t="s">
        <v>2054</v>
      </c>
    </row>
    <row r="646" spans="1:18" x14ac:dyDescent="0.25">
      <c r="A646" t="s">
        <v>697</v>
      </c>
      <c r="B646" s="1">
        <v>45294</v>
      </c>
      <c r="C646" s="1">
        <v>45295</v>
      </c>
      <c r="D646" t="s">
        <v>78</v>
      </c>
      <c r="E646" t="s">
        <v>79</v>
      </c>
      <c r="F646" t="s">
        <v>80</v>
      </c>
      <c r="G646" t="s">
        <v>35</v>
      </c>
      <c r="H646" t="s">
        <v>22</v>
      </c>
      <c r="I646">
        <v>5</v>
      </c>
      <c r="J646">
        <v>83.61</v>
      </c>
      <c r="K646">
        <v>12</v>
      </c>
      <c r="L646">
        <v>246</v>
      </c>
      <c r="M646">
        <v>182.13</v>
      </c>
      <c r="N646" t="s">
        <v>23</v>
      </c>
      <c r="O646">
        <v>1</v>
      </c>
      <c r="P646">
        <v>418.05</v>
      </c>
      <c r="Q646">
        <v>430.05</v>
      </c>
      <c r="R646" t="s">
        <v>2054</v>
      </c>
    </row>
    <row r="647" spans="1:18" x14ac:dyDescent="0.25">
      <c r="A647" t="s">
        <v>698</v>
      </c>
      <c r="B647" s="1">
        <v>45296</v>
      </c>
      <c r="C647" s="1">
        <v>45300</v>
      </c>
      <c r="D647" t="s">
        <v>18</v>
      </c>
      <c r="E647" t="s">
        <v>19</v>
      </c>
      <c r="F647" t="s">
        <v>20</v>
      </c>
      <c r="G647" t="s">
        <v>26</v>
      </c>
      <c r="H647" t="s">
        <v>27</v>
      </c>
      <c r="I647">
        <v>7</v>
      </c>
      <c r="J647">
        <v>35.83</v>
      </c>
      <c r="K647">
        <v>8</v>
      </c>
      <c r="L647">
        <v>396</v>
      </c>
      <c r="M647">
        <v>16.059999999999999</v>
      </c>
      <c r="N647" t="s">
        <v>23</v>
      </c>
      <c r="O647">
        <v>4</v>
      </c>
      <c r="P647">
        <v>250.81</v>
      </c>
      <c r="Q647">
        <v>258.81</v>
      </c>
      <c r="R647" t="s">
        <v>2054</v>
      </c>
    </row>
    <row r="648" spans="1:18" x14ac:dyDescent="0.25">
      <c r="A648" t="s">
        <v>699</v>
      </c>
      <c r="B648" s="1">
        <v>45296</v>
      </c>
      <c r="C648" s="1">
        <v>45297</v>
      </c>
      <c r="D648" t="s">
        <v>58</v>
      </c>
      <c r="E648" t="s">
        <v>19</v>
      </c>
      <c r="F648" t="s">
        <v>20</v>
      </c>
      <c r="G648" t="s">
        <v>35</v>
      </c>
      <c r="H648" t="s">
        <v>40</v>
      </c>
      <c r="I648">
        <v>12</v>
      </c>
      <c r="J648">
        <v>45.01</v>
      </c>
      <c r="K648">
        <v>12</v>
      </c>
      <c r="L648">
        <v>341</v>
      </c>
      <c r="M648">
        <v>37.21</v>
      </c>
      <c r="N648" t="s">
        <v>23</v>
      </c>
      <c r="O648">
        <v>1</v>
      </c>
      <c r="P648">
        <v>540.12</v>
      </c>
      <c r="Q648">
        <v>552.12</v>
      </c>
      <c r="R648" t="s">
        <v>2054</v>
      </c>
    </row>
    <row r="649" spans="1:18" x14ac:dyDescent="0.25">
      <c r="A649" t="s">
        <v>700</v>
      </c>
      <c r="B649" s="1">
        <v>45297</v>
      </c>
      <c r="C649" s="1">
        <v>45300</v>
      </c>
      <c r="D649" t="s">
        <v>75</v>
      </c>
      <c r="E649" t="s">
        <v>44</v>
      </c>
      <c r="F649" t="s">
        <v>45</v>
      </c>
      <c r="G649" t="s">
        <v>26</v>
      </c>
      <c r="H649" t="s">
        <v>32</v>
      </c>
      <c r="I649">
        <v>3</v>
      </c>
      <c r="J649">
        <v>305.7</v>
      </c>
      <c r="K649">
        <v>25</v>
      </c>
      <c r="L649">
        <v>383</v>
      </c>
      <c r="M649">
        <v>308.49</v>
      </c>
      <c r="N649" t="s">
        <v>23</v>
      </c>
      <c r="O649">
        <v>3</v>
      </c>
      <c r="P649">
        <v>917.09999999999991</v>
      </c>
      <c r="Q649">
        <v>942.09999999999991</v>
      </c>
      <c r="R649" t="s">
        <v>2054</v>
      </c>
    </row>
    <row r="650" spans="1:18" x14ac:dyDescent="0.25">
      <c r="A650" t="s">
        <v>701</v>
      </c>
      <c r="B650" s="1">
        <v>45298</v>
      </c>
      <c r="C650" s="1">
        <v>45300</v>
      </c>
      <c r="D650" t="s">
        <v>52</v>
      </c>
      <c r="E650" t="s">
        <v>30</v>
      </c>
      <c r="F650" t="s">
        <v>31</v>
      </c>
      <c r="G650" t="s">
        <v>35</v>
      </c>
      <c r="H650" t="s">
        <v>40</v>
      </c>
      <c r="I650">
        <v>5</v>
      </c>
      <c r="J650">
        <v>67.16</v>
      </c>
      <c r="K650">
        <v>18</v>
      </c>
      <c r="L650">
        <v>73</v>
      </c>
      <c r="M650">
        <v>125.32</v>
      </c>
      <c r="N650" t="s">
        <v>23</v>
      </c>
      <c r="O650">
        <v>2</v>
      </c>
      <c r="P650">
        <v>335.79999999999995</v>
      </c>
      <c r="Q650">
        <v>353.79999999999995</v>
      </c>
      <c r="R650" t="s">
        <v>2054</v>
      </c>
    </row>
    <row r="651" spans="1:18" x14ac:dyDescent="0.25">
      <c r="A651" t="s">
        <v>702</v>
      </c>
      <c r="B651" s="1">
        <v>45299</v>
      </c>
      <c r="C651" s="1">
        <v>45304</v>
      </c>
      <c r="D651" t="s">
        <v>29</v>
      </c>
      <c r="E651" t="s">
        <v>30</v>
      </c>
      <c r="F651" t="s">
        <v>31</v>
      </c>
      <c r="G651" t="s">
        <v>26</v>
      </c>
      <c r="H651" t="s">
        <v>27</v>
      </c>
      <c r="I651">
        <v>3</v>
      </c>
      <c r="J651">
        <v>136.33000000000001</v>
      </c>
      <c r="K651">
        <v>12</v>
      </c>
      <c r="L651">
        <v>306</v>
      </c>
      <c r="M651">
        <v>157.6</v>
      </c>
      <c r="N651" t="s">
        <v>23</v>
      </c>
      <c r="O651">
        <v>5</v>
      </c>
      <c r="P651">
        <v>408.99</v>
      </c>
      <c r="Q651">
        <v>420.99</v>
      </c>
      <c r="R651" t="s">
        <v>2054</v>
      </c>
    </row>
    <row r="652" spans="1:18" x14ac:dyDescent="0.25">
      <c r="A652" t="s">
        <v>703</v>
      </c>
      <c r="B652" s="1">
        <v>45299</v>
      </c>
      <c r="C652" s="1">
        <v>45307</v>
      </c>
      <c r="D652" t="s">
        <v>72</v>
      </c>
      <c r="E652" t="s">
        <v>44</v>
      </c>
      <c r="F652" t="s">
        <v>45</v>
      </c>
      <c r="G652" t="s">
        <v>35</v>
      </c>
      <c r="H652" t="s">
        <v>27</v>
      </c>
      <c r="I652">
        <v>3</v>
      </c>
      <c r="J652">
        <v>938.93</v>
      </c>
      <c r="K652">
        <v>25</v>
      </c>
      <c r="L652">
        <v>153</v>
      </c>
      <c r="M652">
        <v>973.37</v>
      </c>
      <c r="N652" t="s">
        <v>63</v>
      </c>
      <c r="O652">
        <v>8</v>
      </c>
      <c r="P652">
        <v>2816.79</v>
      </c>
      <c r="Q652">
        <v>2841.79</v>
      </c>
      <c r="R652" t="s">
        <v>2054</v>
      </c>
    </row>
    <row r="653" spans="1:18" x14ac:dyDescent="0.25">
      <c r="A653" t="s">
        <v>704</v>
      </c>
      <c r="B653" s="1">
        <v>45300</v>
      </c>
      <c r="C653" s="1">
        <v>45301</v>
      </c>
      <c r="D653" t="s">
        <v>25</v>
      </c>
      <c r="E653" t="s">
        <v>19</v>
      </c>
      <c r="F653" t="s">
        <v>20</v>
      </c>
      <c r="G653" t="s">
        <v>35</v>
      </c>
      <c r="H653" t="s">
        <v>40</v>
      </c>
      <c r="I653">
        <v>8</v>
      </c>
      <c r="J653">
        <v>24.54</v>
      </c>
      <c r="K653">
        <v>12</v>
      </c>
      <c r="L653">
        <v>235</v>
      </c>
      <c r="M653">
        <v>9.7100000000000009</v>
      </c>
      <c r="N653" t="s">
        <v>23</v>
      </c>
      <c r="O653">
        <v>1</v>
      </c>
      <c r="P653">
        <v>196.32</v>
      </c>
      <c r="Q653">
        <v>208.32</v>
      </c>
      <c r="R653" t="s">
        <v>2054</v>
      </c>
    </row>
    <row r="654" spans="1:18" x14ac:dyDescent="0.25">
      <c r="A654" t="s">
        <v>705</v>
      </c>
      <c r="B654" s="1">
        <v>45300</v>
      </c>
      <c r="C654" s="1">
        <v>45305</v>
      </c>
      <c r="D654" t="s">
        <v>29</v>
      </c>
      <c r="E654" t="s">
        <v>30</v>
      </c>
      <c r="F654" t="s">
        <v>31</v>
      </c>
      <c r="G654" t="s">
        <v>21</v>
      </c>
      <c r="H654" t="s">
        <v>22</v>
      </c>
      <c r="I654">
        <v>4</v>
      </c>
      <c r="J654">
        <v>59.63</v>
      </c>
      <c r="K654">
        <v>12</v>
      </c>
      <c r="L654">
        <v>86</v>
      </c>
      <c r="M654">
        <v>89.41</v>
      </c>
      <c r="N654" t="s">
        <v>23</v>
      </c>
      <c r="O654">
        <v>5</v>
      </c>
      <c r="P654">
        <v>238.52</v>
      </c>
      <c r="Q654">
        <v>250.52</v>
      </c>
      <c r="R654" t="s">
        <v>2054</v>
      </c>
    </row>
    <row r="655" spans="1:18" x14ac:dyDescent="0.25">
      <c r="A655" t="s">
        <v>706</v>
      </c>
      <c r="B655" s="1">
        <v>45300</v>
      </c>
      <c r="C655" s="1">
        <v>45303</v>
      </c>
      <c r="D655" t="s">
        <v>50</v>
      </c>
      <c r="E655" t="s">
        <v>44</v>
      </c>
      <c r="F655" t="s">
        <v>45</v>
      </c>
      <c r="G655" t="s">
        <v>35</v>
      </c>
      <c r="H655" t="s">
        <v>40</v>
      </c>
      <c r="I655">
        <v>2</v>
      </c>
      <c r="J655">
        <v>890.08</v>
      </c>
      <c r="K655">
        <v>37.5</v>
      </c>
      <c r="L655">
        <v>135</v>
      </c>
      <c r="M655">
        <v>604.29999999999995</v>
      </c>
      <c r="N655" t="s">
        <v>23</v>
      </c>
      <c r="O655">
        <v>3</v>
      </c>
      <c r="P655">
        <v>1780.16</v>
      </c>
      <c r="Q655">
        <v>1817.66</v>
      </c>
      <c r="R655" t="s">
        <v>2054</v>
      </c>
    </row>
    <row r="656" spans="1:18" x14ac:dyDescent="0.25">
      <c r="A656" t="s">
        <v>707</v>
      </c>
      <c r="B656" s="1">
        <v>45301</v>
      </c>
      <c r="C656" s="1">
        <v>45306</v>
      </c>
      <c r="D656" t="s">
        <v>52</v>
      </c>
      <c r="E656" t="s">
        <v>30</v>
      </c>
      <c r="F656" t="s">
        <v>31</v>
      </c>
      <c r="G656" t="s">
        <v>35</v>
      </c>
      <c r="H656" t="s">
        <v>27</v>
      </c>
      <c r="I656">
        <v>2</v>
      </c>
      <c r="J656">
        <v>135.41999999999999</v>
      </c>
      <c r="K656">
        <v>12</v>
      </c>
      <c r="L656">
        <v>339</v>
      </c>
      <c r="M656">
        <v>102.34</v>
      </c>
      <c r="N656" t="s">
        <v>23</v>
      </c>
      <c r="O656">
        <v>5</v>
      </c>
      <c r="P656">
        <v>270.83999999999997</v>
      </c>
      <c r="Q656">
        <v>282.83999999999997</v>
      </c>
      <c r="R656" t="s">
        <v>2054</v>
      </c>
    </row>
    <row r="657" spans="1:18" x14ac:dyDescent="0.25">
      <c r="A657" t="s">
        <v>708</v>
      </c>
      <c r="B657" s="1">
        <v>45301</v>
      </c>
      <c r="C657" s="1">
        <v>45303</v>
      </c>
      <c r="D657" t="s">
        <v>18</v>
      </c>
      <c r="E657" t="s">
        <v>19</v>
      </c>
      <c r="F657" t="s">
        <v>20</v>
      </c>
      <c r="G657" t="s">
        <v>26</v>
      </c>
      <c r="H657" t="s">
        <v>32</v>
      </c>
      <c r="I657">
        <v>13</v>
      </c>
      <c r="J657">
        <v>44.43</v>
      </c>
      <c r="K657">
        <v>8</v>
      </c>
      <c r="L657">
        <v>9</v>
      </c>
      <c r="M657">
        <v>42.21</v>
      </c>
      <c r="N657" t="s">
        <v>23</v>
      </c>
      <c r="O657">
        <v>2</v>
      </c>
      <c r="P657">
        <v>577.59</v>
      </c>
      <c r="Q657">
        <v>585.59</v>
      </c>
      <c r="R657" t="s">
        <v>2056</v>
      </c>
    </row>
    <row r="658" spans="1:18" x14ac:dyDescent="0.25">
      <c r="A658" t="s">
        <v>709</v>
      </c>
      <c r="B658" s="1">
        <v>45302</v>
      </c>
      <c r="C658" s="1">
        <v>45306</v>
      </c>
      <c r="D658" t="s">
        <v>43</v>
      </c>
      <c r="E658" t="s">
        <v>44</v>
      </c>
      <c r="F658" t="s">
        <v>45</v>
      </c>
      <c r="G658" t="s">
        <v>35</v>
      </c>
      <c r="H658" t="s">
        <v>40</v>
      </c>
      <c r="I658">
        <v>3</v>
      </c>
      <c r="J658">
        <v>972.09</v>
      </c>
      <c r="K658">
        <v>37.5</v>
      </c>
      <c r="L658">
        <v>170</v>
      </c>
      <c r="M658">
        <v>1001.94</v>
      </c>
      <c r="N658" t="s">
        <v>23</v>
      </c>
      <c r="O658">
        <v>4</v>
      </c>
      <c r="P658">
        <v>2916.27</v>
      </c>
      <c r="Q658">
        <v>2953.77</v>
      </c>
      <c r="R658" t="s">
        <v>2054</v>
      </c>
    </row>
    <row r="659" spans="1:18" x14ac:dyDescent="0.25">
      <c r="A659" t="s">
        <v>710</v>
      </c>
      <c r="B659" s="1">
        <v>45302</v>
      </c>
      <c r="C659" s="1">
        <v>45306</v>
      </c>
      <c r="D659" t="s">
        <v>43</v>
      </c>
      <c r="E659" t="s">
        <v>44</v>
      </c>
      <c r="F659" t="s">
        <v>45</v>
      </c>
      <c r="G659" t="s">
        <v>21</v>
      </c>
      <c r="H659" t="s">
        <v>22</v>
      </c>
      <c r="I659">
        <v>3</v>
      </c>
      <c r="J659">
        <v>467.87</v>
      </c>
      <c r="K659">
        <v>25</v>
      </c>
      <c r="L659">
        <v>266</v>
      </c>
      <c r="M659">
        <v>478.77</v>
      </c>
      <c r="N659" t="s">
        <v>23</v>
      </c>
      <c r="O659">
        <v>4</v>
      </c>
      <c r="P659">
        <v>1403.6100000000001</v>
      </c>
      <c r="Q659">
        <v>1428.6100000000001</v>
      </c>
      <c r="R659" t="s">
        <v>2054</v>
      </c>
    </row>
    <row r="660" spans="1:18" x14ac:dyDescent="0.25">
      <c r="A660" t="s">
        <v>711</v>
      </c>
      <c r="B660" s="1">
        <v>45303</v>
      </c>
      <c r="C660" s="1">
        <v>45315</v>
      </c>
      <c r="D660" t="s">
        <v>78</v>
      </c>
      <c r="E660" t="s">
        <v>79</v>
      </c>
      <c r="F660" t="s">
        <v>80</v>
      </c>
      <c r="G660" t="s">
        <v>35</v>
      </c>
      <c r="H660" t="s">
        <v>32</v>
      </c>
      <c r="I660">
        <v>1</v>
      </c>
      <c r="J660">
        <v>149.52000000000001</v>
      </c>
      <c r="K660">
        <v>12</v>
      </c>
      <c r="L660">
        <v>161</v>
      </c>
      <c r="M660">
        <v>61.28</v>
      </c>
      <c r="N660" t="s">
        <v>47</v>
      </c>
      <c r="O660">
        <v>12</v>
      </c>
      <c r="P660">
        <v>149.52000000000001</v>
      </c>
      <c r="Q660">
        <v>161.52000000000001</v>
      </c>
      <c r="R660" t="s">
        <v>2054</v>
      </c>
    </row>
    <row r="661" spans="1:18" x14ac:dyDescent="0.25">
      <c r="A661" t="s">
        <v>712</v>
      </c>
      <c r="B661" s="1">
        <v>45304</v>
      </c>
      <c r="C661" s="1">
        <v>45305</v>
      </c>
      <c r="D661" t="s">
        <v>58</v>
      </c>
      <c r="E661" t="s">
        <v>19</v>
      </c>
      <c r="F661" t="s">
        <v>20</v>
      </c>
      <c r="G661" t="s">
        <v>35</v>
      </c>
      <c r="H661" t="s">
        <v>27</v>
      </c>
      <c r="I661">
        <v>9</v>
      </c>
      <c r="J661">
        <v>23.37</v>
      </c>
      <c r="K661">
        <v>8</v>
      </c>
      <c r="L661">
        <v>131</v>
      </c>
      <c r="M661">
        <v>-31.54</v>
      </c>
      <c r="N661" t="s">
        <v>23</v>
      </c>
      <c r="O661">
        <v>1</v>
      </c>
      <c r="P661">
        <v>210.33</v>
      </c>
      <c r="Q661">
        <v>218.33</v>
      </c>
      <c r="R661" t="s">
        <v>2054</v>
      </c>
    </row>
    <row r="662" spans="1:18" x14ac:dyDescent="0.25">
      <c r="A662" t="s">
        <v>713</v>
      </c>
      <c r="B662" s="1">
        <v>45304</v>
      </c>
      <c r="C662" s="1">
        <v>45309</v>
      </c>
      <c r="D662" t="s">
        <v>58</v>
      </c>
      <c r="E662" t="s">
        <v>19</v>
      </c>
      <c r="F662" t="s">
        <v>20</v>
      </c>
      <c r="G662" t="s">
        <v>21</v>
      </c>
      <c r="H662" t="s">
        <v>40</v>
      </c>
      <c r="I662">
        <v>8</v>
      </c>
      <c r="J662">
        <v>13.8</v>
      </c>
      <c r="K662">
        <v>12</v>
      </c>
      <c r="L662">
        <v>106</v>
      </c>
      <c r="M662">
        <v>2.83</v>
      </c>
      <c r="N662" t="s">
        <v>23</v>
      </c>
      <c r="O662">
        <v>5</v>
      </c>
      <c r="P662">
        <v>110.4</v>
      </c>
      <c r="Q662">
        <v>122.4</v>
      </c>
      <c r="R662" t="s">
        <v>2054</v>
      </c>
    </row>
    <row r="663" spans="1:18" x14ac:dyDescent="0.25">
      <c r="A663" t="s">
        <v>714</v>
      </c>
      <c r="B663" s="1">
        <v>45304</v>
      </c>
      <c r="C663" s="1">
        <v>45309</v>
      </c>
      <c r="D663" t="s">
        <v>29</v>
      </c>
      <c r="E663" t="s">
        <v>30</v>
      </c>
      <c r="F663" t="s">
        <v>31</v>
      </c>
      <c r="G663" t="s">
        <v>21</v>
      </c>
      <c r="H663" t="s">
        <v>27</v>
      </c>
      <c r="I663">
        <v>5</v>
      </c>
      <c r="J663">
        <v>144.52000000000001</v>
      </c>
      <c r="K663">
        <v>12</v>
      </c>
      <c r="L663">
        <v>210</v>
      </c>
      <c r="M663">
        <v>283.04000000000002</v>
      </c>
      <c r="N663" t="s">
        <v>23</v>
      </c>
      <c r="O663">
        <v>5</v>
      </c>
      <c r="P663">
        <v>722.6</v>
      </c>
      <c r="Q663">
        <v>734.6</v>
      </c>
      <c r="R663" t="s">
        <v>2054</v>
      </c>
    </row>
    <row r="664" spans="1:18" x14ac:dyDescent="0.25">
      <c r="A664" t="s">
        <v>715</v>
      </c>
      <c r="B664" s="1">
        <v>45305</v>
      </c>
      <c r="C664" s="1">
        <v>45309</v>
      </c>
      <c r="D664" t="s">
        <v>56</v>
      </c>
      <c r="E664" t="s">
        <v>38</v>
      </c>
      <c r="F664" t="s">
        <v>39</v>
      </c>
      <c r="G664" t="s">
        <v>35</v>
      </c>
      <c r="H664" t="s">
        <v>27</v>
      </c>
      <c r="I664">
        <v>1</v>
      </c>
      <c r="J664">
        <v>129.03</v>
      </c>
      <c r="K664">
        <v>75</v>
      </c>
      <c r="L664">
        <v>144</v>
      </c>
      <c r="M664">
        <v>-11.69</v>
      </c>
      <c r="N664" t="s">
        <v>23</v>
      </c>
      <c r="O664">
        <v>4</v>
      </c>
      <c r="P664">
        <v>129.03</v>
      </c>
      <c r="Q664">
        <v>204.03</v>
      </c>
      <c r="R664" t="s">
        <v>2054</v>
      </c>
    </row>
    <row r="665" spans="1:18" x14ac:dyDescent="0.25">
      <c r="A665" t="s">
        <v>716</v>
      </c>
      <c r="B665" s="1">
        <v>45306</v>
      </c>
      <c r="C665" s="1">
        <v>45317</v>
      </c>
      <c r="D665" t="s">
        <v>118</v>
      </c>
      <c r="E665" t="s">
        <v>79</v>
      </c>
      <c r="F665" t="s">
        <v>80</v>
      </c>
      <c r="G665" t="s">
        <v>35</v>
      </c>
      <c r="H665" t="s">
        <v>40</v>
      </c>
      <c r="I665">
        <v>4</v>
      </c>
      <c r="J665">
        <v>143.03</v>
      </c>
      <c r="K665">
        <v>18</v>
      </c>
      <c r="L665">
        <v>180</v>
      </c>
      <c r="M665">
        <v>248.45</v>
      </c>
      <c r="N665" t="s">
        <v>47</v>
      </c>
      <c r="O665">
        <v>11</v>
      </c>
      <c r="P665">
        <v>572.12</v>
      </c>
      <c r="Q665">
        <v>590.12</v>
      </c>
      <c r="R665" t="s">
        <v>2054</v>
      </c>
    </row>
    <row r="666" spans="1:18" x14ac:dyDescent="0.25">
      <c r="A666" t="s">
        <v>717</v>
      </c>
      <c r="B666" s="1">
        <v>45306</v>
      </c>
      <c r="C666" s="1">
        <v>45308</v>
      </c>
      <c r="D666" t="s">
        <v>52</v>
      </c>
      <c r="E666" t="s">
        <v>30</v>
      </c>
      <c r="F666" t="s">
        <v>31</v>
      </c>
      <c r="G666" t="s">
        <v>35</v>
      </c>
      <c r="H666" t="s">
        <v>32</v>
      </c>
      <c r="I666">
        <v>4</v>
      </c>
      <c r="J666">
        <v>83.48</v>
      </c>
      <c r="K666">
        <v>12</v>
      </c>
      <c r="L666">
        <v>340</v>
      </c>
      <c r="M666">
        <v>127.57</v>
      </c>
      <c r="N666" t="s">
        <v>23</v>
      </c>
      <c r="O666">
        <v>2</v>
      </c>
      <c r="P666">
        <v>333.92</v>
      </c>
      <c r="Q666">
        <v>345.92</v>
      </c>
      <c r="R666" t="s">
        <v>2054</v>
      </c>
    </row>
    <row r="667" spans="1:18" x14ac:dyDescent="0.25">
      <c r="A667" t="s">
        <v>718</v>
      </c>
      <c r="B667" s="1">
        <v>45307</v>
      </c>
      <c r="C667" s="1">
        <v>45322</v>
      </c>
      <c r="D667" t="s">
        <v>37</v>
      </c>
      <c r="E667" t="s">
        <v>38</v>
      </c>
      <c r="F667" t="s">
        <v>39</v>
      </c>
      <c r="G667" t="s">
        <v>35</v>
      </c>
      <c r="H667" t="s">
        <v>27</v>
      </c>
      <c r="I667">
        <v>2</v>
      </c>
      <c r="J667">
        <v>483.64</v>
      </c>
      <c r="K667">
        <v>75</v>
      </c>
      <c r="L667">
        <v>245</v>
      </c>
      <c r="M667">
        <v>155.96</v>
      </c>
      <c r="N667" t="s">
        <v>47</v>
      </c>
      <c r="O667">
        <v>15</v>
      </c>
      <c r="P667">
        <v>967.28</v>
      </c>
      <c r="Q667">
        <v>1042.28</v>
      </c>
      <c r="R667" t="s">
        <v>2054</v>
      </c>
    </row>
    <row r="668" spans="1:18" x14ac:dyDescent="0.25">
      <c r="A668" t="s">
        <v>719</v>
      </c>
      <c r="B668" s="1">
        <v>45307</v>
      </c>
      <c r="C668" s="1">
        <v>45311</v>
      </c>
      <c r="D668" t="s">
        <v>58</v>
      </c>
      <c r="E668" t="s">
        <v>19</v>
      </c>
      <c r="F668" t="s">
        <v>20</v>
      </c>
      <c r="G668" t="s">
        <v>35</v>
      </c>
      <c r="H668" t="s">
        <v>40</v>
      </c>
      <c r="I668">
        <v>10</v>
      </c>
      <c r="J668">
        <v>43.44</v>
      </c>
      <c r="K668">
        <v>12</v>
      </c>
      <c r="L668">
        <v>104</v>
      </c>
      <c r="M668">
        <v>28.75</v>
      </c>
      <c r="N668" t="s">
        <v>23</v>
      </c>
      <c r="O668">
        <v>4</v>
      </c>
      <c r="P668">
        <v>434.4</v>
      </c>
      <c r="Q668">
        <v>446.4</v>
      </c>
      <c r="R668" t="s">
        <v>2054</v>
      </c>
    </row>
    <row r="669" spans="1:18" x14ac:dyDescent="0.25">
      <c r="A669" t="s">
        <v>720</v>
      </c>
      <c r="B669" s="1">
        <v>45307</v>
      </c>
      <c r="C669" s="1">
        <v>45311</v>
      </c>
      <c r="D669" t="s">
        <v>58</v>
      </c>
      <c r="E669" t="s">
        <v>19</v>
      </c>
      <c r="F669" t="s">
        <v>20</v>
      </c>
      <c r="G669" t="s">
        <v>21</v>
      </c>
      <c r="H669" t="s">
        <v>40</v>
      </c>
      <c r="I669">
        <v>14</v>
      </c>
      <c r="J669">
        <v>33.64</v>
      </c>
      <c r="K669">
        <v>12</v>
      </c>
      <c r="L669">
        <v>36</v>
      </c>
      <c r="M669">
        <v>31.67</v>
      </c>
      <c r="N669" t="s">
        <v>23</v>
      </c>
      <c r="O669">
        <v>4</v>
      </c>
      <c r="P669">
        <v>470.96000000000004</v>
      </c>
      <c r="Q669">
        <v>482.96000000000004</v>
      </c>
      <c r="R669" t="s">
        <v>2055</v>
      </c>
    </row>
    <row r="670" spans="1:18" x14ac:dyDescent="0.25">
      <c r="A670" t="s">
        <v>721</v>
      </c>
      <c r="B670" s="1">
        <v>45307</v>
      </c>
      <c r="C670" s="1">
        <v>45308</v>
      </c>
      <c r="D670" t="s">
        <v>50</v>
      </c>
      <c r="E670" t="s">
        <v>44</v>
      </c>
      <c r="F670" t="s">
        <v>45</v>
      </c>
      <c r="G670" t="s">
        <v>26</v>
      </c>
      <c r="H670" t="s">
        <v>32</v>
      </c>
      <c r="I670">
        <v>2</v>
      </c>
      <c r="J670">
        <v>1145.67</v>
      </c>
      <c r="K670">
        <v>25</v>
      </c>
      <c r="L670">
        <v>283</v>
      </c>
      <c r="M670">
        <v>789.47</v>
      </c>
      <c r="N670" t="s">
        <v>23</v>
      </c>
      <c r="O670">
        <v>1</v>
      </c>
      <c r="P670">
        <v>2291.34</v>
      </c>
      <c r="Q670">
        <v>2316.34</v>
      </c>
      <c r="R670" t="s">
        <v>2054</v>
      </c>
    </row>
    <row r="671" spans="1:18" x14ac:dyDescent="0.25">
      <c r="A671" t="s">
        <v>722</v>
      </c>
      <c r="B671" s="1">
        <v>45308</v>
      </c>
      <c r="C671" s="1">
        <v>45311</v>
      </c>
      <c r="D671" t="s">
        <v>58</v>
      </c>
      <c r="E671" t="s">
        <v>19</v>
      </c>
      <c r="F671" t="s">
        <v>20</v>
      </c>
      <c r="G671" t="s">
        <v>21</v>
      </c>
      <c r="H671" t="s">
        <v>22</v>
      </c>
      <c r="I671">
        <v>10</v>
      </c>
      <c r="J671">
        <v>30.32</v>
      </c>
      <c r="K671">
        <v>8</v>
      </c>
      <c r="L671">
        <v>129</v>
      </c>
      <c r="M671">
        <v>20.25</v>
      </c>
      <c r="N671" t="s">
        <v>23</v>
      </c>
      <c r="O671">
        <v>3</v>
      </c>
      <c r="P671">
        <v>303.2</v>
      </c>
      <c r="Q671">
        <v>311.2</v>
      </c>
      <c r="R671" t="s">
        <v>2054</v>
      </c>
    </row>
    <row r="672" spans="1:18" x14ac:dyDescent="0.25">
      <c r="A672" t="s">
        <v>723</v>
      </c>
      <c r="B672" s="1">
        <v>45309</v>
      </c>
      <c r="C672" s="1">
        <v>45319</v>
      </c>
      <c r="D672" t="s">
        <v>18</v>
      </c>
      <c r="E672" t="s">
        <v>19</v>
      </c>
      <c r="F672" t="s">
        <v>20</v>
      </c>
      <c r="G672" t="s">
        <v>35</v>
      </c>
      <c r="H672" t="s">
        <v>40</v>
      </c>
      <c r="I672">
        <v>12</v>
      </c>
      <c r="J672">
        <v>45.76</v>
      </c>
      <c r="K672">
        <v>12</v>
      </c>
      <c r="L672">
        <v>207</v>
      </c>
      <c r="M672">
        <v>37.93</v>
      </c>
      <c r="N672" t="s">
        <v>63</v>
      </c>
      <c r="O672">
        <v>10</v>
      </c>
      <c r="P672">
        <v>549.12</v>
      </c>
      <c r="Q672">
        <v>561.12</v>
      </c>
      <c r="R672" t="s">
        <v>2054</v>
      </c>
    </row>
    <row r="673" spans="1:18" x14ac:dyDescent="0.25">
      <c r="A673" t="s">
        <v>724</v>
      </c>
      <c r="B673" s="1">
        <v>45310</v>
      </c>
      <c r="C673" s="1">
        <v>45311</v>
      </c>
      <c r="D673" t="s">
        <v>58</v>
      </c>
      <c r="E673" t="s">
        <v>19</v>
      </c>
      <c r="F673" t="s">
        <v>20</v>
      </c>
      <c r="G673" t="s">
        <v>35</v>
      </c>
      <c r="H673" t="s">
        <v>27</v>
      </c>
      <c r="I673">
        <v>8</v>
      </c>
      <c r="J673">
        <v>47.3</v>
      </c>
      <c r="K673">
        <v>8</v>
      </c>
      <c r="L673">
        <v>297</v>
      </c>
      <c r="M673">
        <v>26.27</v>
      </c>
      <c r="N673" t="s">
        <v>23</v>
      </c>
      <c r="O673">
        <v>1</v>
      </c>
      <c r="P673">
        <v>378.4</v>
      </c>
      <c r="Q673">
        <v>386.4</v>
      </c>
      <c r="R673" t="s">
        <v>2054</v>
      </c>
    </row>
    <row r="674" spans="1:18" x14ac:dyDescent="0.25">
      <c r="A674" t="s">
        <v>725</v>
      </c>
      <c r="B674" s="1">
        <v>45311</v>
      </c>
      <c r="C674" s="1">
        <v>45316</v>
      </c>
      <c r="D674" t="s">
        <v>25</v>
      </c>
      <c r="E674" t="s">
        <v>19</v>
      </c>
      <c r="F674" t="s">
        <v>20</v>
      </c>
      <c r="G674" t="s">
        <v>21</v>
      </c>
      <c r="H674" t="s">
        <v>22</v>
      </c>
      <c r="I674">
        <v>5</v>
      </c>
      <c r="J674">
        <v>42.99</v>
      </c>
      <c r="K674">
        <v>8</v>
      </c>
      <c r="L674">
        <v>6</v>
      </c>
      <c r="M674">
        <v>13.19</v>
      </c>
      <c r="N674" t="s">
        <v>23</v>
      </c>
      <c r="O674">
        <v>5</v>
      </c>
      <c r="P674">
        <v>214.95000000000002</v>
      </c>
      <c r="Q674">
        <v>222.95000000000002</v>
      </c>
      <c r="R674" t="s">
        <v>2056</v>
      </c>
    </row>
    <row r="675" spans="1:18" x14ac:dyDescent="0.25">
      <c r="A675" t="s">
        <v>726</v>
      </c>
      <c r="B675" s="1">
        <v>45311</v>
      </c>
      <c r="C675" s="1">
        <v>45322</v>
      </c>
      <c r="D675" t="s">
        <v>18</v>
      </c>
      <c r="E675" t="s">
        <v>19</v>
      </c>
      <c r="F675" t="s">
        <v>20</v>
      </c>
      <c r="G675" t="s">
        <v>35</v>
      </c>
      <c r="H675" t="s">
        <v>32</v>
      </c>
      <c r="I675">
        <v>12</v>
      </c>
      <c r="J675">
        <v>49.61</v>
      </c>
      <c r="K675">
        <v>8</v>
      </c>
      <c r="L675">
        <v>344</v>
      </c>
      <c r="M675">
        <v>-89.3</v>
      </c>
      <c r="N675" t="s">
        <v>47</v>
      </c>
      <c r="O675">
        <v>11</v>
      </c>
      <c r="P675">
        <v>595.31999999999994</v>
      </c>
      <c r="Q675">
        <v>603.31999999999994</v>
      </c>
      <c r="R675" t="s">
        <v>2054</v>
      </c>
    </row>
    <row r="676" spans="1:18" x14ac:dyDescent="0.25">
      <c r="A676" t="s">
        <v>727</v>
      </c>
      <c r="B676" s="1">
        <v>45312</v>
      </c>
      <c r="C676" s="1">
        <v>45313</v>
      </c>
      <c r="D676" t="s">
        <v>56</v>
      </c>
      <c r="E676" t="s">
        <v>38</v>
      </c>
      <c r="F676" t="s">
        <v>39</v>
      </c>
      <c r="G676" t="s">
        <v>21</v>
      </c>
      <c r="H676" t="s">
        <v>32</v>
      </c>
      <c r="I676">
        <v>1</v>
      </c>
      <c r="J676">
        <v>439.06</v>
      </c>
      <c r="K676">
        <v>75</v>
      </c>
      <c r="L676">
        <v>57</v>
      </c>
      <c r="M676">
        <v>50.31</v>
      </c>
      <c r="N676" t="s">
        <v>23</v>
      </c>
      <c r="O676">
        <v>1</v>
      </c>
      <c r="P676">
        <v>439.06</v>
      </c>
      <c r="Q676">
        <v>514.05999999999995</v>
      </c>
      <c r="R676" t="s">
        <v>2054</v>
      </c>
    </row>
    <row r="677" spans="1:18" x14ac:dyDescent="0.25">
      <c r="A677" t="s">
        <v>728</v>
      </c>
      <c r="B677" s="1">
        <v>45312</v>
      </c>
      <c r="C677" s="1">
        <v>45319</v>
      </c>
      <c r="D677" t="s">
        <v>75</v>
      </c>
      <c r="E677" t="s">
        <v>44</v>
      </c>
      <c r="F677" t="s">
        <v>45</v>
      </c>
      <c r="G677" t="s">
        <v>35</v>
      </c>
      <c r="H677" t="s">
        <v>40</v>
      </c>
      <c r="I677">
        <v>2</v>
      </c>
      <c r="J677">
        <v>1040.5999999999999</v>
      </c>
      <c r="K677">
        <v>37.5</v>
      </c>
      <c r="L677">
        <v>327</v>
      </c>
      <c r="M677">
        <v>709.67</v>
      </c>
      <c r="N677" t="s">
        <v>63</v>
      </c>
      <c r="O677">
        <v>7</v>
      </c>
      <c r="P677">
        <v>2081.1999999999998</v>
      </c>
      <c r="Q677">
        <v>2118.6999999999998</v>
      </c>
      <c r="R677" t="s">
        <v>2054</v>
      </c>
    </row>
    <row r="678" spans="1:18" x14ac:dyDescent="0.25">
      <c r="A678" t="s">
        <v>729</v>
      </c>
      <c r="B678" s="1">
        <v>45312</v>
      </c>
      <c r="C678" s="1">
        <v>45314</v>
      </c>
      <c r="D678" t="s">
        <v>82</v>
      </c>
      <c r="E678" t="s">
        <v>79</v>
      </c>
      <c r="F678" t="s">
        <v>80</v>
      </c>
      <c r="G678" t="s">
        <v>21</v>
      </c>
      <c r="H678" t="s">
        <v>32</v>
      </c>
      <c r="I678">
        <v>3</v>
      </c>
      <c r="J678">
        <v>31.99</v>
      </c>
      <c r="K678">
        <v>12</v>
      </c>
      <c r="L678">
        <v>396</v>
      </c>
      <c r="M678">
        <v>37.19</v>
      </c>
      <c r="N678" t="s">
        <v>23</v>
      </c>
      <c r="O678">
        <v>2</v>
      </c>
      <c r="P678">
        <v>95.97</v>
      </c>
      <c r="Q678">
        <v>107.97</v>
      </c>
      <c r="R678" t="s">
        <v>2054</v>
      </c>
    </row>
    <row r="679" spans="1:18" x14ac:dyDescent="0.25">
      <c r="A679" t="s">
        <v>730</v>
      </c>
      <c r="B679" s="1">
        <v>45312</v>
      </c>
      <c r="C679" s="1">
        <v>45314</v>
      </c>
      <c r="D679" t="s">
        <v>56</v>
      </c>
      <c r="E679" t="s">
        <v>38</v>
      </c>
      <c r="F679" t="s">
        <v>39</v>
      </c>
      <c r="G679" t="s">
        <v>35</v>
      </c>
      <c r="H679" t="s">
        <v>40</v>
      </c>
      <c r="I679">
        <v>2</v>
      </c>
      <c r="J679">
        <v>400.27</v>
      </c>
      <c r="K679">
        <v>112.5</v>
      </c>
      <c r="L679">
        <v>75</v>
      </c>
      <c r="M679">
        <v>103.86</v>
      </c>
      <c r="N679" t="s">
        <v>23</v>
      </c>
      <c r="O679">
        <v>2</v>
      </c>
      <c r="P679">
        <v>800.54</v>
      </c>
      <c r="Q679">
        <v>913.04</v>
      </c>
      <c r="R679" t="s">
        <v>2054</v>
      </c>
    </row>
    <row r="680" spans="1:18" x14ac:dyDescent="0.25">
      <c r="A680" t="s">
        <v>731</v>
      </c>
      <c r="B680" s="1">
        <v>45313</v>
      </c>
      <c r="C680" s="1">
        <v>45314</v>
      </c>
      <c r="D680" t="s">
        <v>25</v>
      </c>
      <c r="E680" t="s">
        <v>19</v>
      </c>
      <c r="F680" t="s">
        <v>20</v>
      </c>
      <c r="G680" t="s">
        <v>26</v>
      </c>
      <c r="H680" t="s">
        <v>32</v>
      </c>
      <c r="I680">
        <v>11</v>
      </c>
      <c r="J680">
        <v>14.18</v>
      </c>
      <c r="K680">
        <v>8</v>
      </c>
      <c r="L680">
        <v>352</v>
      </c>
      <c r="M680">
        <v>8.48</v>
      </c>
      <c r="N680" t="s">
        <v>23</v>
      </c>
      <c r="O680">
        <v>1</v>
      </c>
      <c r="P680">
        <v>155.97999999999999</v>
      </c>
      <c r="Q680">
        <v>163.98</v>
      </c>
      <c r="R680" t="s">
        <v>2054</v>
      </c>
    </row>
    <row r="681" spans="1:18" x14ac:dyDescent="0.25">
      <c r="A681" t="s">
        <v>732</v>
      </c>
      <c r="B681" s="1">
        <v>45313</v>
      </c>
      <c r="C681" s="1">
        <v>45325</v>
      </c>
      <c r="D681" t="s">
        <v>29</v>
      </c>
      <c r="E681" t="s">
        <v>30</v>
      </c>
      <c r="F681" t="s">
        <v>31</v>
      </c>
      <c r="G681" t="s">
        <v>35</v>
      </c>
      <c r="H681" t="s">
        <v>40</v>
      </c>
      <c r="I681">
        <v>4</v>
      </c>
      <c r="J681">
        <v>86.89</v>
      </c>
      <c r="K681">
        <v>18</v>
      </c>
      <c r="L681">
        <v>277</v>
      </c>
      <c r="M681">
        <v>130.03</v>
      </c>
      <c r="N681" t="s">
        <v>47</v>
      </c>
      <c r="O681">
        <v>12</v>
      </c>
      <c r="P681">
        <v>347.56</v>
      </c>
      <c r="Q681">
        <v>365.56</v>
      </c>
      <c r="R681" t="s">
        <v>2054</v>
      </c>
    </row>
    <row r="682" spans="1:18" x14ac:dyDescent="0.25">
      <c r="A682" t="s">
        <v>733</v>
      </c>
      <c r="B682" s="1">
        <v>45314</v>
      </c>
      <c r="C682" s="1">
        <v>45315</v>
      </c>
      <c r="D682" t="s">
        <v>29</v>
      </c>
      <c r="E682" t="s">
        <v>30</v>
      </c>
      <c r="F682" t="s">
        <v>31</v>
      </c>
      <c r="G682" t="s">
        <v>21</v>
      </c>
      <c r="H682" t="s">
        <v>32</v>
      </c>
      <c r="I682">
        <v>5</v>
      </c>
      <c r="J682">
        <v>44.68</v>
      </c>
      <c r="K682">
        <v>12</v>
      </c>
      <c r="L682">
        <v>144</v>
      </c>
      <c r="M682">
        <v>83.36</v>
      </c>
      <c r="N682" t="s">
        <v>23</v>
      </c>
      <c r="O682">
        <v>1</v>
      </c>
      <c r="P682">
        <v>223.4</v>
      </c>
      <c r="Q682">
        <v>235.4</v>
      </c>
      <c r="R682" t="s">
        <v>2054</v>
      </c>
    </row>
    <row r="683" spans="1:18" x14ac:dyDescent="0.25">
      <c r="A683" t="s">
        <v>734</v>
      </c>
      <c r="B683" s="1">
        <v>45315</v>
      </c>
      <c r="C683" s="1">
        <v>45317</v>
      </c>
      <c r="D683" t="s">
        <v>18</v>
      </c>
      <c r="E683" t="s">
        <v>19</v>
      </c>
      <c r="F683" t="s">
        <v>20</v>
      </c>
      <c r="G683" t="s">
        <v>35</v>
      </c>
      <c r="H683" t="s">
        <v>40</v>
      </c>
      <c r="I683">
        <v>13</v>
      </c>
      <c r="J683">
        <v>21.96</v>
      </c>
      <c r="K683">
        <v>12</v>
      </c>
      <c r="L683">
        <v>4</v>
      </c>
      <c r="M683">
        <v>16.84</v>
      </c>
      <c r="N683" t="s">
        <v>23</v>
      </c>
      <c r="O683">
        <v>2</v>
      </c>
      <c r="P683">
        <v>285.48</v>
      </c>
      <c r="Q683">
        <v>297.48</v>
      </c>
      <c r="R683" t="s">
        <v>2056</v>
      </c>
    </row>
    <row r="684" spans="1:18" x14ac:dyDescent="0.25">
      <c r="A684" t="s">
        <v>735</v>
      </c>
      <c r="B684" s="1">
        <v>45315</v>
      </c>
      <c r="C684" s="1">
        <v>45317</v>
      </c>
      <c r="D684" t="s">
        <v>52</v>
      </c>
      <c r="E684" t="s">
        <v>30</v>
      </c>
      <c r="F684" t="s">
        <v>31</v>
      </c>
      <c r="G684" t="s">
        <v>21</v>
      </c>
      <c r="H684" t="s">
        <v>27</v>
      </c>
      <c r="I684">
        <v>3</v>
      </c>
      <c r="J684">
        <v>134.77000000000001</v>
      </c>
      <c r="K684">
        <v>12</v>
      </c>
      <c r="L684">
        <v>173</v>
      </c>
      <c r="M684">
        <v>155.72</v>
      </c>
      <c r="N684" t="s">
        <v>23</v>
      </c>
      <c r="O684">
        <v>2</v>
      </c>
      <c r="P684">
        <v>404.31000000000006</v>
      </c>
      <c r="Q684">
        <v>416.31000000000006</v>
      </c>
      <c r="R684" t="s">
        <v>2054</v>
      </c>
    </row>
    <row r="685" spans="1:18" x14ac:dyDescent="0.25">
      <c r="A685" t="s">
        <v>736</v>
      </c>
      <c r="B685" s="1">
        <v>45316</v>
      </c>
      <c r="C685" s="1">
        <v>45319</v>
      </c>
      <c r="D685" t="s">
        <v>18</v>
      </c>
      <c r="E685" t="s">
        <v>19</v>
      </c>
      <c r="F685" t="s">
        <v>20</v>
      </c>
      <c r="G685" t="s">
        <v>21</v>
      </c>
      <c r="H685" t="s">
        <v>32</v>
      </c>
      <c r="I685">
        <v>7</v>
      </c>
      <c r="J685">
        <v>12.14</v>
      </c>
      <c r="K685">
        <v>8</v>
      </c>
      <c r="L685">
        <v>34</v>
      </c>
      <c r="M685">
        <v>2.8</v>
      </c>
      <c r="N685" t="s">
        <v>23</v>
      </c>
      <c r="O685">
        <v>3</v>
      </c>
      <c r="P685">
        <v>84.98</v>
      </c>
      <c r="Q685">
        <v>92.98</v>
      </c>
      <c r="R685" t="s">
        <v>2055</v>
      </c>
    </row>
    <row r="686" spans="1:18" x14ac:dyDescent="0.25">
      <c r="A686" t="s">
        <v>737</v>
      </c>
      <c r="B686" s="1">
        <v>45316</v>
      </c>
      <c r="C686" s="1">
        <v>45320</v>
      </c>
      <c r="D686" t="s">
        <v>50</v>
      </c>
      <c r="E686" t="s">
        <v>44</v>
      </c>
      <c r="F686" t="s">
        <v>45</v>
      </c>
      <c r="G686" t="s">
        <v>26</v>
      </c>
      <c r="H686" t="s">
        <v>27</v>
      </c>
      <c r="I686">
        <v>2</v>
      </c>
      <c r="J686">
        <v>511.7</v>
      </c>
      <c r="K686">
        <v>25</v>
      </c>
      <c r="L686">
        <v>349</v>
      </c>
      <c r="M686">
        <v>345.69</v>
      </c>
      <c r="N686" t="s">
        <v>23</v>
      </c>
      <c r="O686">
        <v>4</v>
      </c>
      <c r="P686">
        <v>1023.4</v>
      </c>
      <c r="Q686">
        <v>1048.4000000000001</v>
      </c>
      <c r="R686" t="s">
        <v>2054</v>
      </c>
    </row>
    <row r="687" spans="1:18" x14ac:dyDescent="0.25">
      <c r="A687" t="s">
        <v>738</v>
      </c>
      <c r="B687" s="1">
        <v>45317</v>
      </c>
      <c r="C687" s="1">
        <v>45324</v>
      </c>
      <c r="D687" t="s">
        <v>78</v>
      </c>
      <c r="E687" t="s">
        <v>79</v>
      </c>
      <c r="F687" t="s">
        <v>80</v>
      </c>
      <c r="G687" t="s">
        <v>35</v>
      </c>
      <c r="H687" t="s">
        <v>40</v>
      </c>
      <c r="I687">
        <v>3</v>
      </c>
      <c r="J687">
        <v>36.49</v>
      </c>
      <c r="K687">
        <v>18</v>
      </c>
      <c r="L687">
        <v>109</v>
      </c>
      <c r="M687">
        <v>40.26</v>
      </c>
      <c r="N687" t="s">
        <v>63</v>
      </c>
      <c r="O687">
        <v>7</v>
      </c>
      <c r="P687">
        <v>109.47</v>
      </c>
      <c r="Q687">
        <v>127.47</v>
      </c>
      <c r="R687" t="s">
        <v>2054</v>
      </c>
    </row>
    <row r="688" spans="1:18" x14ac:dyDescent="0.25">
      <c r="A688" t="s">
        <v>739</v>
      </c>
      <c r="B688" s="1">
        <v>45317</v>
      </c>
      <c r="C688" s="1">
        <v>45330</v>
      </c>
      <c r="D688" t="s">
        <v>72</v>
      </c>
      <c r="E688" t="s">
        <v>44</v>
      </c>
      <c r="F688" t="s">
        <v>45</v>
      </c>
      <c r="G688" t="s">
        <v>35</v>
      </c>
      <c r="H688" t="s">
        <v>40</v>
      </c>
      <c r="I688">
        <v>3</v>
      </c>
      <c r="J688">
        <v>249.16</v>
      </c>
      <c r="K688">
        <v>37.5</v>
      </c>
      <c r="L688">
        <v>230</v>
      </c>
      <c r="M688">
        <v>242.87</v>
      </c>
      <c r="N688" t="s">
        <v>47</v>
      </c>
      <c r="O688">
        <v>13</v>
      </c>
      <c r="P688">
        <v>747.48</v>
      </c>
      <c r="Q688">
        <v>784.98</v>
      </c>
      <c r="R688" t="s">
        <v>2054</v>
      </c>
    </row>
    <row r="689" spans="1:18" x14ac:dyDescent="0.25">
      <c r="A689" t="s">
        <v>740</v>
      </c>
      <c r="B689" s="1">
        <v>45318</v>
      </c>
      <c r="C689" s="1">
        <v>45323</v>
      </c>
      <c r="D689" t="s">
        <v>75</v>
      </c>
      <c r="E689" t="s">
        <v>44</v>
      </c>
      <c r="F689" t="s">
        <v>45</v>
      </c>
      <c r="G689" t="s">
        <v>26</v>
      </c>
      <c r="H689" t="s">
        <v>22</v>
      </c>
      <c r="I689">
        <v>2</v>
      </c>
      <c r="J689">
        <v>344.58</v>
      </c>
      <c r="K689">
        <v>25</v>
      </c>
      <c r="L689">
        <v>384</v>
      </c>
      <c r="M689">
        <v>228.71</v>
      </c>
      <c r="N689" t="s">
        <v>23</v>
      </c>
      <c r="O689">
        <v>5</v>
      </c>
      <c r="P689">
        <v>689.16</v>
      </c>
      <c r="Q689">
        <v>714.16</v>
      </c>
      <c r="R689" t="s">
        <v>2054</v>
      </c>
    </row>
    <row r="690" spans="1:18" x14ac:dyDescent="0.25">
      <c r="A690" t="s">
        <v>741</v>
      </c>
      <c r="B690" s="1">
        <v>45319</v>
      </c>
      <c r="C690" s="1">
        <v>45322</v>
      </c>
      <c r="D690" t="s">
        <v>82</v>
      </c>
      <c r="E690" t="s">
        <v>79</v>
      </c>
      <c r="F690" t="s">
        <v>80</v>
      </c>
      <c r="G690" t="s">
        <v>26</v>
      </c>
      <c r="H690" t="s">
        <v>27</v>
      </c>
      <c r="I690">
        <v>5</v>
      </c>
      <c r="J690">
        <v>20.7</v>
      </c>
      <c r="K690">
        <v>12</v>
      </c>
      <c r="L690">
        <v>57</v>
      </c>
      <c r="M690">
        <v>40.57</v>
      </c>
      <c r="N690" t="s">
        <v>23</v>
      </c>
      <c r="O690">
        <v>3</v>
      </c>
      <c r="P690">
        <v>103.5</v>
      </c>
      <c r="Q690">
        <v>115.5</v>
      </c>
      <c r="R690" t="s">
        <v>2054</v>
      </c>
    </row>
    <row r="691" spans="1:18" x14ac:dyDescent="0.25">
      <c r="A691" t="s">
        <v>742</v>
      </c>
      <c r="B691" s="1">
        <v>45319</v>
      </c>
      <c r="C691" s="1">
        <v>45324</v>
      </c>
      <c r="D691" t="s">
        <v>58</v>
      </c>
      <c r="E691" t="s">
        <v>19</v>
      </c>
      <c r="F691" t="s">
        <v>20</v>
      </c>
      <c r="G691" t="s">
        <v>35</v>
      </c>
      <c r="H691" t="s">
        <v>22</v>
      </c>
      <c r="I691">
        <v>14</v>
      </c>
      <c r="J691">
        <v>10.029999999999999</v>
      </c>
      <c r="K691">
        <v>8</v>
      </c>
      <c r="L691">
        <v>264</v>
      </c>
      <c r="M691">
        <v>7.24</v>
      </c>
      <c r="N691" t="s">
        <v>23</v>
      </c>
      <c r="O691">
        <v>5</v>
      </c>
      <c r="P691">
        <v>140.41999999999999</v>
      </c>
      <c r="Q691">
        <v>148.41999999999999</v>
      </c>
      <c r="R691" t="s">
        <v>2054</v>
      </c>
    </row>
    <row r="692" spans="1:18" x14ac:dyDescent="0.25">
      <c r="A692" t="s">
        <v>743</v>
      </c>
      <c r="B692" s="1">
        <v>45321</v>
      </c>
      <c r="C692" s="1">
        <v>45325</v>
      </c>
      <c r="D692" t="s">
        <v>25</v>
      </c>
      <c r="E692" t="s">
        <v>19</v>
      </c>
      <c r="F692" t="s">
        <v>20</v>
      </c>
      <c r="G692" t="s">
        <v>21</v>
      </c>
      <c r="H692" t="s">
        <v>27</v>
      </c>
      <c r="I692">
        <v>7</v>
      </c>
      <c r="J692">
        <v>42.23</v>
      </c>
      <c r="K692">
        <v>8</v>
      </c>
      <c r="L692">
        <v>300</v>
      </c>
      <c r="M692">
        <v>19.649999999999999</v>
      </c>
      <c r="N692" t="s">
        <v>23</v>
      </c>
      <c r="O692">
        <v>4</v>
      </c>
      <c r="P692">
        <v>295.60999999999996</v>
      </c>
      <c r="Q692">
        <v>303.60999999999996</v>
      </c>
      <c r="R692" t="s">
        <v>2054</v>
      </c>
    </row>
    <row r="693" spans="1:18" x14ac:dyDescent="0.25">
      <c r="A693" t="s">
        <v>744</v>
      </c>
      <c r="B693" s="1">
        <v>45321</v>
      </c>
      <c r="C693" s="1">
        <v>45326</v>
      </c>
      <c r="D693" t="s">
        <v>18</v>
      </c>
      <c r="E693" t="s">
        <v>19</v>
      </c>
      <c r="F693" t="s">
        <v>20</v>
      </c>
      <c r="G693" t="s">
        <v>35</v>
      </c>
      <c r="H693" t="s">
        <v>40</v>
      </c>
      <c r="I693">
        <v>8</v>
      </c>
      <c r="J693">
        <v>27.83</v>
      </c>
      <c r="K693">
        <v>12</v>
      </c>
      <c r="L693">
        <v>189</v>
      </c>
      <c r="M693">
        <v>11.81</v>
      </c>
      <c r="N693" t="s">
        <v>23</v>
      </c>
      <c r="O693">
        <v>5</v>
      </c>
      <c r="P693">
        <v>222.64</v>
      </c>
      <c r="Q693">
        <v>234.64</v>
      </c>
      <c r="R693" t="s">
        <v>2054</v>
      </c>
    </row>
    <row r="694" spans="1:18" x14ac:dyDescent="0.25">
      <c r="A694" t="s">
        <v>745</v>
      </c>
      <c r="B694" s="1">
        <v>45322</v>
      </c>
      <c r="C694" s="1">
        <v>45327</v>
      </c>
      <c r="D694" t="s">
        <v>78</v>
      </c>
      <c r="E694" t="s">
        <v>79</v>
      </c>
      <c r="F694" t="s">
        <v>80</v>
      </c>
      <c r="G694" t="s">
        <v>35</v>
      </c>
      <c r="H694" t="s">
        <v>27</v>
      </c>
      <c r="I694">
        <v>5</v>
      </c>
      <c r="J694">
        <v>30.52</v>
      </c>
      <c r="K694">
        <v>12</v>
      </c>
      <c r="L694">
        <v>207</v>
      </c>
      <c r="M694">
        <v>62.68</v>
      </c>
      <c r="N694" t="s">
        <v>23</v>
      </c>
      <c r="O694">
        <v>5</v>
      </c>
      <c r="P694">
        <v>152.6</v>
      </c>
      <c r="Q694">
        <v>164.6</v>
      </c>
      <c r="R694" t="s">
        <v>2054</v>
      </c>
    </row>
    <row r="695" spans="1:18" x14ac:dyDescent="0.25">
      <c r="A695" t="s">
        <v>746</v>
      </c>
      <c r="B695" s="1">
        <v>45322</v>
      </c>
      <c r="C695" s="1">
        <v>45338</v>
      </c>
      <c r="D695" t="s">
        <v>18</v>
      </c>
      <c r="E695" t="s">
        <v>19</v>
      </c>
      <c r="F695" t="s">
        <v>20</v>
      </c>
      <c r="G695" t="s">
        <v>35</v>
      </c>
      <c r="H695" t="s">
        <v>40</v>
      </c>
      <c r="I695">
        <v>11</v>
      </c>
      <c r="J695">
        <v>35.92</v>
      </c>
      <c r="K695">
        <v>12</v>
      </c>
      <c r="L695">
        <v>340</v>
      </c>
      <c r="M695">
        <v>25.61</v>
      </c>
      <c r="N695" t="s">
        <v>47</v>
      </c>
      <c r="O695">
        <v>16</v>
      </c>
      <c r="P695">
        <v>395.12</v>
      </c>
      <c r="Q695">
        <v>407.12</v>
      </c>
      <c r="R695" t="s">
        <v>2054</v>
      </c>
    </row>
    <row r="696" spans="1:18" x14ac:dyDescent="0.25">
      <c r="A696" t="s">
        <v>747</v>
      </c>
      <c r="B696" s="1">
        <v>45322</v>
      </c>
      <c r="C696" s="1">
        <v>45326</v>
      </c>
      <c r="D696" t="s">
        <v>50</v>
      </c>
      <c r="E696" t="s">
        <v>44</v>
      </c>
      <c r="F696" t="s">
        <v>45</v>
      </c>
      <c r="G696" t="s">
        <v>21</v>
      </c>
      <c r="H696" t="s">
        <v>27</v>
      </c>
      <c r="I696">
        <v>1</v>
      </c>
      <c r="J696">
        <v>949.6</v>
      </c>
      <c r="K696">
        <v>25</v>
      </c>
      <c r="L696">
        <v>85</v>
      </c>
      <c r="M696">
        <v>319.86</v>
      </c>
      <c r="N696" t="s">
        <v>23</v>
      </c>
      <c r="O696">
        <v>4</v>
      </c>
      <c r="P696">
        <v>949.6</v>
      </c>
      <c r="Q696">
        <v>974.6</v>
      </c>
      <c r="R696" t="s">
        <v>2054</v>
      </c>
    </row>
    <row r="697" spans="1:18" x14ac:dyDescent="0.25">
      <c r="A697" t="s">
        <v>748</v>
      </c>
      <c r="B697" s="1">
        <v>45322</v>
      </c>
      <c r="C697" s="1">
        <v>45325</v>
      </c>
      <c r="D697" t="s">
        <v>118</v>
      </c>
      <c r="E697" t="s">
        <v>79</v>
      </c>
      <c r="F697" t="s">
        <v>80</v>
      </c>
      <c r="G697" t="s">
        <v>21</v>
      </c>
      <c r="H697" t="s">
        <v>40</v>
      </c>
      <c r="I697">
        <v>5</v>
      </c>
      <c r="J697">
        <v>71.95</v>
      </c>
      <c r="K697">
        <v>18</v>
      </c>
      <c r="L697">
        <v>276</v>
      </c>
      <c r="M697">
        <v>-53.96</v>
      </c>
      <c r="N697" t="s">
        <v>23</v>
      </c>
      <c r="O697">
        <v>3</v>
      </c>
      <c r="P697">
        <v>359.75</v>
      </c>
      <c r="Q697">
        <v>377.75</v>
      </c>
      <c r="R697" t="s">
        <v>2054</v>
      </c>
    </row>
    <row r="698" spans="1:18" x14ac:dyDescent="0.25">
      <c r="A698" t="s">
        <v>749</v>
      </c>
      <c r="B698" s="1">
        <v>45323</v>
      </c>
      <c r="C698" s="1">
        <v>45330</v>
      </c>
      <c r="D698" t="s">
        <v>52</v>
      </c>
      <c r="E698" t="s">
        <v>30</v>
      </c>
      <c r="F698" t="s">
        <v>31</v>
      </c>
      <c r="G698" t="s">
        <v>35</v>
      </c>
      <c r="H698" t="s">
        <v>40</v>
      </c>
      <c r="I698">
        <v>1</v>
      </c>
      <c r="J698">
        <v>141.41</v>
      </c>
      <c r="K698">
        <v>18</v>
      </c>
      <c r="L698">
        <v>89</v>
      </c>
      <c r="M698">
        <v>-21.21</v>
      </c>
      <c r="N698" t="s">
        <v>63</v>
      </c>
      <c r="O698">
        <v>7</v>
      </c>
      <c r="P698">
        <v>141.41</v>
      </c>
      <c r="Q698">
        <v>159.41</v>
      </c>
      <c r="R698" t="s">
        <v>2054</v>
      </c>
    </row>
    <row r="699" spans="1:18" x14ac:dyDescent="0.25">
      <c r="A699" t="s">
        <v>750</v>
      </c>
      <c r="B699" s="1">
        <v>45323</v>
      </c>
      <c r="C699" s="1">
        <v>45327</v>
      </c>
      <c r="D699" t="s">
        <v>75</v>
      </c>
      <c r="E699" t="s">
        <v>44</v>
      </c>
      <c r="F699" t="s">
        <v>45</v>
      </c>
      <c r="G699" t="s">
        <v>21</v>
      </c>
      <c r="H699" t="s">
        <v>40</v>
      </c>
      <c r="I699">
        <v>1</v>
      </c>
      <c r="J699">
        <v>518.35</v>
      </c>
      <c r="K699">
        <v>37.5</v>
      </c>
      <c r="L699">
        <v>367</v>
      </c>
      <c r="M699">
        <v>162.66999999999999</v>
      </c>
      <c r="N699" t="s">
        <v>23</v>
      </c>
      <c r="O699">
        <v>4</v>
      </c>
      <c r="P699">
        <v>518.35</v>
      </c>
      <c r="Q699">
        <v>555.85</v>
      </c>
      <c r="R699" t="s">
        <v>2054</v>
      </c>
    </row>
    <row r="700" spans="1:18" x14ac:dyDescent="0.25">
      <c r="A700" t="s">
        <v>751</v>
      </c>
      <c r="B700" s="1">
        <v>45323</v>
      </c>
      <c r="C700" s="1">
        <v>45334</v>
      </c>
      <c r="D700" t="s">
        <v>82</v>
      </c>
      <c r="E700" t="s">
        <v>79</v>
      </c>
      <c r="F700" t="s">
        <v>80</v>
      </c>
      <c r="G700" t="s">
        <v>35</v>
      </c>
      <c r="H700" t="s">
        <v>40</v>
      </c>
      <c r="I700">
        <v>3</v>
      </c>
      <c r="J700">
        <v>73.98</v>
      </c>
      <c r="K700">
        <v>18</v>
      </c>
      <c r="L700">
        <v>244</v>
      </c>
      <c r="M700">
        <v>90.87</v>
      </c>
      <c r="N700" t="s">
        <v>47</v>
      </c>
      <c r="O700">
        <v>11</v>
      </c>
      <c r="P700">
        <v>221.94</v>
      </c>
      <c r="Q700">
        <v>239.94</v>
      </c>
      <c r="R700" t="s">
        <v>2054</v>
      </c>
    </row>
    <row r="701" spans="1:18" x14ac:dyDescent="0.25">
      <c r="A701" t="s">
        <v>752</v>
      </c>
      <c r="B701" s="1">
        <v>45323</v>
      </c>
      <c r="C701" s="1">
        <v>45325</v>
      </c>
      <c r="D701" t="s">
        <v>29</v>
      </c>
      <c r="E701" t="s">
        <v>30</v>
      </c>
      <c r="F701" t="s">
        <v>31</v>
      </c>
      <c r="G701" t="s">
        <v>26</v>
      </c>
      <c r="H701" t="s">
        <v>27</v>
      </c>
      <c r="I701">
        <v>2</v>
      </c>
      <c r="J701">
        <v>29.15</v>
      </c>
      <c r="K701">
        <v>12</v>
      </c>
      <c r="L701">
        <v>186</v>
      </c>
      <c r="M701">
        <v>17.32</v>
      </c>
      <c r="N701" t="s">
        <v>23</v>
      </c>
      <c r="O701">
        <v>2</v>
      </c>
      <c r="P701">
        <v>58.3</v>
      </c>
      <c r="Q701">
        <v>70.3</v>
      </c>
      <c r="R701" t="s">
        <v>2054</v>
      </c>
    </row>
    <row r="702" spans="1:18" x14ac:dyDescent="0.25">
      <c r="A702" t="s">
        <v>753</v>
      </c>
      <c r="B702" s="1">
        <v>45323</v>
      </c>
      <c r="C702" s="1">
        <v>45327</v>
      </c>
      <c r="D702" t="s">
        <v>52</v>
      </c>
      <c r="E702" t="s">
        <v>30</v>
      </c>
      <c r="F702" t="s">
        <v>31</v>
      </c>
      <c r="G702" t="s">
        <v>26</v>
      </c>
      <c r="H702" t="s">
        <v>32</v>
      </c>
      <c r="I702">
        <v>1</v>
      </c>
      <c r="J702">
        <v>63.67</v>
      </c>
      <c r="K702">
        <v>12</v>
      </c>
      <c r="L702">
        <v>179</v>
      </c>
      <c r="M702">
        <v>19.47</v>
      </c>
      <c r="N702" t="s">
        <v>23</v>
      </c>
      <c r="O702">
        <v>4</v>
      </c>
      <c r="P702">
        <v>63.67</v>
      </c>
      <c r="Q702">
        <v>75.67</v>
      </c>
      <c r="R702" t="s">
        <v>2054</v>
      </c>
    </row>
    <row r="703" spans="1:18" x14ac:dyDescent="0.25">
      <c r="A703" t="s">
        <v>754</v>
      </c>
      <c r="B703" s="1">
        <v>45324</v>
      </c>
      <c r="C703" s="1">
        <v>45325</v>
      </c>
      <c r="D703" t="s">
        <v>52</v>
      </c>
      <c r="E703" t="s">
        <v>30</v>
      </c>
      <c r="F703" t="s">
        <v>31</v>
      </c>
      <c r="G703" t="s">
        <v>21</v>
      </c>
      <c r="H703" t="s">
        <v>40</v>
      </c>
      <c r="I703">
        <v>3</v>
      </c>
      <c r="J703">
        <v>106.04</v>
      </c>
      <c r="K703">
        <v>18</v>
      </c>
      <c r="L703">
        <v>81</v>
      </c>
      <c r="M703">
        <v>118.25</v>
      </c>
      <c r="N703" t="s">
        <v>23</v>
      </c>
      <c r="O703">
        <v>1</v>
      </c>
      <c r="P703">
        <v>318.12</v>
      </c>
      <c r="Q703">
        <v>336.12</v>
      </c>
      <c r="R703" t="s">
        <v>2054</v>
      </c>
    </row>
    <row r="704" spans="1:18" x14ac:dyDescent="0.25">
      <c r="A704" t="s">
        <v>755</v>
      </c>
      <c r="B704" s="1">
        <v>45324</v>
      </c>
      <c r="C704" s="1">
        <v>45329</v>
      </c>
      <c r="D704" t="s">
        <v>34</v>
      </c>
      <c r="E704" t="s">
        <v>30</v>
      </c>
      <c r="F704" t="s">
        <v>31</v>
      </c>
      <c r="G704" t="s">
        <v>26</v>
      </c>
      <c r="H704" t="s">
        <v>22</v>
      </c>
      <c r="I704">
        <v>3</v>
      </c>
      <c r="J704">
        <v>114.9</v>
      </c>
      <c r="K704">
        <v>12</v>
      </c>
      <c r="L704">
        <v>130</v>
      </c>
      <c r="M704">
        <v>131.88</v>
      </c>
      <c r="N704" t="s">
        <v>23</v>
      </c>
      <c r="O704">
        <v>5</v>
      </c>
      <c r="P704">
        <v>344.70000000000005</v>
      </c>
      <c r="Q704">
        <v>356.70000000000005</v>
      </c>
      <c r="R704" t="s">
        <v>2054</v>
      </c>
    </row>
    <row r="705" spans="1:18" x14ac:dyDescent="0.25">
      <c r="A705" t="s">
        <v>756</v>
      </c>
      <c r="B705" s="1">
        <v>45324</v>
      </c>
      <c r="C705" s="1">
        <v>45341</v>
      </c>
      <c r="D705" t="s">
        <v>58</v>
      </c>
      <c r="E705" t="s">
        <v>19</v>
      </c>
      <c r="F705" t="s">
        <v>20</v>
      </c>
      <c r="G705" t="s">
        <v>35</v>
      </c>
      <c r="H705" t="s">
        <v>32</v>
      </c>
      <c r="I705">
        <v>13</v>
      </c>
      <c r="J705">
        <v>46.51</v>
      </c>
      <c r="K705">
        <v>8</v>
      </c>
      <c r="L705">
        <v>290</v>
      </c>
      <c r="M705">
        <v>44.37</v>
      </c>
      <c r="N705" t="s">
        <v>47</v>
      </c>
      <c r="O705">
        <v>17</v>
      </c>
      <c r="P705">
        <v>604.63</v>
      </c>
      <c r="Q705">
        <v>612.63</v>
      </c>
      <c r="R705" t="s">
        <v>2054</v>
      </c>
    </row>
    <row r="706" spans="1:18" x14ac:dyDescent="0.25">
      <c r="A706" t="s">
        <v>757</v>
      </c>
      <c r="B706" s="1">
        <v>45325</v>
      </c>
      <c r="C706" s="1">
        <v>45327</v>
      </c>
      <c r="D706" t="s">
        <v>75</v>
      </c>
      <c r="E706" t="s">
        <v>44</v>
      </c>
      <c r="F706" t="s">
        <v>45</v>
      </c>
      <c r="G706" t="s">
        <v>26</v>
      </c>
      <c r="H706" t="s">
        <v>27</v>
      </c>
      <c r="I706">
        <v>3</v>
      </c>
      <c r="J706">
        <v>861.45</v>
      </c>
      <c r="K706">
        <v>25</v>
      </c>
      <c r="L706">
        <v>397</v>
      </c>
      <c r="M706">
        <v>892.02</v>
      </c>
      <c r="N706" t="s">
        <v>23</v>
      </c>
      <c r="O706">
        <v>2</v>
      </c>
      <c r="P706">
        <v>2584.3500000000004</v>
      </c>
      <c r="Q706">
        <v>2609.3500000000004</v>
      </c>
      <c r="R706" t="s">
        <v>2054</v>
      </c>
    </row>
    <row r="707" spans="1:18" x14ac:dyDescent="0.25">
      <c r="A707" t="s">
        <v>758</v>
      </c>
      <c r="B707" s="1">
        <v>45325</v>
      </c>
      <c r="C707" s="1">
        <v>45339</v>
      </c>
      <c r="D707" t="s">
        <v>72</v>
      </c>
      <c r="E707" t="s">
        <v>44</v>
      </c>
      <c r="F707" t="s">
        <v>45</v>
      </c>
      <c r="G707" t="s">
        <v>35</v>
      </c>
      <c r="H707" t="s">
        <v>27</v>
      </c>
      <c r="I707">
        <v>2</v>
      </c>
      <c r="J707">
        <v>1173.1400000000001</v>
      </c>
      <c r="K707">
        <v>25</v>
      </c>
      <c r="L707">
        <v>343</v>
      </c>
      <c r="M707">
        <v>808.7</v>
      </c>
      <c r="N707" t="s">
        <v>47</v>
      </c>
      <c r="O707">
        <v>14</v>
      </c>
      <c r="P707">
        <v>2346.2800000000002</v>
      </c>
      <c r="Q707">
        <v>2371.2800000000002</v>
      </c>
      <c r="R707" t="s">
        <v>2054</v>
      </c>
    </row>
    <row r="708" spans="1:18" x14ac:dyDescent="0.25">
      <c r="A708" t="s">
        <v>759</v>
      </c>
      <c r="B708" s="1">
        <v>45325</v>
      </c>
      <c r="C708" s="1">
        <v>45327</v>
      </c>
      <c r="D708" t="s">
        <v>18</v>
      </c>
      <c r="E708" t="s">
        <v>19</v>
      </c>
      <c r="F708" t="s">
        <v>20</v>
      </c>
      <c r="G708" t="s">
        <v>26</v>
      </c>
      <c r="H708" t="s">
        <v>27</v>
      </c>
      <c r="I708">
        <v>6</v>
      </c>
      <c r="J708">
        <v>31.42</v>
      </c>
      <c r="K708">
        <v>8</v>
      </c>
      <c r="L708">
        <v>263</v>
      </c>
      <c r="M708">
        <v>11.08</v>
      </c>
      <c r="N708" t="s">
        <v>23</v>
      </c>
      <c r="O708">
        <v>2</v>
      </c>
      <c r="P708">
        <v>188.52</v>
      </c>
      <c r="Q708">
        <v>196.52</v>
      </c>
      <c r="R708" t="s">
        <v>2054</v>
      </c>
    </row>
    <row r="709" spans="1:18" x14ac:dyDescent="0.25">
      <c r="A709" t="s">
        <v>760</v>
      </c>
      <c r="B709" s="1">
        <v>45325</v>
      </c>
      <c r="C709" s="1">
        <v>45327</v>
      </c>
      <c r="D709" t="s">
        <v>52</v>
      </c>
      <c r="E709" t="s">
        <v>30</v>
      </c>
      <c r="F709" t="s">
        <v>31</v>
      </c>
      <c r="G709" t="s">
        <v>26</v>
      </c>
      <c r="H709" t="s">
        <v>22</v>
      </c>
      <c r="I709">
        <v>3</v>
      </c>
      <c r="J709">
        <v>84.24</v>
      </c>
      <c r="K709">
        <v>12</v>
      </c>
      <c r="L709">
        <v>126</v>
      </c>
      <c r="M709">
        <v>95.09</v>
      </c>
      <c r="N709" t="s">
        <v>23</v>
      </c>
      <c r="O709">
        <v>2</v>
      </c>
      <c r="P709">
        <v>252.71999999999997</v>
      </c>
      <c r="Q709">
        <v>264.71999999999997</v>
      </c>
      <c r="R709" t="s">
        <v>2054</v>
      </c>
    </row>
    <row r="710" spans="1:18" x14ac:dyDescent="0.25">
      <c r="A710" t="s">
        <v>761</v>
      </c>
      <c r="B710" s="1">
        <v>45326</v>
      </c>
      <c r="C710" s="1">
        <v>45330</v>
      </c>
      <c r="D710" t="s">
        <v>56</v>
      </c>
      <c r="E710" t="s">
        <v>38</v>
      </c>
      <c r="F710" t="s">
        <v>39</v>
      </c>
      <c r="G710" t="s">
        <v>21</v>
      </c>
      <c r="H710" t="s">
        <v>22</v>
      </c>
      <c r="I710">
        <v>1</v>
      </c>
      <c r="J710">
        <v>210.09</v>
      </c>
      <c r="K710">
        <v>75</v>
      </c>
      <c r="L710">
        <v>54</v>
      </c>
      <c r="M710">
        <v>4.5199999999999996</v>
      </c>
      <c r="N710" t="s">
        <v>23</v>
      </c>
      <c r="O710">
        <v>4</v>
      </c>
      <c r="P710">
        <v>210.09</v>
      </c>
      <c r="Q710">
        <v>285.09000000000003</v>
      </c>
      <c r="R710" t="s">
        <v>2054</v>
      </c>
    </row>
    <row r="711" spans="1:18" x14ac:dyDescent="0.25">
      <c r="A711" t="s">
        <v>762</v>
      </c>
      <c r="B711" s="1">
        <v>45326</v>
      </c>
      <c r="C711" s="1">
        <v>45331</v>
      </c>
      <c r="D711" t="s">
        <v>82</v>
      </c>
      <c r="E711" t="s">
        <v>79</v>
      </c>
      <c r="F711" t="s">
        <v>80</v>
      </c>
      <c r="G711" t="s">
        <v>26</v>
      </c>
      <c r="H711" t="s">
        <v>32</v>
      </c>
      <c r="I711">
        <v>2</v>
      </c>
      <c r="J711">
        <v>135.04</v>
      </c>
      <c r="K711">
        <v>12</v>
      </c>
      <c r="L711">
        <v>358</v>
      </c>
      <c r="M711">
        <v>115.54</v>
      </c>
      <c r="N711" t="s">
        <v>23</v>
      </c>
      <c r="O711">
        <v>5</v>
      </c>
      <c r="P711">
        <v>270.08</v>
      </c>
      <c r="Q711">
        <v>282.08</v>
      </c>
      <c r="R711" t="s">
        <v>2054</v>
      </c>
    </row>
    <row r="712" spans="1:18" x14ac:dyDescent="0.25">
      <c r="A712" t="s">
        <v>763</v>
      </c>
      <c r="B712" s="1">
        <v>45327</v>
      </c>
      <c r="C712" s="1">
        <v>45330</v>
      </c>
      <c r="D712" t="s">
        <v>29</v>
      </c>
      <c r="E712" t="s">
        <v>30</v>
      </c>
      <c r="F712" t="s">
        <v>31</v>
      </c>
      <c r="G712" t="s">
        <v>35</v>
      </c>
      <c r="H712" t="s">
        <v>40</v>
      </c>
      <c r="I712">
        <v>4</v>
      </c>
      <c r="J712">
        <v>125.44</v>
      </c>
      <c r="K712">
        <v>18</v>
      </c>
      <c r="L712">
        <v>254</v>
      </c>
      <c r="M712">
        <v>191.71</v>
      </c>
      <c r="N712" t="s">
        <v>23</v>
      </c>
      <c r="O712">
        <v>3</v>
      </c>
      <c r="P712">
        <v>501.76</v>
      </c>
      <c r="Q712">
        <v>519.76</v>
      </c>
      <c r="R712" t="s">
        <v>2054</v>
      </c>
    </row>
    <row r="713" spans="1:18" x14ac:dyDescent="0.25">
      <c r="A713" t="s">
        <v>764</v>
      </c>
      <c r="B713" s="1">
        <v>45327</v>
      </c>
      <c r="C713" s="1">
        <v>45328</v>
      </c>
      <c r="D713" t="s">
        <v>75</v>
      </c>
      <c r="E713" t="s">
        <v>44</v>
      </c>
      <c r="F713" t="s">
        <v>45</v>
      </c>
      <c r="G713" t="s">
        <v>35</v>
      </c>
      <c r="H713" t="s">
        <v>40</v>
      </c>
      <c r="I713">
        <v>1</v>
      </c>
      <c r="J713">
        <v>646.77</v>
      </c>
      <c r="K713">
        <v>37.5</v>
      </c>
      <c r="L713">
        <v>263</v>
      </c>
      <c r="M713">
        <v>207.62</v>
      </c>
      <c r="N713" t="s">
        <v>23</v>
      </c>
      <c r="O713">
        <v>1</v>
      </c>
      <c r="P713">
        <v>646.77</v>
      </c>
      <c r="Q713">
        <v>684.27</v>
      </c>
      <c r="R713" t="s">
        <v>2054</v>
      </c>
    </row>
    <row r="714" spans="1:18" x14ac:dyDescent="0.25">
      <c r="A714" t="s">
        <v>765</v>
      </c>
      <c r="B714" s="1">
        <v>45327</v>
      </c>
      <c r="C714" s="1">
        <v>45337</v>
      </c>
      <c r="D714" t="s">
        <v>82</v>
      </c>
      <c r="E714" t="s">
        <v>79</v>
      </c>
      <c r="F714" t="s">
        <v>80</v>
      </c>
      <c r="G714" t="s">
        <v>35</v>
      </c>
      <c r="H714" t="s">
        <v>40</v>
      </c>
      <c r="I714">
        <v>1</v>
      </c>
      <c r="J714">
        <v>53.89</v>
      </c>
      <c r="K714">
        <v>18</v>
      </c>
      <c r="L714">
        <v>264</v>
      </c>
      <c r="M714">
        <v>15.25</v>
      </c>
      <c r="N714" t="s">
        <v>63</v>
      </c>
      <c r="O714">
        <v>10</v>
      </c>
      <c r="P714">
        <v>53.89</v>
      </c>
      <c r="Q714">
        <v>71.89</v>
      </c>
      <c r="R714" t="s">
        <v>2054</v>
      </c>
    </row>
    <row r="715" spans="1:18" x14ac:dyDescent="0.25">
      <c r="A715" t="s">
        <v>766</v>
      </c>
      <c r="B715" s="1">
        <v>45327</v>
      </c>
      <c r="C715" s="1">
        <v>45329</v>
      </c>
      <c r="D715" t="s">
        <v>25</v>
      </c>
      <c r="E715" t="s">
        <v>19</v>
      </c>
      <c r="F715" t="s">
        <v>20</v>
      </c>
      <c r="G715" t="s">
        <v>26</v>
      </c>
      <c r="H715" t="s">
        <v>27</v>
      </c>
      <c r="I715">
        <v>7</v>
      </c>
      <c r="J715">
        <v>27.8</v>
      </c>
      <c r="K715">
        <v>8</v>
      </c>
      <c r="L715">
        <v>226</v>
      </c>
      <c r="M715">
        <v>11.57</v>
      </c>
      <c r="N715" t="s">
        <v>23</v>
      </c>
      <c r="O715">
        <v>2</v>
      </c>
      <c r="P715">
        <v>194.6</v>
      </c>
      <c r="Q715">
        <v>202.6</v>
      </c>
      <c r="R715" t="s">
        <v>2054</v>
      </c>
    </row>
    <row r="716" spans="1:18" x14ac:dyDescent="0.25">
      <c r="A716" t="s">
        <v>767</v>
      </c>
      <c r="B716" s="1">
        <v>45327</v>
      </c>
      <c r="C716" s="1">
        <v>45341</v>
      </c>
      <c r="D716" t="s">
        <v>18</v>
      </c>
      <c r="E716" t="s">
        <v>19</v>
      </c>
      <c r="F716" t="s">
        <v>20</v>
      </c>
      <c r="G716" t="s">
        <v>35</v>
      </c>
      <c r="H716" t="s">
        <v>40</v>
      </c>
      <c r="I716">
        <v>14</v>
      </c>
      <c r="J716">
        <v>35</v>
      </c>
      <c r="K716">
        <v>12</v>
      </c>
      <c r="L716">
        <v>183</v>
      </c>
      <c r="M716">
        <v>33.200000000000003</v>
      </c>
      <c r="N716" t="s">
        <v>47</v>
      </c>
      <c r="O716">
        <v>14</v>
      </c>
      <c r="P716">
        <v>490</v>
      </c>
      <c r="Q716">
        <v>502</v>
      </c>
      <c r="R716" t="s">
        <v>2054</v>
      </c>
    </row>
    <row r="717" spans="1:18" x14ac:dyDescent="0.25">
      <c r="A717" t="s">
        <v>768</v>
      </c>
      <c r="B717" s="1">
        <v>45327</v>
      </c>
      <c r="C717" s="1">
        <v>45331</v>
      </c>
      <c r="D717" t="s">
        <v>58</v>
      </c>
      <c r="E717" t="s">
        <v>19</v>
      </c>
      <c r="F717" t="s">
        <v>20</v>
      </c>
      <c r="G717" t="s">
        <v>35</v>
      </c>
      <c r="H717" t="s">
        <v>32</v>
      </c>
      <c r="I717">
        <v>14</v>
      </c>
      <c r="J717">
        <v>43.26</v>
      </c>
      <c r="K717">
        <v>8</v>
      </c>
      <c r="L717">
        <v>43</v>
      </c>
      <c r="M717">
        <v>44.45</v>
      </c>
      <c r="N717" t="s">
        <v>23</v>
      </c>
      <c r="O717">
        <v>4</v>
      </c>
      <c r="P717">
        <v>605.64</v>
      </c>
      <c r="Q717">
        <v>613.64</v>
      </c>
      <c r="R717" t="s">
        <v>2055</v>
      </c>
    </row>
    <row r="718" spans="1:18" x14ac:dyDescent="0.25">
      <c r="A718" t="s">
        <v>769</v>
      </c>
      <c r="B718" s="1">
        <v>45328</v>
      </c>
      <c r="C718" s="1">
        <v>45339</v>
      </c>
      <c r="D718" t="s">
        <v>118</v>
      </c>
      <c r="E718" t="s">
        <v>79</v>
      </c>
      <c r="F718" t="s">
        <v>80</v>
      </c>
      <c r="G718" t="s">
        <v>35</v>
      </c>
      <c r="H718" t="s">
        <v>40</v>
      </c>
      <c r="I718">
        <v>2</v>
      </c>
      <c r="J718">
        <v>24.26</v>
      </c>
      <c r="K718">
        <v>18</v>
      </c>
      <c r="L718">
        <v>312</v>
      </c>
      <c r="M718">
        <v>12.84</v>
      </c>
      <c r="N718" t="s">
        <v>47</v>
      </c>
      <c r="O718">
        <v>11</v>
      </c>
      <c r="P718">
        <v>48.52</v>
      </c>
      <c r="Q718">
        <v>66.52000000000001</v>
      </c>
      <c r="R718" t="s">
        <v>2054</v>
      </c>
    </row>
    <row r="719" spans="1:18" x14ac:dyDescent="0.25">
      <c r="A719" t="s">
        <v>770</v>
      </c>
      <c r="B719" s="1">
        <v>45328</v>
      </c>
      <c r="C719" s="1">
        <v>45330</v>
      </c>
      <c r="D719" t="s">
        <v>50</v>
      </c>
      <c r="E719" t="s">
        <v>44</v>
      </c>
      <c r="F719" t="s">
        <v>45</v>
      </c>
      <c r="G719" t="s">
        <v>26</v>
      </c>
      <c r="H719" t="s">
        <v>32</v>
      </c>
      <c r="I719">
        <v>1</v>
      </c>
      <c r="J719">
        <v>353.75</v>
      </c>
      <c r="K719">
        <v>25</v>
      </c>
      <c r="L719">
        <v>316</v>
      </c>
      <c r="M719">
        <v>111.31</v>
      </c>
      <c r="N719" t="s">
        <v>23</v>
      </c>
      <c r="O719">
        <v>2</v>
      </c>
      <c r="P719">
        <v>353.75</v>
      </c>
      <c r="Q719">
        <v>378.75</v>
      </c>
      <c r="R719" t="s">
        <v>2054</v>
      </c>
    </row>
    <row r="720" spans="1:18" x14ac:dyDescent="0.25">
      <c r="A720" t="s">
        <v>771</v>
      </c>
      <c r="B720" s="1">
        <v>45328</v>
      </c>
      <c r="C720" s="1">
        <v>45330</v>
      </c>
      <c r="D720" t="s">
        <v>56</v>
      </c>
      <c r="E720" t="s">
        <v>38</v>
      </c>
      <c r="F720" t="s">
        <v>39</v>
      </c>
      <c r="G720" t="s">
        <v>21</v>
      </c>
      <c r="H720" t="s">
        <v>32</v>
      </c>
      <c r="I720">
        <v>1</v>
      </c>
      <c r="J720">
        <v>401.51</v>
      </c>
      <c r="K720">
        <v>75</v>
      </c>
      <c r="L720">
        <v>339</v>
      </c>
      <c r="M720">
        <v>42.8</v>
      </c>
      <c r="N720" t="s">
        <v>23</v>
      </c>
      <c r="O720">
        <v>2</v>
      </c>
      <c r="P720">
        <v>401.51</v>
      </c>
      <c r="Q720">
        <v>476.51</v>
      </c>
      <c r="R720" t="s">
        <v>2054</v>
      </c>
    </row>
    <row r="721" spans="1:18" x14ac:dyDescent="0.25">
      <c r="A721" t="s">
        <v>772</v>
      </c>
      <c r="B721" s="1">
        <v>45329</v>
      </c>
      <c r="C721" s="1">
        <v>45333</v>
      </c>
      <c r="D721" t="s">
        <v>54</v>
      </c>
      <c r="E721" t="s">
        <v>38</v>
      </c>
      <c r="F721" t="s">
        <v>39</v>
      </c>
      <c r="G721" t="s">
        <v>21</v>
      </c>
      <c r="H721" t="s">
        <v>32</v>
      </c>
      <c r="I721">
        <v>1</v>
      </c>
      <c r="J721">
        <v>363.91</v>
      </c>
      <c r="K721">
        <v>75</v>
      </c>
      <c r="L721">
        <v>168</v>
      </c>
      <c r="M721">
        <v>35.28</v>
      </c>
      <c r="N721" t="s">
        <v>23</v>
      </c>
      <c r="O721">
        <v>4</v>
      </c>
      <c r="P721">
        <v>363.91</v>
      </c>
      <c r="Q721">
        <v>438.91</v>
      </c>
      <c r="R721" t="s">
        <v>2054</v>
      </c>
    </row>
    <row r="722" spans="1:18" x14ac:dyDescent="0.25">
      <c r="A722" t="s">
        <v>773</v>
      </c>
      <c r="B722" s="1">
        <v>45330</v>
      </c>
      <c r="C722" s="1">
        <v>45331</v>
      </c>
      <c r="D722" t="s">
        <v>25</v>
      </c>
      <c r="E722" t="s">
        <v>19</v>
      </c>
      <c r="F722" t="s">
        <v>20</v>
      </c>
      <c r="G722" t="s">
        <v>35</v>
      </c>
      <c r="H722" t="s">
        <v>27</v>
      </c>
      <c r="I722">
        <v>7</v>
      </c>
      <c r="J722">
        <v>35.1</v>
      </c>
      <c r="K722">
        <v>8</v>
      </c>
      <c r="L722">
        <v>231</v>
      </c>
      <c r="M722">
        <v>15.65</v>
      </c>
      <c r="N722" t="s">
        <v>23</v>
      </c>
      <c r="O722">
        <v>1</v>
      </c>
      <c r="P722">
        <v>245.70000000000002</v>
      </c>
      <c r="Q722">
        <v>253.70000000000002</v>
      </c>
      <c r="R722" t="s">
        <v>2054</v>
      </c>
    </row>
    <row r="723" spans="1:18" x14ac:dyDescent="0.25">
      <c r="A723" t="s">
        <v>774</v>
      </c>
      <c r="B723" s="1">
        <v>45330</v>
      </c>
      <c r="C723" s="1">
        <v>45333</v>
      </c>
      <c r="D723" t="s">
        <v>18</v>
      </c>
      <c r="E723" t="s">
        <v>19</v>
      </c>
      <c r="F723" t="s">
        <v>20</v>
      </c>
      <c r="G723" t="s">
        <v>21</v>
      </c>
      <c r="H723" t="s">
        <v>40</v>
      </c>
      <c r="I723">
        <v>8</v>
      </c>
      <c r="J723">
        <v>26.19</v>
      </c>
      <c r="K723">
        <v>12</v>
      </c>
      <c r="L723">
        <v>107</v>
      </c>
      <c r="M723">
        <v>10.76</v>
      </c>
      <c r="N723" t="s">
        <v>23</v>
      </c>
      <c r="O723">
        <v>3</v>
      </c>
      <c r="P723">
        <v>209.52</v>
      </c>
      <c r="Q723">
        <v>221.52</v>
      </c>
      <c r="R723" t="s">
        <v>2054</v>
      </c>
    </row>
    <row r="724" spans="1:18" x14ac:dyDescent="0.25">
      <c r="A724" t="s">
        <v>775</v>
      </c>
      <c r="B724" s="1">
        <v>45331</v>
      </c>
      <c r="C724" s="1">
        <v>45333</v>
      </c>
      <c r="D724" t="s">
        <v>75</v>
      </c>
      <c r="E724" t="s">
        <v>44</v>
      </c>
      <c r="F724" t="s">
        <v>45</v>
      </c>
      <c r="G724" t="s">
        <v>21</v>
      </c>
      <c r="H724" t="s">
        <v>27</v>
      </c>
      <c r="I724">
        <v>2</v>
      </c>
      <c r="J724">
        <v>598.82000000000005</v>
      </c>
      <c r="K724">
        <v>25</v>
      </c>
      <c r="L724">
        <v>219</v>
      </c>
      <c r="M724">
        <v>406.67</v>
      </c>
      <c r="N724" t="s">
        <v>23</v>
      </c>
      <c r="O724">
        <v>2</v>
      </c>
      <c r="P724">
        <v>1197.6400000000001</v>
      </c>
      <c r="Q724">
        <v>1222.6400000000001</v>
      </c>
      <c r="R724" t="s">
        <v>2054</v>
      </c>
    </row>
    <row r="725" spans="1:18" x14ac:dyDescent="0.25">
      <c r="A725" t="s">
        <v>776</v>
      </c>
      <c r="B725" s="1">
        <v>45331</v>
      </c>
      <c r="C725" s="1">
        <v>45335</v>
      </c>
      <c r="D725" t="s">
        <v>25</v>
      </c>
      <c r="E725" t="s">
        <v>19</v>
      </c>
      <c r="F725" t="s">
        <v>20</v>
      </c>
      <c r="G725" t="s">
        <v>35</v>
      </c>
      <c r="H725" t="s">
        <v>40</v>
      </c>
      <c r="I725">
        <v>7</v>
      </c>
      <c r="J725">
        <v>29.91</v>
      </c>
      <c r="K725">
        <v>12</v>
      </c>
      <c r="L725">
        <v>380</v>
      </c>
      <c r="M725">
        <v>10.75</v>
      </c>
      <c r="N725" t="s">
        <v>23</v>
      </c>
      <c r="O725">
        <v>4</v>
      </c>
      <c r="P725">
        <v>209.37</v>
      </c>
      <c r="Q725">
        <v>221.37</v>
      </c>
      <c r="R725" t="s">
        <v>2054</v>
      </c>
    </row>
    <row r="726" spans="1:18" x14ac:dyDescent="0.25">
      <c r="A726" t="s">
        <v>777</v>
      </c>
      <c r="B726" s="1">
        <v>45332</v>
      </c>
      <c r="C726" s="1">
        <v>45337</v>
      </c>
      <c r="D726" t="s">
        <v>50</v>
      </c>
      <c r="E726" t="s">
        <v>44</v>
      </c>
      <c r="F726" t="s">
        <v>45</v>
      </c>
      <c r="G726" t="s">
        <v>35</v>
      </c>
      <c r="H726" t="s">
        <v>40</v>
      </c>
      <c r="I726">
        <v>2</v>
      </c>
      <c r="J726">
        <v>1006.1</v>
      </c>
      <c r="K726">
        <v>37.5</v>
      </c>
      <c r="L726">
        <v>268</v>
      </c>
      <c r="M726">
        <v>685.52</v>
      </c>
      <c r="N726" t="s">
        <v>23</v>
      </c>
      <c r="O726">
        <v>5</v>
      </c>
      <c r="P726">
        <v>2012.2</v>
      </c>
      <c r="Q726">
        <v>2049.6999999999998</v>
      </c>
      <c r="R726" t="s">
        <v>2054</v>
      </c>
    </row>
    <row r="727" spans="1:18" x14ac:dyDescent="0.25">
      <c r="A727" t="s">
        <v>778</v>
      </c>
      <c r="B727" s="1">
        <v>45332</v>
      </c>
      <c r="C727" s="1">
        <v>45334</v>
      </c>
      <c r="D727" t="s">
        <v>118</v>
      </c>
      <c r="E727" t="s">
        <v>79</v>
      </c>
      <c r="F727" t="s">
        <v>80</v>
      </c>
      <c r="G727" t="s">
        <v>26</v>
      </c>
      <c r="H727" t="s">
        <v>27</v>
      </c>
      <c r="I727">
        <v>4</v>
      </c>
      <c r="J727">
        <v>65.040000000000006</v>
      </c>
      <c r="K727">
        <v>12</v>
      </c>
      <c r="L727">
        <v>211</v>
      </c>
      <c r="M727">
        <v>111.07</v>
      </c>
      <c r="N727" t="s">
        <v>23</v>
      </c>
      <c r="O727">
        <v>2</v>
      </c>
      <c r="P727">
        <v>260.16000000000003</v>
      </c>
      <c r="Q727">
        <v>272.16000000000003</v>
      </c>
      <c r="R727" t="s">
        <v>2054</v>
      </c>
    </row>
    <row r="728" spans="1:18" x14ac:dyDescent="0.25">
      <c r="A728" t="s">
        <v>779</v>
      </c>
      <c r="B728" s="1">
        <v>45332</v>
      </c>
      <c r="C728" s="1">
        <v>45335</v>
      </c>
      <c r="D728" t="s">
        <v>43</v>
      </c>
      <c r="E728" t="s">
        <v>44</v>
      </c>
      <c r="F728" t="s">
        <v>45</v>
      </c>
      <c r="G728" t="s">
        <v>21</v>
      </c>
      <c r="H728" t="s">
        <v>27</v>
      </c>
      <c r="I728">
        <v>3</v>
      </c>
      <c r="J728">
        <v>1005.79</v>
      </c>
      <c r="K728">
        <v>25</v>
      </c>
      <c r="L728">
        <v>95</v>
      </c>
      <c r="M728">
        <v>-452.61</v>
      </c>
      <c r="N728" t="s">
        <v>23</v>
      </c>
      <c r="O728">
        <v>3</v>
      </c>
      <c r="P728">
        <v>3017.37</v>
      </c>
      <c r="Q728">
        <v>3042.37</v>
      </c>
      <c r="R728" t="s">
        <v>2054</v>
      </c>
    </row>
    <row r="729" spans="1:18" x14ac:dyDescent="0.25">
      <c r="A729" t="s">
        <v>780</v>
      </c>
      <c r="B729" s="1">
        <v>45333</v>
      </c>
      <c r="C729" s="1">
        <v>45337</v>
      </c>
      <c r="D729" t="s">
        <v>52</v>
      </c>
      <c r="E729" t="s">
        <v>30</v>
      </c>
      <c r="F729" t="s">
        <v>31</v>
      </c>
      <c r="G729" t="s">
        <v>35</v>
      </c>
      <c r="H729" t="s">
        <v>40</v>
      </c>
      <c r="I729">
        <v>5</v>
      </c>
      <c r="J729">
        <v>110.11</v>
      </c>
      <c r="K729">
        <v>18</v>
      </c>
      <c r="L729">
        <v>345</v>
      </c>
      <c r="M729">
        <v>211.22</v>
      </c>
      <c r="N729" t="s">
        <v>23</v>
      </c>
      <c r="O729">
        <v>4</v>
      </c>
      <c r="P729">
        <v>550.54999999999995</v>
      </c>
      <c r="Q729">
        <v>568.54999999999995</v>
      </c>
      <c r="R729" t="s">
        <v>2054</v>
      </c>
    </row>
    <row r="730" spans="1:18" x14ac:dyDescent="0.25">
      <c r="A730" t="s">
        <v>781</v>
      </c>
      <c r="B730" s="1">
        <v>45333</v>
      </c>
      <c r="C730" s="1">
        <v>45340</v>
      </c>
      <c r="D730" t="s">
        <v>37</v>
      </c>
      <c r="E730" t="s">
        <v>38</v>
      </c>
      <c r="F730" t="s">
        <v>39</v>
      </c>
      <c r="G730" t="s">
        <v>35</v>
      </c>
      <c r="H730" t="s">
        <v>32</v>
      </c>
      <c r="I730">
        <v>1</v>
      </c>
      <c r="J730">
        <v>167.9</v>
      </c>
      <c r="K730">
        <v>75</v>
      </c>
      <c r="L730">
        <v>85</v>
      </c>
      <c r="M730">
        <v>-3.92</v>
      </c>
      <c r="N730" t="s">
        <v>63</v>
      </c>
      <c r="O730">
        <v>7</v>
      </c>
      <c r="P730">
        <v>167.9</v>
      </c>
      <c r="Q730">
        <v>242.9</v>
      </c>
      <c r="R730" t="s">
        <v>2054</v>
      </c>
    </row>
    <row r="731" spans="1:18" x14ac:dyDescent="0.25">
      <c r="A731" t="s">
        <v>782</v>
      </c>
      <c r="B731" s="1">
        <v>45334</v>
      </c>
      <c r="C731" s="1">
        <v>45336</v>
      </c>
      <c r="D731" t="s">
        <v>75</v>
      </c>
      <c r="E731" t="s">
        <v>44</v>
      </c>
      <c r="F731" t="s">
        <v>45</v>
      </c>
      <c r="G731" t="s">
        <v>35</v>
      </c>
      <c r="H731" t="s">
        <v>40</v>
      </c>
      <c r="I731">
        <v>1</v>
      </c>
      <c r="J731">
        <v>932.72</v>
      </c>
      <c r="K731">
        <v>37.5</v>
      </c>
      <c r="L731">
        <v>60</v>
      </c>
      <c r="M731">
        <v>307.7</v>
      </c>
      <c r="N731" t="s">
        <v>23</v>
      </c>
      <c r="O731">
        <v>2</v>
      </c>
      <c r="P731">
        <v>932.72</v>
      </c>
      <c r="Q731">
        <v>970.22</v>
      </c>
      <c r="R731" t="s">
        <v>2054</v>
      </c>
    </row>
    <row r="732" spans="1:18" x14ac:dyDescent="0.25">
      <c r="A732" t="s">
        <v>783</v>
      </c>
      <c r="B732" s="1">
        <v>45334</v>
      </c>
      <c r="C732" s="1">
        <v>45338</v>
      </c>
      <c r="D732" t="s">
        <v>29</v>
      </c>
      <c r="E732" t="s">
        <v>30</v>
      </c>
      <c r="F732" t="s">
        <v>31</v>
      </c>
      <c r="G732" t="s">
        <v>21</v>
      </c>
      <c r="H732" t="s">
        <v>22</v>
      </c>
      <c r="I732">
        <v>1</v>
      </c>
      <c r="J732">
        <v>60.79</v>
      </c>
      <c r="K732">
        <v>12</v>
      </c>
      <c r="L732">
        <v>133</v>
      </c>
      <c r="M732">
        <v>18.32</v>
      </c>
      <c r="N732" t="s">
        <v>23</v>
      </c>
      <c r="O732">
        <v>4</v>
      </c>
      <c r="P732">
        <v>60.79</v>
      </c>
      <c r="Q732">
        <v>72.789999999999992</v>
      </c>
      <c r="R732" t="s">
        <v>2054</v>
      </c>
    </row>
    <row r="733" spans="1:18" x14ac:dyDescent="0.25">
      <c r="A733" t="s">
        <v>784</v>
      </c>
      <c r="B733" s="1">
        <v>45336</v>
      </c>
      <c r="C733" s="1">
        <v>45341</v>
      </c>
      <c r="D733" t="s">
        <v>82</v>
      </c>
      <c r="E733" t="s">
        <v>79</v>
      </c>
      <c r="F733" t="s">
        <v>80</v>
      </c>
      <c r="G733" t="s">
        <v>26</v>
      </c>
      <c r="H733" t="s">
        <v>22</v>
      </c>
      <c r="I733">
        <v>2</v>
      </c>
      <c r="J733">
        <v>74.05</v>
      </c>
      <c r="K733">
        <v>12</v>
      </c>
      <c r="L733">
        <v>265</v>
      </c>
      <c r="M733">
        <v>60.64</v>
      </c>
      <c r="N733" t="s">
        <v>23</v>
      </c>
      <c r="O733">
        <v>5</v>
      </c>
      <c r="P733">
        <v>148.1</v>
      </c>
      <c r="Q733">
        <v>160.1</v>
      </c>
      <c r="R733" t="s">
        <v>2054</v>
      </c>
    </row>
    <row r="734" spans="1:18" x14ac:dyDescent="0.25">
      <c r="A734" t="s">
        <v>785</v>
      </c>
      <c r="B734" s="1">
        <v>45339</v>
      </c>
      <c r="C734" s="1">
        <v>45344</v>
      </c>
      <c r="D734" t="s">
        <v>34</v>
      </c>
      <c r="E734" t="s">
        <v>30</v>
      </c>
      <c r="F734" t="s">
        <v>31</v>
      </c>
      <c r="G734" t="s">
        <v>35</v>
      </c>
      <c r="H734" t="s">
        <v>27</v>
      </c>
      <c r="I734">
        <v>5</v>
      </c>
      <c r="J734">
        <v>89.2</v>
      </c>
      <c r="K734">
        <v>12</v>
      </c>
      <c r="L734">
        <v>93</v>
      </c>
      <c r="M734">
        <v>172.4</v>
      </c>
      <c r="N734" t="s">
        <v>23</v>
      </c>
      <c r="O734">
        <v>5</v>
      </c>
      <c r="P734">
        <v>446</v>
      </c>
      <c r="Q734">
        <v>458</v>
      </c>
      <c r="R734" t="s">
        <v>2054</v>
      </c>
    </row>
    <row r="735" spans="1:18" x14ac:dyDescent="0.25">
      <c r="A735" t="s">
        <v>786</v>
      </c>
      <c r="B735" s="1">
        <v>45340</v>
      </c>
      <c r="C735" s="1">
        <v>45341</v>
      </c>
      <c r="D735" t="s">
        <v>72</v>
      </c>
      <c r="E735" t="s">
        <v>44</v>
      </c>
      <c r="F735" t="s">
        <v>45</v>
      </c>
      <c r="G735" t="s">
        <v>35</v>
      </c>
      <c r="H735" t="s">
        <v>40</v>
      </c>
      <c r="I735">
        <v>3</v>
      </c>
      <c r="J735">
        <v>588.85</v>
      </c>
      <c r="K735">
        <v>37.5</v>
      </c>
      <c r="L735">
        <v>134</v>
      </c>
      <c r="M735">
        <v>599.54</v>
      </c>
      <c r="N735" t="s">
        <v>23</v>
      </c>
      <c r="O735">
        <v>1</v>
      </c>
      <c r="P735">
        <v>1766.5500000000002</v>
      </c>
      <c r="Q735">
        <v>1804.0500000000002</v>
      </c>
      <c r="R735" t="s">
        <v>2054</v>
      </c>
    </row>
    <row r="736" spans="1:18" x14ac:dyDescent="0.25">
      <c r="A736" t="s">
        <v>787</v>
      </c>
      <c r="B736" s="1">
        <v>45340</v>
      </c>
      <c r="C736" s="1">
        <v>45342</v>
      </c>
      <c r="D736" t="s">
        <v>25</v>
      </c>
      <c r="E736" t="s">
        <v>19</v>
      </c>
      <c r="F736" t="s">
        <v>20</v>
      </c>
      <c r="G736" t="s">
        <v>35</v>
      </c>
      <c r="H736" t="s">
        <v>27</v>
      </c>
      <c r="I736">
        <v>14</v>
      </c>
      <c r="J736">
        <v>22.21</v>
      </c>
      <c r="K736">
        <v>8</v>
      </c>
      <c r="L736">
        <v>38</v>
      </c>
      <c r="M736">
        <v>20.87</v>
      </c>
      <c r="N736" t="s">
        <v>23</v>
      </c>
      <c r="O736">
        <v>2</v>
      </c>
      <c r="P736">
        <v>310.94</v>
      </c>
      <c r="Q736">
        <v>318.94</v>
      </c>
      <c r="R736" t="s">
        <v>2055</v>
      </c>
    </row>
    <row r="737" spans="1:18" x14ac:dyDescent="0.25">
      <c r="A737" t="s">
        <v>788</v>
      </c>
      <c r="B737" s="1">
        <v>45340</v>
      </c>
      <c r="C737" s="1">
        <v>45357</v>
      </c>
      <c r="D737" t="s">
        <v>43</v>
      </c>
      <c r="E737" t="s">
        <v>44</v>
      </c>
      <c r="F737" t="s">
        <v>45</v>
      </c>
      <c r="G737" t="s">
        <v>35</v>
      </c>
      <c r="H737" t="s">
        <v>40</v>
      </c>
      <c r="I737">
        <v>1</v>
      </c>
      <c r="J737">
        <v>1189.3399999999999</v>
      </c>
      <c r="K737">
        <v>37.5</v>
      </c>
      <c r="L737">
        <v>124</v>
      </c>
      <c r="M737">
        <v>397.52</v>
      </c>
      <c r="N737" t="s">
        <v>47</v>
      </c>
      <c r="O737">
        <v>17</v>
      </c>
      <c r="P737">
        <v>1189.3399999999999</v>
      </c>
      <c r="Q737">
        <v>1226.8399999999999</v>
      </c>
      <c r="R737" t="s">
        <v>2054</v>
      </c>
    </row>
    <row r="738" spans="1:18" x14ac:dyDescent="0.25">
      <c r="A738" t="s">
        <v>789</v>
      </c>
      <c r="B738" s="1">
        <v>45344</v>
      </c>
      <c r="C738" s="1">
        <v>45348</v>
      </c>
      <c r="D738" t="s">
        <v>118</v>
      </c>
      <c r="E738" t="s">
        <v>79</v>
      </c>
      <c r="F738" t="s">
        <v>80</v>
      </c>
      <c r="G738" t="s">
        <v>26</v>
      </c>
      <c r="H738" t="s">
        <v>32</v>
      </c>
      <c r="I738">
        <v>2</v>
      </c>
      <c r="J738">
        <v>121.19</v>
      </c>
      <c r="K738">
        <v>12</v>
      </c>
      <c r="L738">
        <v>216</v>
      </c>
      <c r="M738">
        <v>103.07</v>
      </c>
      <c r="N738" t="s">
        <v>23</v>
      </c>
      <c r="O738">
        <v>4</v>
      </c>
      <c r="P738">
        <v>242.38</v>
      </c>
      <c r="Q738">
        <v>254.38</v>
      </c>
      <c r="R738" t="s">
        <v>2054</v>
      </c>
    </row>
    <row r="739" spans="1:18" x14ac:dyDescent="0.25">
      <c r="A739" t="s">
        <v>790</v>
      </c>
      <c r="B739" s="1">
        <v>45344</v>
      </c>
      <c r="C739" s="1">
        <v>45351</v>
      </c>
      <c r="D739" t="s">
        <v>18</v>
      </c>
      <c r="E739" t="s">
        <v>19</v>
      </c>
      <c r="F739" t="s">
        <v>20</v>
      </c>
      <c r="G739" t="s">
        <v>35</v>
      </c>
      <c r="H739" t="s">
        <v>40</v>
      </c>
      <c r="I739">
        <v>14</v>
      </c>
      <c r="J739">
        <v>37.64</v>
      </c>
      <c r="K739">
        <v>12</v>
      </c>
      <c r="L739">
        <v>80</v>
      </c>
      <c r="M739">
        <v>36.15</v>
      </c>
      <c r="N739" t="s">
        <v>63</v>
      </c>
      <c r="O739">
        <v>7</v>
      </c>
      <c r="P739">
        <v>526.96</v>
      </c>
      <c r="Q739">
        <v>538.96</v>
      </c>
      <c r="R739" t="s">
        <v>2054</v>
      </c>
    </row>
    <row r="740" spans="1:18" x14ac:dyDescent="0.25">
      <c r="A740" t="s">
        <v>791</v>
      </c>
      <c r="B740" s="1">
        <v>45345</v>
      </c>
      <c r="C740" s="1">
        <v>45348</v>
      </c>
      <c r="D740" t="s">
        <v>58</v>
      </c>
      <c r="E740" t="s">
        <v>19</v>
      </c>
      <c r="F740" t="s">
        <v>20</v>
      </c>
      <c r="G740" t="s">
        <v>35</v>
      </c>
      <c r="H740" t="s">
        <v>40</v>
      </c>
      <c r="I740">
        <v>13</v>
      </c>
      <c r="J740">
        <v>22.84</v>
      </c>
      <c r="K740">
        <v>12</v>
      </c>
      <c r="L740">
        <v>151</v>
      </c>
      <c r="M740">
        <v>17.75</v>
      </c>
      <c r="N740" t="s">
        <v>23</v>
      </c>
      <c r="O740">
        <v>3</v>
      </c>
      <c r="P740">
        <v>296.92</v>
      </c>
      <c r="Q740">
        <v>308.92</v>
      </c>
      <c r="R740" t="s">
        <v>2054</v>
      </c>
    </row>
    <row r="741" spans="1:18" x14ac:dyDescent="0.25">
      <c r="A741" t="s">
        <v>792</v>
      </c>
      <c r="B741" s="1">
        <v>45345</v>
      </c>
      <c r="C741" s="1">
        <v>45346</v>
      </c>
      <c r="D741" t="s">
        <v>25</v>
      </c>
      <c r="E741" t="s">
        <v>19</v>
      </c>
      <c r="F741" t="s">
        <v>20</v>
      </c>
      <c r="G741" t="s">
        <v>35</v>
      </c>
      <c r="H741" t="s">
        <v>40</v>
      </c>
      <c r="I741">
        <v>9</v>
      </c>
      <c r="J741">
        <v>26.09</v>
      </c>
      <c r="K741">
        <v>12</v>
      </c>
      <c r="L741">
        <v>388</v>
      </c>
      <c r="M741">
        <v>12.79</v>
      </c>
      <c r="N741" t="s">
        <v>23</v>
      </c>
      <c r="O741">
        <v>1</v>
      </c>
      <c r="P741">
        <v>234.81</v>
      </c>
      <c r="Q741">
        <v>246.81</v>
      </c>
      <c r="R741" t="s">
        <v>2054</v>
      </c>
    </row>
    <row r="742" spans="1:18" x14ac:dyDescent="0.25">
      <c r="A742" t="s">
        <v>793</v>
      </c>
      <c r="B742" s="1">
        <v>45345</v>
      </c>
      <c r="C742" s="1">
        <v>45354</v>
      </c>
      <c r="D742" t="s">
        <v>43</v>
      </c>
      <c r="E742" t="s">
        <v>44</v>
      </c>
      <c r="F742" t="s">
        <v>45</v>
      </c>
      <c r="G742" t="s">
        <v>35</v>
      </c>
      <c r="H742" t="s">
        <v>40</v>
      </c>
      <c r="I742">
        <v>3</v>
      </c>
      <c r="J742">
        <v>636.21</v>
      </c>
      <c r="K742">
        <v>37.5</v>
      </c>
      <c r="L742">
        <v>47</v>
      </c>
      <c r="M742">
        <v>649.27</v>
      </c>
      <c r="N742" t="s">
        <v>63</v>
      </c>
      <c r="O742">
        <v>9</v>
      </c>
      <c r="P742">
        <v>1908.63</v>
      </c>
      <c r="Q742">
        <v>1946.13</v>
      </c>
      <c r="R742" t="s">
        <v>2055</v>
      </c>
    </row>
    <row r="743" spans="1:18" x14ac:dyDescent="0.25">
      <c r="A743" t="s">
        <v>794</v>
      </c>
      <c r="B743" s="1">
        <v>45346</v>
      </c>
      <c r="C743" s="1">
        <v>45357</v>
      </c>
      <c r="D743" t="s">
        <v>56</v>
      </c>
      <c r="E743" t="s">
        <v>38</v>
      </c>
      <c r="F743" t="s">
        <v>39</v>
      </c>
      <c r="G743" t="s">
        <v>35</v>
      </c>
      <c r="H743" t="s">
        <v>27</v>
      </c>
      <c r="I743">
        <v>1</v>
      </c>
      <c r="J743">
        <v>194.4</v>
      </c>
      <c r="K743">
        <v>75</v>
      </c>
      <c r="L743">
        <v>300</v>
      </c>
      <c r="M743">
        <v>1.38</v>
      </c>
      <c r="N743" t="s">
        <v>47</v>
      </c>
      <c r="O743">
        <v>11</v>
      </c>
      <c r="P743">
        <v>194.4</v>
      </c>
      <c r="Q743">
        <v>269.39999999999998</v>
      </c>
      <c r="R743" t="s">
        <v>2054</v>
      </c>
    </row>
    <row r="744" spans="1:18" x14ac:dyDescent="0.25">
      <c r="A744" t="s">
        <v>795</v>
      </c>
      <c r="B744" s="1">
        <v>45346</v>
      </c>
      <c r="C744" s="1">
        <v>45350</v>
      </c>
      <c r="D744" t="s">
        <v>56</v>
      </c>
      <c r="E744" t="s">
        <v>38</v>
      </c>
      <c r="F744" t="s">
        <v>39</v>
      </c>
      <c r="G744" t="s">
        <v>26</v>
      </c>
      <c r="H744" t="s">
        <v>32</v>
      </c>
      <c r="I744">
        <v>2</v>
      </c>
      <c r="J744">
        <v>474.45</v>
      </c>
      <c r="K744">
        <v>75</v>
      </c>
      <c r="L744">
        <v>306</v>
      </c>
      <c r="M744">
        <v>152.28</v>
      </c>
      <c r="N744" t="s">
        <v>23</v>
      </c>
      <c r="O744">
        <v>4</v>
      </c>
      <c r="P744">
        <v>948.9</v>
      </c>
      <c r="Q744">
        <v>1023.9</v>
      </c>
      <c r="R744" t="s">
        <v>2054</v>
      </c>
    </row>
    <row r="745" spans="1:18" x14ac:dyDescent="0.25">
      <c r="A745" t="s">
        <v>796</v>
      </c>
      <c r="B745" s="1">
        <v>45346</v>
      </c>
      <c r="C745" s="1">
        <v>45360</v>
      </c>
      <c r="D745" t="s">
        <v>43</v>
      </c>
      <c r="E745" t="s">
        <v>44</v>
      </c>
      <c r="F745" t="s">
        <v>45</v>
      </c>
      <c r="G745" t="s">
        <v>35</v>
      </c>
      <c r="H745" t="s">
        <v>27</v>
      </c>
      <c r="I745">
        <v>2</v>
      </c>
      <c r="J745">
        <v>430.73</v>
      </c>
      <c r="K745">
        <v>25</v>
      </c>
      <c r="L745">
        <v>235</v>
      </c>
      <c r="M745">
        <v>289.01</v>
      </c>
      <c r="N745" t="s">
        <v>47</v>
      </c>
      <c r="O745">
        <v>14</v>
      </c>
      <c r="P745">
        <v>861.46</v>
      </c>
      <c r="Q745">
        <v>886.46</v>
      </c>
      <c r="R745" t="s">
        <v>2054</v>
      </c>
    </row>
    <row r="746" spans="1:18" x14ac:dyDescent="0.25">
      <c r="A746" t="s">
        <v>797</v>
      </c>
      <c r="B746" s="1">
        <v>45346</v>
      </c>
      <c r="C746" s="1">
        <v>45348</v>
      </c>
      <c r="D746" t="s">
        <v>52</v>
      </c>
      <c r="E746" t="s">
        <v>30</v>
      </c>
      <c r="F746" t="s">
        <v>31</v>
      </c>
      <c r="G746" t="s">
        <v>26</v>
      </c>
      <c r="H746" t="s">
        <v>27</v>
      </c>
      <c r="I746">
        <v>5</v>
      </c>
      <c r="J746">
        <v>141.02000000000001</v>
      </c>
      <c r="K746">
        <v>12</v>
      </c>
      <c r="L746">
        <v>248</v>
      </c>
      <c r="M746">
        <v>276.02999999999997</v>
      </c>
      <c r="N746" t="s">
        <v>23</v>
      </c>
      <c r="O746">
        <v>2</v>
      </c>
      <c r="P746">
        <v>705.1</v>
      </c>
      <c r="Q746">
        <v>717.1</v>
      </c>
      <c r="R746" t="s">
        <v>2054</v>
      </c>
    </row>
    <row r="747" spans="1:18" x14ac:dyDescent="0.25">
      <c r="A747" t="s">
        <v>798</v>
      </c>
      <c r="B747" s="1">
        <v>45348</v>
      </c>
      <c r="C747" s="1">
        <v>45353</v>
      </c>
      <c r="D747" t="s">
        <v>54</v>
      </c>
      <c r="E747" t="s">
        <v>38</v>
      </c>
      <c r="F747" t="s">
        <v>39</v>
      </c>
      <c r="G747" t="s">
        <v>35</v>
      </c>
      <c r="H747" t="s">
        <v>40</v>
      </c>
      <c r="I747">
        <v>2</v>
      </c>
      <c r="J747">
        <v>449.98</v>
      </c>
      <c r="K747">
        <v>112.5</v>
      </c>
      <c r="L747">
        <v>331</v>
      </c>
      <c r="M747">
        <v>123.74</v>
      </c>
      <c r="N747" t="s">
        <v>23</v>
      </c>
      <c r="O747">
        <v>5</v>
      </c>
      <c r="P747">
        <v>899.96</v>
      </c>
      <c r="Q747">
        <v>1012.46</v>
      </c>
      <c r="R747" t="s">
        <v>2054</v>
      </c>
    </row>
    <row r="748" spans="1:18" x14ac:dyDescent="0.25">
      <c r="A748" t="s">
        <v>799</v>
      </c>
      <c r="B748" s="1">
        <v>45348</v>
      </c>
      <c r="C748" s="1">
        <v>45353</v>
      </c>
      <c r="D748" t="s">
        <v>58</v>
      </c>
      <c r="E748" t="s">
        <v>19</v>
      </c>
      <c r="F748" t="s">
        <v>20</v>
      </c>
      <c r="G748" t="s">
        <v>35</v>
      </c>
      <c r="H748" t="s">
        <v>22</v>
      </c>
      <c r="I748">
        <v>9</v>
      </c>
      <c r="J748">
        <v>22.53</v>
      </c>
      <c r="K748">
        <v>8</v>
      </c>
      <c r="L748">
        <v>53</v>
      </c>
      <c r="M748">
        <v>12.22</v>
      </c>
      <c r="N748" t="s">
        <v>23</v>
      </c>
      <c r="O748">
        <v>5</v>
      </c>
      <c r="P748">
        <v>202.77</v>
      </c>
      <c r="Q748">
        <v>210.77</v>
      </c>
      <c r="R748" t="s">
        <v>2054</v>
      </c>
    </row>
    <row r="749" spans="1:18" x14ac:dyDescent="0.25">
      <c r="A749" t="s">
        <v>800</v>
      </c>
      <c r="B749" s="1">
        <v>45348</v>
      </c>
      <c r="C749" s="1">
        <v>45353</v>
      </c>
      <c r="D749" t="s">
        <v>37</v>
      </c>
      <c r="E749" t="s">
        <v>38</v>
      </c>
      <c r="F749" t="s">
        <v>39</v>
      </c>
      <c r="G749" t="s">
        <v>35</v>
      </c>
      <c r="H749" t="s">
        <v>27</v>
      </c>
      <c r="I749">
        <v>2</v>
      </c>
      <c r="J749">
        <v>150.32</v>
      </c>
      <c r="K749">
        <v>75</v>
      </c>
      <c r="L749">
        <v>199</v>
      </c>
      <c r="M749">
        <v>22.63</v>
      </c>
      <c r="N749" t="s">
        <v>23</v>
      </c>
      <c r="O749">
        <v>5</v>
      </c>
      <c r="P749">
        <v>300.64</v>
      </c>
      <c r="Q749">
        <v>375.64</v>
      </c>
      <c r="R749" t="s">
        <v>2054</v>
      </c>
    </row>
    <row r="750" spans="1:18" x14ac:dyDescent="0.25">
      <c r="A750" t="s">
        <v>801</v>
      </c>
      <c r="B750" s="1">
        <v>45351</v>
      </c>
      <c r="C750" s="1">
        <v>45359</v>
      </c>
      <c r="D750" t="s">
        <v>56</v>
      </c>
      <c r="E750" t="s">
        <v>38</v>
      </c>
      <c r="F750" t="s">
        <v>39</v>
      </c>
      <c r="G750" t="s">
        <v>35</v>
      </c>
      <c r="H750" t="s">
        <v>40</v>
      </c>
      <c r="I750">
        <v>1</v>
      </c>
      <c r="J750">
        <v>381.1</v>
      </c>
      <c r="K750">
        <v>112.5</v>
      </c>
      <c r="L750">
        <v>105</v>
      </c>
      <c r="M750">
        <v>19.97</v>
      </c>
      <c r="N750" t="s">
        <v>63</v>
      </c>
      <c r="O750">
        <v>8</v>
      </c>
      <c r="P750">
        <v>381.1</v>
      </c>
      <c r="Q750">
        <v>493.6</v>
      </c>
      <c r="R750" t="s">
        <v>2054</v>
      </c>
    </row>
    <row r="751" spans="1:18" x14ac:dyDescent="0.25">
      <c r="A751" t="s">
        <v>802</v>
      </c>
      <c r="B751" s="1">
        <v>45351</v>
      </c>
      <c r="C751" s="1">
        <v>45355</v>
      </c>
      <c r="D751" t="s">
        <v>25</v>
      </c>
      <c r="E751" t="s">
        <v>19</v>
      </c>
      <c r="F751" t="s">
        <v>20</v>
      </c>
      <c r="G751" t="s">
        <v>35</v>
      </c>
      <c r="H751" t="s">
        <v>40</v>
      </c>
      <c r="I751">
        <v>7</v>
      </c>
      <c r="J751">
        <v>37.369999999999997</v>
      </c>
      <c r="K751">
        <v>12</v>
      </c>
      <c r="L751">
        <v>310</v>
      </c>
      <c r="M751">
        <v>14.93</v>
      </c>
      <c r="N751" t="s">
        <v>23</v>
      </c>
      <c r="O751">
        <v>4</v>
      </c>
      <c r="P751">
        <v>261.58999999999997</v>
      </c>
      <c r="Q751">
        <v>273.58999999999997</v>
      </c>
      <c r="R751" t="s">
        <v>2054</v>
      </c>
    </row>
    <row r="752" spans="1:18" x14ac:dyDescent="0.25">
      <c r="A752" t="s">
        <v>803</v>
      </c>
      <c r="B752" s="1">
        <v>45351</v>
      </c>
      <c r="C752" s="1">
        <v>45368</v>
      </c>
      <c r="D752" t="s">
        <v>18</v>
      </c>
      <c r="E752" t="s">
        <v>19</v>
      </c>
      <c r="F752" t="s">
        <v>20</v>
      </c>
      <c r="G752" t="s">
        <v>35</v>
      </c>
      <c r="H752" t="s">
        <v>27</v>
      </c>
      <c r="I752">
        <v>12</v>
      </c>
      <c r="J752">
        <v>49.84</v>
      </c>
      <c r="K752">
        <v>8</v>
      </c>
      <c r="L752">
        <v>7</v>
      </c>
      <c r="M752">
        <v>43.85</v>
      </c>
      <c r="N752" t="s">
        <v>47</v>
      </c>
      <c r="O752">
        <v>17</v>
      </c>
      <c r="P752">
        <v>598.08000000000004</v>
      </c>
      <c r="Q752">
        <v>606.08000000000004</v>
      </c>
      <c r="R752" t="s">
        <v>2056</v>
      </c>
    </row>
    <row r="753" spans="1:18" x14ac:dyDescent="0.25">
      <c r="A753" t="s">
        <v>804</v>
      </c>
      <c r="B753" s="1">
        <v>45352</v>
      </c>
      <c r="C753" s="1">
        <v>45365</v>
      </c>
      <c r="D753" t="s">
        <v>58</v>
      </c>
      <c r="E753" t="s">
        <v>19</v>
      </c>
      <c r="F753" t="s">
        <v>20</v>
      </c>
      <c r="G753" t="s">
        <v>35</v>
      </c>
      <c r="H753" t="s">
        <v>40</v>
      </c>
      <c r="I753">
        <v>8</v>
      </c>
      <c r="J753">
        <v>33.869999999999997</v>
      </c>
      <c r="K753">
        <v>12</v>
      </c>
      <c r="L753">
        <v>391</v>
      </c>
      <c r="M753">
        <v>15.67</v>
      </c>
      <c r="N753" t="s">
        <v>47</v>
      </c>
      <c r="O753">
        <v>13</v>
      </c>
      <c r="P753">
        <v>270.95999999999998</v>
      </c>
      <c r="Q753">
        <v>282.95999999999998</v>
      </c>
      <c r="R753" t="s">
        <v>2054</v>
      </c>
    </row>
    <row r="754" spans="1:18" x14ac:dyDescent="0.25">
      <c r="A754" t="s">
        <v>805</v>
      </c>
      <c r="B754" s="1">
        <v>45353</v>
      </c>
      <c r="C754" s="1">
        <v>45368</v>
      </c>
      <c r="D754" t="s">
        <v>50</v>
      </c>
      <c r="E754" t="s">
        <v>44</v>
      </c>
      <c r="F754" t="s">
        <v>45</v>
      </c>
      <c r="G754" t="s">
        <v>35</v>
      </c>
      <c r="H754" t="s">
        <v>32</v>
      </c>
      <c r="I754">
        <v>1</v>
      </c>
      <c r="J754">
        <v>233.65</v>
      </c>
      <c r="K754">
        <v>25</v>
      </c>
      <c r="L754">
        <v>372</v>
      </c>
      <c r="M754">
        <v>69.28</v>
      </c>
      <c r="N754" t="s">
        <v>47</v>
      </c>
      <c r="O754">
        <v>15</v>
      </c>
      <c r="P754">
        <v>233.65</v>
      </c>
      <c r="Q754">
        <v>258.64999999999998</v>
      </c>
      <c r="R754" t="s">
        <v>2054</v>
      </c>
    </row>
    <row r="755" spans="1:18" x14ac:dyDescent="0.25">
      <c r="A755" t="s">
        <v>806</v>
      </c>
      <c r="B755" s="1">
        <v>45353</v>
      </c>
      <c r="C755" s="1">
        <v>45364</v>
      </c>
      <c r="D755" t="s">
        <v>43</v>
      </c>
      <c r="E755" t="s">
        <v>44</v>
      </c>
      <c r="F755" t="s">
        <v>45</v>
      </c>
      <c r="G755" t="s">
        <v>35</v>
      </c>
      <c r="H755" t="s">
        <v>27</v>
      </c>
      <c r="I755">
        <v>1</v>
      </c>
      <c r="J755">
        <v>996.85</v>
      </c>
      <c r="K755">
        <v>25</v>
      </c>
      <c r="L755">
        <v>269</v>
      </c>
      <c r="M755">
        <v>336.4</v>
      </c>
      <c r="N755" t="s">
        <v>47</v>
      </c>
      <c r="O755">
        <v>11</v>
      </c>
      <c r="P755">
        <v>996.85</v>
      </c>
      <c r="Q755">
        <v>1021.85</v>
      </c>
      <c r="R755" t="s">
        <v>2054</v>
      </c>
    </row>
    <row r="756" spans="1:18" x14ac:dyDescent="0.25">
      <c r="A756" t="s">
        <v>807</v>
      </c>
      <c r="B756" s="1">
        <v>45353</v>
      </c>
      <c r="C756" s="1">
        <v>45355</v>
      </c>
      <c r="D756" t="s">
        <v>82</v>
      </c>
      <c r="E756" t="s">
        <v>79</v>
      </c>
      <c r="F756" t="s">
        <v>80</v>
      </c>
      <c r="G756" t="s">
        <v>21</v>
      </c>
      <c r="H756" t="s">
        <v>27</v>
      </c>
      <c r="I756">
        <v>4</v>
      </c>
      <c r="J756">
        <v>120.27</v>
      </c>
      <c r="K756">
        <v>12</v>
      </c>
      <c r="L756">
        <v>187</v>
      </c>
      <c r="M756">
        <v>210.49</v>
      </c>
      <c r="N756" t="s">
        <v>23</v>
      </c>
      <c r="O756">
        <v>2</v>
      </c>
      <c r="P756">
        <v>481.08</v>
      </c>
      <c r="Q756">
        <v>493.08</v>
      </c>
      <c r="R756" t="s">
        <v>2054</v>
      </c>
    </row>
    <row r="757" spans="1:18" x14ac:dyDescent="0.25">
      <c r="A757" t="s">
        <v>808</v>
      </c>
      <c r="B757" s="1">
        <v>45354</v>
      </c>
      <c r="C757" s="1">
        <v>45358</v>
      </c>
      <c r="D757" t="s">
        <v>43</v>
      </c>
      <c r="E757" t="s">
        <v>44</v>
      </c>
      <c r="F757" t="s">
        <v>45</v>
      </c>
      <c r="G757" t="s">
        <v>35</v>
      </c>
      <c r="H757" t="s">
        <v>40</v>
      </c>
      <c r="I757">
        <v>3</v>
      </c>
      <c r="J757">
        <v>908.68</v>
      </c>
      <c r="K757">
        <v>37.5</v>
      </c>
      <c r="L757">
        <v>276</v>
      </c>
      <c r="M757">
        <v>935.36</v>
      </c>
      <c r="N757" t="s">
        <v>23</v>
      </c>
      <c r="O757">
        <v>4</v>
      </c>
      <c r="P757">
        <v>2726.04</v>
      </c>
      <c r="Q757">
        <v>2763.54</v>
      </c>
      <c r="R757" t="s">
        <v>2054</v>
      </c>
    </row>
    <row r="758" spans="1:18" x14ac:dyDescent="0.25">
      <c r="A758" t="s">
        <v>809</v>
      </c>
      <c r="B758" s="1">
        <v>45354</v>
      </c>
      <c r="C758" s="1">
        <v>45356</v>
      </c>
      <c r="D758" t="s">
        <v>78</v>
      </c>
      <c r="E758" t="s">
        <v>79</v>
      </c>
      <c r="F758" t="s">
        <v>80</v>
      </c>
      <c r="G758" t="s">
        <v>26</v>
      </c>
      <c r="H758" t="s">
        <v>27</v>
      </c>
      <c r="I758">
        <v>3</v>
      </c>
      <c r="J758">
        <v>100.14</v>
      </c>
      <c r="K758">
        <v>12</v>
      </c>
      <c r="L758">
        <v>160</v>
      </c>
      <c r="M758">
        <v>129.19</v>
      </c>
      <c r="N758" t="s">
        <v>23</v>
      </c>
      <c r="O758">
        <v>2</v>
      </c>
      <c r="P758">
        <v>300.42</v>
      </c>
      <c r="Q758">
        <v>312.42</v>
      </c>
      <c r="R758" t="s">
        <v>2054</v>
      </c>
    </row>
    <row r="759" spans="1:18" x14ac:dyDescent="0.25">
      <c r="A759" t="s">
        <v>810</v>
      </c>
      <c r="B759" s="1">
        <v>45355</v>
      </c>
      <c r="C759" s="1">
        <v>45356</v>
      </c>
      <c r="D759" t="s">
        <v>58</v>
      </c>
      <c r="E759" t="s">
        <v>19</v>
      </c>
      <c r="F759" t="s">
        <v>20</v>
      </c>
      <c r="G759" t="s">
        <v>26</v>
      </c>
      <c r="H759" t="s">
        <v>22</v>
      </c>
      <c r="I759">
        <v>14</v>
      </c>
      <c r="J759">
        <v>44.68</v>
      </c>
      <c r="K759">
        <v>8</v>
      </c>
      <c r="L759">
        <v>299</v>
      </c>
      <c r="M759">
        <v>46.04</v>
      </c>
      <c r="N759" t="s">
        <v>23</v>
      </c>
      <c r="O759">
        <v>1</v>
      </c>
      <c r="P759">
        <v>625.52</v>
      </c>
      <c r="Q759">
        <v>633.52</v>
      </c>
      <c r="R759" t="s">
        <v>2054</v>
      </c>
    </row>
    <row r="760" spans="1:18" x14ac:dyDescent="0.25">
      <c r="A760" t="s">
        <v>811</v>
      </c>
      <c r="B760" s="1">
        <v>45356</v>
      </c>
      <c r="C760" s="1">
        <v>45358</v>
      </c>
      <c r="D760" t="s">
        <v>29</v>
      </c>
      <c r="E760" t="s">
        <v>30</v>
      </c>
      <c r="F760" t="s">
        <v>31</v>
      </c>
      <c r="G760" t="s">
        <v>35</v>
      </c>
      <c r="H760" t="s">
        <v>40</v>
      </c>
      <c r="I760">
        <v>5</v>
      </c>
      <c r="J760">
        <v>132.35</v>
      </c>
      <c r="K760">
        <v>18</v>
      </c>
      <c r="L760">
        <v>384</v>
      </c>
      <c r="M760">
        <v>255.7</v>
      </c>
      <c r="N760" t="s">
        <v>23</v>
      </c>
      <c r="O760">
        <v>2</v>
      </c>
      <c r="P760">
        <v>661.75</v>
      </c>
      <c r="Q760">
        <v>679.75</v>
      </c>
      <c r="R760" t="s">
        <v>2054</v>
      </c>
    </row>
    <row r="761" spans="1:18" x14ac:dyDescent="0.25">
      <c r="A761" t="s">
        <v>812</v>
      </c>
      <c r="B761" s="1">
        <v>45358</v>
      </c>
      <c r="C761" s="1">
        <v>45362</v>
      </c>
      <c r="D761" t="s">
        <v>29</v>
      </c>
      <c r="E761" t="s">
        <v>30</v>
      </c>
      <c r="F761" t="s">
        <v>31</v>
      </c>
      <c r="G761" t="s">
        <v>26</v>
      </c>
      <c r="H761" t="s">
        <v>32</v>
      </c>
      <c r="I761">
        <v>1</v>
      </c>
      <c r="J761">
        <v>80.14</v>
      </c>
      <c r="K761">
        <v>12</v>
      </c>
      <c r="L761">
        <v>323</v>
      </c>
      <c r="M761">
        <v>26.06</v>
      </c>
      <c r="N761" t="s">
        <v>23</v>
      </c>
      <c r="O761">
        <v>4</v>
      </c>
      <c r="P761">
        <v>80.14</v>
      </c>
      <c r="Q761">
        <v>92.14</v>
      </c>
      <c r="R761" t="s">
        <v>2054</v>
      </c>
    </row>
    <row r="762" spans="1:18" x14ac:dyDescent="0.25">
      <c r="A762" t="s">
        <v>813</v>
      </c>
      <c r="B762" s="1">
        <v>45358</v>
      </c>
      <c r="C762" s="1">
        <v>45360</v>
      </c>
      <c r="D762" t="s">
        <v>75</v>
      </c>
      <c r="E762" t="s">
        <v>44</v>
      </c>
      <c r="F762" t="s">
        <v>45</v>
      </c>
      <c r="G762" t="s">
        <v>35</v>
      </c>
      <c r="H762" t="s">
        <v>40</v>
      </c>
      <c r="I762">
        <v>3</v>
      </c>
      <c r="J762">
        <v>952.99</v>
      </c>
      <c r="K762">
        <v>37.5</v>
      </c>
      <c r="L762">
        <v>91</v>
      </c>
      <c r="M762">
        <v>981.89</v>
      </c>
      <c r="N762" t="s">
        <v>23</v>
      </c>
      <c r="O762">
        <v>2</v>
      </c>
      <c r="P762">
        <v>2858.9700000000003</v>
      </c>
      <c r="Q762">
        <v>2896.4700000000003</v>
      </c>
      <c r="R762" t="s">
        <v>2054</v>
      </c>
    </row>
    <row r="763" spans="1:18" x14ac:dyDescent="0.25">
      <c r="A763" t="s">
        <v>814</v>
      </c>
      <c r="B763" s="1">
        <v>45361</v>
      </c>
      <c r="C763" s="1">
        <v>45364</v>
      </c>
      <c r="D763" t="s">
        <v>18</v>
      </c>
      <c r="E763" t="s">
        <v>19</v>
      </c>
      <c r="F763" t="s">
        <v>20</v>
      </c>
      <c r="G763" t="s">
        <v>21</v>
      </c>
      <c r="H763" t="s">
        <v>40</v>
      </c>
      <c r="I763">
        <v>10</v>
      </c>
      <c r="J763">
        <v>17.89</v>
      </c>
      <c r="K763">
        <v>12</v>
      </c>
      <c r="L763">
        <v>176</v>
      </c>
      <c r="M763">
        <v>8.31</v>
      </c>
      <c r="N763" t="s">
        <v>23</v>
      </c>
      <c r="O763">
        <v>3</v>
      </c>
      <c r="P763">
        <v>178.9</v>
      </c>
      <c r="Q763">
        <v>190.9</v>
      </c>
      <c r="R763" t="s">
        <v>2054</v>
      </c>
    </row>
    <row r="764" spans="1:18" x14ac:dyDescent="0.25">
      <c r="A764" t="s">
        <v>815</v>
      </c>
      <c r="B764" s="1">
        <v>45361</v>
      </c>
      <c r="C764" s="1">
        <v>45362</v>
      </c>
      <c r="D764" t="s">
        <v>72</v>
      </c>
      <c r="E764" t="s">
        <v>44</v>
      </c>
      <c r="F764" t="s">
        <v>45</v>
      </c>
      <c r="G764" t="s">
        <v>21</v>
      </c>
      <c r="H764" t="s">
        <v>32</v>
      </c>
      <c r="I764">
        <v>2</v>
      </c>
      <c r="J764">
        <v>433.4</v>
      </c>
      <c r="K764">
        <v>25</v>
      </c>
      <c r="L764">
        <v>367</v>
      </c>
      <c r="M764">
        <v>290.88</v>
      </c>
      <c r="N764" t="s">
        <v>23</v>
      </c>
      <c r="O764">
        <v>1</v>
      </c>
      <c r="P764">
        <v>866.8</v>
      </c>
      <c r="Q764">
        <v>891.8</v>
      </c>
      <c r="R764" t="s">
        <v>2054</v>
      </c>
    </row>
    <row r="765" spans="1:18" x14ac:dyDescent="0.25">
      <c r="A765" t="s">
        <v>816</v>
      </c>
      <c r="B765" s="1">
        <v>45361</v>
      </c>
      <c r="C765" s="1">
        <v>45377</v>
      </c>
      <c r="D765" t="s">
        <v>58</v>
      </c>
      <c r="E765" t="s">
        <v>19</v>
      </c>
      <c r="F765" t="s">
        <v>20</v>
      </c>
      <c r="G765" t="s">
        <v>35</v>
      </c>
      <c r="H765" t="s">
        <v>27</v>
      </c>
      <c r="I765">
        <v>8</v>
      </c>
      <c r="J765">
        <v>16.25</v>
      </c>
      <c r="K765">
        <v>8</v>
      </c>
      <c r="L765">
        <v>118</v>
      </c>
      <c r="M765">
        <v>6.4</v>
      </c>
      <c r="N765" t="s">
        <v>47</v>
      </c>
      <c r="O765">
        <v>16</v>
      </c>
      <c r="P765">
        <v>130</v>
      </c>
      <c r="Q765">
        <v>138</v>
      </c>
      <c r="R765" t="s">
        <v>2054</v>
      </c>
    </row>
    <row r="766" spans="1:18" x14ac:dyDescent="0.25">
      <c r="A766" t="s">
        <v>817</v>
      </c>
      <c r="B766" s="1">
        <v>45362</v>
      </c>
      <c r="C766" s="1">
        <v>45366</v>
      </c>
      <c r="D766" t="s">
        <v>37</v>
      </c>
      <c r="E766" t="s">
        <v>38</v>
      </c>
      <c r="F766" t="s">
        <v>39</v>
      </c>
      <c r="G766" t="s">
        <v>26</v>
      </c>
      <c r="H766" t="s">
        <v>22</v>
      </c>
      <c r="I766">
        <v>1</v>
      </c>
      <c r="J766">
        <v>305.97000000000003</v>
      </c>
      <c r="K766">
        <v>75</v>
      </c>
      <c r="L766">
        <v>362</v>
      </c>
      <c r="M766">
        <v>23.69</v>
      </c>
      <c r="N766" t="s">
        <v>23</v>
      </c>
      <c r="O766">
        <v>4</v>
      </c>
      <c r="P766">
        <v>305.97000000000003</v>
      </c>
      <c r="Q766">
        <v>380.97</v>
      </c>
      <c r="R766" t="s">
        <v>2054</v>
      </c>
    </row>
    <row r="767" spans="1:18" x14ac:dyDescent="0.25">
      <c r="A767" t="s">
        <v>818</v>
      </c>
      <c r="B767" s="1">
        <v>45362</v>
      </c>
      <c r="C767" s="1">
        <v>45365</v>
      </c>
      <c r="D767" t="s">
        <v>18</v>
      </c>
      <c r="E767" t="s">
        <v>19</v>
      </c>
      <c r="F767" t="s">
        <v>20</v>
      </c>
      <c r="G767" t="s">
        <v>35</v>
      </c>
      <c r="H767" t="s">
        <v>27</v>
      </c>
      <c r="I767">
        <v>7</v>
      </c>
      <c r="J767">
        <v>33.799999999999997</v>
      </c>
      <c r="K767">
        <v>8</v>
      </c>
      <c r="L767">
        <v>299</v>
      </c>
      <c r="M767">
        <v>14.93</v>
      </c>
      <c r="N767" t="s">
        <v>23</v>
      </c>
      <c r="O767">
        <v>3</v>
      </c>
      <c r="P767">
        <v>236.59999999999997</v>
      </c>
      <c r="Q767">
        <v>244.59999999999997</v>
      </c>
      <c r="R767" t="s">
        <v>2054</v>
      </c>
    </row>
    <row r="768" spans="1:18" x14ac:dyDescent="0.25">
      <c r="A768" t="s">
        <v>819</v>
      </c>
      <c r="B768" s="1">
        <v>45364</v>
      </c>
      <c r="C768" s="1">
        <v>45369</v>
      </c>
      <c r="D768" t="s">
        <v>72</v>
      </c>
      <c r="E768" t="s">
        <v>44</v>
      </c>
      <c r="F768" t="s">
        <v>45</v>
      </c>
      <c r="G768" t="s">
        <v>35</v>
      </c>
      <c r="H768" t="s">
        <v>40</v>
      </c>
      <c r="I768">
        <v>3</v>
      </c>
      <c r="J768">
        <v>649.91</v>
      </c>
      <c r="K768">
        <v>37.5</v>
      </c>
      <c r="L768">
        <v>189</v>
      </c>
      <c r="M768">
        <v>663.66</v>
      </c>
      <c r="N768" t="s">
        <v>23</v>
      </c>
      <c r="O768">
        <v>5</v>
      </c>
      <c r="P768">
        <v>1949.73</v>
      </c>
      <c r="Q768">
        <v>1987.23</v>
      </c>
      <c r="R768" t="s">
        <v>2054</v>
      </c>
    </row>
    <row r="769" spans="1:18" x14ac:dyDescent="0.25">
      <c r="A769" t="s">
        <v>820</v>
      </c>
      <c r="B769" s="1">
        <v>45364</v>
      </c>
      <c r="C769" s="1">
        <v>45367</v>
      </c>
      <c r="D769" t="s">
        <v>37</v>
      </c>
      <c r="E769" t="s">
        <v>38</v>
      </c>
      <c r="F769" t="s">
        <v>39</v>
      </c>
      <c r="G769" t="s">
        <v>35</v>
      </c>
      <c r="H769" t="s">
        <v>32</v>
      </c>
      <c r="I769">
        <v>2</v>
      </c>
      <c r="J769">
        <v>269.57</v>
      </c>
      <c r="K769">
        <v>75</v>
      </c>
      <c r="L769">
        <v>57</v>
      </c>
      <c r="M769">
        <v>70.33</v>
      </c>
      <c r="N769" t="s">
        <v>23</v>
      </c>
      <c r="O769">
        <v>3</v>
      </c>
      <c r="P769">
        <v>539.14</v>
      </c>
      <c r="Q769">
        <v>614.14</v>
      </c>
      <c r="R769" t="s">
        <v>2054</v>
      </c>
    </row>
    <row r="770" spans="1:18" x14ac:dyDescent="0.25">
      <c r="A770" t="s">
        <v>821</v>
      </c>
      <c r="B770" s="1">
        <v>45367</v>
      </c>
      <c r="C770" s="1">
        <v>45370</v>
      </c>
      <c r="D770" t="s">
        <v>78</v>
      </c>
      <c r="E770" t="s">
        <v>79</v>
      </c>
      <c r="F770" t="s">
        <v>80</v>
      </c>
      <c r="G770" t="s">
        <v>26</v>
      </c>
      <c r="H770" t="s">
        <v>22</v>
      </c>
      <c r="I770">
        <v>4</v>
      </c>
      <c r="J770">
        <v>37.36</v>
      </c>
      <c r="K770">
        <v>12</v>
      </c>
      <c r="L770">
        <v>27</v>
      </c>
      <c r="M770">
        <v>61.24</v>
      </c>
      <c r="N770" t="s">
        <v>23</v>
      </c>
      <c r="O770">
        <v>3</v>
      </c>
      <c r="P770">
        <v>149.44</v>
      </c>
      <c r="Q770">
        <v>161.44</v>
      </c>
      <c r="R770" t="s">
        <v>2055</v>
      </c>
    </row>
    <row r="771" spans="1:18" x14ac:dyDescent="0.25">
      <c r="A771" t="s">
        <v>822</v>
      </c>
      <c r="B771" s="1">
        <v>45368</v>
      </c>
      <c r="C771" s="1">
        <v>45371</v>
      </c>
      <c r="D771" t="s">
        <v>25</v>
      </c>
      <c r="E771" t="s">
        <v>19</v>
      </c>
      <c r="F771" t="s">
        <v>20</v>
      </c>
      <c r="G771" t="s">
        <v>35</v>
      </c>
      <c r="H771" t="s">
        <v>40</v>
      </c>
      <c r="I771">
        <v>14</v>
      </c>
      <c r="J771">
        <v>35.22</v>
      </c>
      <c r="K771">
        <v>12</v>
      </c>
      <c r="L771">
        <v>3</v>
      </c>
      <c r="M771">
        <v>-73.95</v>
      </c>
      <c r="N771" t="s">
        <v>23</v>
      </c>
      <c r="O771">
        <v>3</v>
      </c>
      <c r="P771">
        <v>493.08</v>
      </c>
      <c r="Q771">
        <v>505.08</v>
      </c>
      <c r="R771" t="s">
        <v>2056</v>
      </c>
    </row>
    <row r="772" spans="1:18" x14ac:dyDescent="0.25">
      <c r="A772" t="s">
        <v>823</v>
      </c>
      <c r="B772" s="1">
        <v>45368</v>
      </c>
      <c r="C772" s="1">
        <v>45372</v>
      </c>
      <c r="D772" t="s">
        <v>50</v>
      </c>
      <c r="E772" t="s">
        <v>44</v>
      </c>
      <c r="F772" t="s">
        <v>45</v>
      </c>
      <c r="G772" t="s">
        <v>21</v>
      </c>
      <c r="H772" t="s">
        <v>32</v>
      </c>
      <c r="I772">
        <v>1</v>
      </c>
      <c r="J772">
        <v>912.75</v>
      </c>
      <c r="K772">
        <v>25</v>
      </c>
      <c r="L772">
        <v>51</v>
      </c>
      <c r="M772">
        <v>306.95999999999998</v>
      </c>
      <c r="N772" t="s">
        <v>23</v>
      </c>
      <c r="O772">
        <v>4</v>
      </c>
      <c r="P772">
        <v>912.75</v>
      </c>
      <c r="Q772">
        <v>937.75</v>
      </c>
      <c r="R772" t="s">
        <v>2054</v>
      </c>
    </row>
    <row r="773" spans="1:18" x14ac:dyDescent="0.25">
      <c r="A773" t="s">
        <v>824</v>
      </c>
      <c r="B773" s="1">
        <v>45368</v>
      </c>
      <c r="C773" s="1">
        <v>45373</v>
      </c>
      <c r="D773" t="s">
        <v>50</v>
      </c>
      <c r="E773" t="s">
        <v>44</v>
      </c>
      <c r="F773" t="s">
        <v>45</v>
      </c>
      <c r="G773" t="s">
        <v>26</v>
      </c>
      <c r="H773" t="s">
        <v>22</v>
      </c>
      <c r="I773">
        <v>3</v>
      </c>
      <c r="J773">
        <v>869.26</v>
      </c>
      <c r="K773">
        <v>25</v>
      </c>
      <c r="L773">
        <v>264</v>
      </c>
      <c r="M773">
        <v>900.22</v>
      </c>
      <c r="N773" t="s">
        <v>23</v>
      </c>
      <c r="O773">
        <v>5</v>
      </c>
      <c r="P773">
        <v>2607.7799999999997</v>
      </c>
      <c r="Q773">
        <v>2632.7799999999997</v>
      </c>
      <c r="R773" t="s">
        <v>2054</v>
      </c>
    </row>
    <row r="774" spans="1:18" x14ac:dyDescent="0.25">
      <c r="A774" t="s">
        <v>825</v>
      </c>
      <c r="B774" s="1">
        <v>45368</v>
      </c>
      <c r="C774" s="1">
        <v>45369</v>
      </c>
      <c r="D774" t="s">
        <v>25</v>
      </c>
      <c r="E774" t="s">
        <v>19</v>
      </c>
      <c r="F774" t="s">
        <v>20</v>
      </c>
      <c r="G774" t="s">
        <v>21</v>
      </c>
      <c r="H774" t="s">
        <v>22</v>
      </c>
      <c r="I774">
        <v>12</v>
      </c>
      <c r="J774">
        <v>20.45</v>
      </c>
      <c r="K774">
        <v>8</v>
      </c>
      <c r="L774">
        <v>101</v>
      </c>
      <c r="M774">
        <v>15.64</v>
      </c>
      <c r="N774" t="s">
        <v>23</v>
      </c>
      <c r="O774">
        <v>1</v>
      </c>
      <c r="P774">
        <v>245.39999999999998</v>
      </c>
      <c r="Q774">
        <v>253.39999999999998</v>
      </c>
      <c r="R774" t="s">
        <v>2054</v>
      </c>
    </row>
    <row r="775" spans="1:18" x14ac:dyDescent="0.25">
      <c r="A775" t="s">
        <v>826</v>
      </c>
      <c r="B775" s="1">
        <v>45369</v>
      </c>
      <c r="C775" s="1">
        <v>45374</v>
      </c>
      <c r="D775" t="s">
        <v>58</v>
      </c>
      <c r="E775" t="s">
        <v>19</v>
      </c>
      <c r="F775" t="s">
        <v>20</v>
      </c>
      <c r="G775" t="s">
        <v>21</v>
      </c>
      <c r="H775" t="s">
        <v>22</v>
      </c>
      <c r="I775">
        <v>7</v>
      </c>
      <c r="J775">
        <v>35.71</v>
      </c>
      <c r="K775">
        <v>8</v>
      </c>
      <c r="L775">
        <v>234</v>
      </c>
      <c r="M775">
        <v>16</v>
      </c>
      <c r="N775" t="s">
        <v>23</v>
      </c>
      <c r="O775">
        <v>5</v>
      </c>
      <c r="P775">
        <v>249.97</v>
      </c>
      <c r="Q775">
        <v>257.97000000000003</v>
      </c>
      <c r="R775" t="s">
        <v>2054</v>
      </c>
    </row>
    <row r="776" spans="1:18" x14ac:dyDescent="0.25">
      <c r="A776" t="s">
        <v>827</v>
      </c>
      <c r="B776" s="1">
        <v>45370</v>
      </c>
      <c r="C776" s="1">
        <v>45377</v>
      </c>
      <c r="D776" t="s">
        <v>78</v>
      </c>
      <c r="E776" t="s">
        <v>79</v>
      </c>
      <c r="F776" t="s">
        <v>80</v>
      </c>
      <c r="G776" t="s">
        <v>35</v>
      </c>
      <c r="H776" t="s">
        <v>40</v>
      </c>
      <c r="I776">
        <v>5</v>
      </c>
      <c r="J776">
        <v>143.93</v>
      </c>
      <c r="K776">
        <v>18</v>
      </c>
      <c r="L776">
        <v>174</v>
      </c>
      <c r="M776">
        <v>314.85000000000002</v>
      </c>
      <c r="N776" t="s">
        <v>63</v>
      </c>
      <c r="O776">
        <v>7</v>
      </c>
      <c r="P776">
        <v>719.65000000000009</v>
      </c>
      <c r="Q776">
        <v>737.65000000000009</v>
      </c>
      <c r="R776" t="s">
        <v>2054</v>
      </c>
    </row>
    <row r="777" spans="1:18" x14ac:dyDescent="0.25">
      <c r="A777" t="s">
        <v>828</v>
      </c>
      <c r="B777" s="1">
        <v>45371</v>
      </c>
      <c r="C777" s="1">
        <v>45372</v>
      </c>
      <c r="D777" t="s">
        <v>72</v>
      </c>
      <c r="E777" t="s">
        <v>44</v>
      </c>
      <c r="F777" t="s">
        <v>45</v>
      </c>
      <c r="G777" t="s">
        <v>35</v>
      </c>
      <c r="H777" t="s">
        <v>40</v>
      </c>
      <c r="I777">
        <v>1</v>
      </c>
      <c r="J777">
        <v>1073.25</v>
      </c>
      <c r="K777">
        <v>37.5</v>
      </c>
      <c r="L777">
        <v>297</v>
      </c>
      <c r="M777">
        <v>356.89</v>
      </c>
      <c r="N777" t="s">
        <v>23</v>
      </c>
      <c r="O777">
        <v>1</v>
      </c>
      <c r="P777">
        <v>1073.25</v>
      </c>
      <c r="Q777">
        <v>1110.75</v>
      </c>
      <c r="R777" t="s">
        <v>2054</v>
      </c>
    </row>
    <row r="778" spans="1:18" x14ac:dyDescent="0.25">
      <c r="A778" t="s">
        <v>829</v>
      </c>
      <c r="B778" s="1">
        <v>45371</v>
      </c>
      <c r="C778" s="1">
        <v>45375</v>
      </c>
      <c r="D778" t="s">
        <v>75</v>
      </c>
      <c r="E778" t="s">
        <v>44</v>
      </c>
      <c r="F778" t="s">
        <v>45</v>
      </c>
      <c r="G778" t="s">
        <v>21</v>
      </c>
      <c r="H778" t="s">
        <v>22</v>
      </c>
      <c r="I778">
        <v>3</v>
      </c>
      <c r="J778">
        <v>310.41000000000003</v>
      </c>
      <c r="K778">
        <v>25</v>
      </c>
      <c r="L778">
        <v>366</v>
      </c>
      <c r="M778">
        <v>313.43</v>
      </c>
      <c r="N778" t="s">
        <v>23</v>
      </c>
      <c r="O778">
        <v>4</v>
      </c>
      <c r="P778">
        <v>931.23</v>
      </c>
      <c r="Q778">
        <v>956.23</v>
      </c>
      <c r="R778" t="s">
        <v>2054</v>
      </c>
    </row>
    <row r="779" spans="1:18" x14ac:dyDescent="0.25">
      <c r="A779" t="s">
        <v>830</v>
      </c>
      <c r="B779" s="1">
        <v>45371</v>
      </c>
      <c r="C779" s="1">
        <v>45376</v>
      </c>
      <c r="D779" t="s">
        <v>43</v>
      </c>
      <c r="E779" t="s">
        <v>44</v>
      </c>
      <c r="F779" t="s">
        <v>45</v>
      </c>
      <c r="G779" t="s">
        <v>21</v>
      </c>
      <c r="H779" t="s">
        <v>27</v>
      </c>
      <c r="I779">
        <v>1</v>
      </c>
      <c r="J779">
        <v>1134.25</v>
      </c>
      <c r="K779">
        <v>25</v>
      </c>
      <c r="L779">
        <v>264</v>
      </c>
      <c r="M779">
        <v>384.49</v>
      </c>
      <c r="N779" t="s">
        <v>23</v>
      </c>
      <c r="O779">
        <v>5</v>
      </c>
      <c r="P779">
        <v>1134.25</v>
      </c>
      <c r="Q779">
        <v>1159.25</v>
      </c>
      <c r="R779" t="s">
        <v>2054</v>
      </c>
    </row>
    <row r="780" spans="1:18" x14ac:dyDescent="0.25">
      <c r="A780" t="s">
        <v>831</v>
      </c>
      <c r="B780" s="1">
        <v>45371</v>
      </c>
      <c r="C780" s="1">
        <v>45373</v>
      </c>
      <c r="D780" t="s">
        <v>82</v>
      </c>
      <c r="E780" t="s">
        <v>79</v>
      </c>
      <c r="F780" t="s">
        <v>80</v>
      </c>
      <c r="G780" t="s">
        <v>35</v>
      </c>
      <c r="H780" t="s">
        <v>40</v>
      </c>
      <c r="I780">
        <v>1</v>
      </c>
      <c r="J780">
        <v>38.11</v>
      </c>
      <c r="K780">
        <v>18</v>
      </c>
      <c r="L780">
        <v>326</v>
      </c>
      <c r="M780">
        <v>8.15</v>
      </c>
      <c r="N780" t="s">
        <v>23</v>
      </c>
      <c r="O780">
        <v>2</v>
      </c>
      <c r="P780">
        <v>38.11</v>
      </c>
      <c r="Q780">
        <v>56.11</v>
      </c>
      <c r="R780" t="s">
        <v>2054</v>
      </c>
    </row>
    <row r="781" spans="1:18" x14ac:dyDescent="0.25">
      <c r="A781" t="s">
        <v>832</v>
      </c>
      <c r="B781" s="1">
        <v>45372</v>
      </c>
      <c r="C781" s="1">
        <v>45375</v>
      </c>
      <c r="D781" t="s">
        <v>18</v>
      </c>
      <c r="E781" t="s">
        <v>19</v>
      </c>
      <c r="F781" t="s">
        <v>20</v>
      </c>
      <c r="G781" t="s">
        <v>21</v>
      </c>
      <c r="H781" t="s">
        <v>27</v>
      </c>
      <c r="I781">
        <v>12</v>
      </c>
      <c r="J781">
        <v>24.41</v>
      </c>
      <c r="K781">
        <v>8</v>
      </c>
      <c r="L781">
        <v>1</v>
      </c>
      <c r="M781">
        <v>19.43</v>
      </c>
      <c r="N781" t="s">
        <v>23</v>
      </c>
      <c r="O781">
        <v>3</v>
      </c>
      <c r="P781">
        <v>292.92</v>
      </c>
      <c r="Q781">
        <v>300.92</v>
      </c>
      <c r="R781" t="s">
        <v>2056</v>
      </c>
    </row>
    <row r="782" spans="1:18" x14ac:dyDescent="0.25">
      <c r="A782" t="s">
        <v>833</v>
      </c>
      <c r="B782" s="1">
        <v>45373</v>
      </c>
      <c r="C782" s="1">
        <v>45377</v>
      </c>
      <c r="D782" t="s">
        <v>18</v>
      </c>
      <c r="E782" t="s">
        <v>19</v>
      </c>
      <c r="F782" t="s">
        <v>20</v>
      </c>
      <c r="G782" t="s">
        <v>21</v>
      </c>
      <c r="H782" t="s">
        <v>27</v>
      </c>
      <c r="I782">
        <v>6</v>
      </c>
      <c r="J782">
        <v>48.24</v>
      </c>
      <c r="K782">
        <v>8</v>
      </c>
      <c r="L782">
        <v>198</v>
      </c>
      <c r="M782">
        <v>19.149999999999999</v>
      </c>
      <c r="N782" t="s">
        <v>23</v>
      </c>
      <c r="O782">
        <v>4</v>
      </c>
      <c r="P782">
        <v>289.44</v>
      </c>
      <c r="Q782">
        <v>297.44</v>
      </c>
      <c r="R782" t="s">
        <v>2054</v>
      </c>
    </row>
    <row r="783" spans="1:18" x14ac:dyDescent="0.25">
      <c r="A783" t="s">
        <v>834</v>
      </c>
      <c r="B783" s="1">
        <v>45373</v>
      </c>
      <c r="C783" s="1">
        <v>45378</v>
      </c>
      <c r="D783" t="s">
        <v>34</v>
      </c>
      <c r="E783" t="s">
        <v>30</v>
      </c>
      <c r="F783" t="s">
        <v>31</v>
      </c>
      <c r="G783" t="s">
        <v>35</v>
      </c>
      <c r="H783" t="s">
        <v>40</v>
      </c>
      <c r="I783">
        <v>1</v>
      </c>
      <c r="J783">
        <v>83.39</v>
      </c>
      <c r="K783">
        <v>18</v>
      </c>
      <c r="L783">
        <v>40</v>
      </c>
      <c r="M783">
        <v>24.36</v>
      </c>
      <c r="N783" t="s">
        <v>23</v>
      </c>
      <c r="O783">
        <v>5</v>
      </c>
      <c r="P783">
        <v>83.39</v>
      </c>
      <c r="Q783">
        <v>101.39</v>
      </c>
      <c r="R783" t="s">
        <v>2055</v>
      </c>
    </row>
    <row r="784" spans="1:18" x14ac:dyDescent="0.25">
      <c r="A784" t="s">
        <v>835</v>
      </c>
      <c r="B784" s="1">
        <v>45374</v>
      </c>
      <c r="C784" s="1">
        <v>45378</v>
      </c>
      <c r="D784" t="s">
        <v>82</v>
      </c>
      <c r="E784" t="s">
        <v>79</v>
      </c>
      <c r="F784" t="s">
        <v>80</v>
      </c>
      <c r="G784" t="s">
        <v>35</v>
      </c>
      <c r="H784" t="s">
        <v>40</v>
      </c>
      <c r="I784">
        <v>2</v>
      </c>
      <c r="J784">
        <v>95.01</v>
      </c>
      <c r="K784">
        <v>18</v>
      </c>
      <c r="L784">
        <v>336</v>
      </c>
      <c r="M784">
        <v>76.5</v>
      </c>
      <c r="N784" t="s">
        <v>23</v>
      </c>
      <c r="O784">
        <v>4</v>
      </c>
      <c r="P784">
        <v>190.02</v>
      </c>
      <c r="Q784">
        <v>208.02</v>
      </c>
      <c r="R784" t="s">
        <v>2054</v>
      </c>
    </row>
    <row r="785" spans="1:18" x14ac:dyDescent="0.25">
      <c r="A785" t="s">
        <v>836</v>
      </c>
      <c r="B785" s="1">
        <v>45375</v>
      </c>
      <c r="C785" s="1">
        <v>45379</v>
      </c>
      <c r="D785" t="s">
        <v>25</v>
      </c>
      <c r="E785" t="s">
        <v>19</v>
      </c>
      <c r="F785" t="s">
        <v>20</v>
      </c>
      <c r="G785" t="s">
        <v>21</v>
      </c>
      <c r="H785" t="s">
        <v>27</v>
      </c>
      <c r="I785">
        <v>12</v>
      </c>
      <c r="J785">
        <v>42.17</v>
      </c>
      <c r="K785">
        <v>8</v>
      </c>
      <c r="L785">
        <v>71</v>
      </c>
      <c r="M785">
        <v>36.479999999999997</v>
      </c>
      <c r="N785" t="s">
        <v>23</v>
      </c>
      <c r="O785">
        <v>4</v>
      </c>
      <c r="P785">
        <v>506.04</v>
      </c>
      <c r="Q785">
        <v>514.04</v>
      </c>
      <c r="R785" t="s">
        <v>2054</v>
      </c>
    </row>
    <row r="786" spans="1:18" x14ac:dyDescent="0.25">
      <c r="A786" t="s">
        <v>837</v>
      </c>
      <c r="B786" s="1">
        <v>45375</v>
      </c>
      <c r="C786" s="1">
        <v>45377</v>
      </c>
      <c r="D786" t="s">
        <v>75</v>
      </c>
      <c r="E786" t="s">
        <v>44</v>
      </c>
      <c r="F786" t="s">
        <v>45</v>
      </c>
      <c r="G786" t="s">
        <v>21</v>
      </c>
      <c r="H786" t="s">
        <v>32</v>
      </c>
      <c r="I786">
        <v>1</v>
      </c>
      <c r="J786">
        <v>557.47</v>
      </c>
      <c r="K786">
        <v>25</v>
      </c>
      <c r="L786">
        <v>33</v>
      </c>
      <c r="M786">
        <v>182.61</v>
      </c>
      <c r="N786" t="s">
        <v>23</v>
      </c>
      <c r="O786">
        <v>2</v>
      </c>
      <c r="P786">
        <v>557.47</v>
      </c>
      <c r="Q786">
        <v>582.47</v>
      </c>
      <c r="R786" t="s">
        <v>2055</v>
      </c>
    </row>
    <row r="787" spans="1:18" x14ac:dyDescent="0.25">
      <c r="A787" t="s">
        <v>838</v>
      </c>
      <c r="B787" s="1">
        <v>45375</v>
      </c>
      <c r="C787" s="1">
        <v>45376</v>
      </c>
      <c r="D787" t="s">
        <v>58</v>
      </c>
      <c r="E787" t="s">
        <v>19</v>
      </c>
      <c r="F787" t="s">
        <v>20</v>
      </c>
      <c r="G787" t="s">
        <v>35</v>
      </c>
      <c r="H787" t="s">
        <v>40</v>
      </c>
      <c r="I787">
        <v>13</v>
      </c>
      <c r="J787">
        <v>20.28</v>
      </c>
      <c r="K787">
        <v>12</v>
      </c>
      <c r="L787">
        <v>200</v>
      </c>
      <c r="M787">
        <v>15.09</v>
      </c>
      <c r="N787" t="s">
        <v>23</v>
      </c>
      <c r="O787">
        <v>1</v>
      </c>
      <c r="P787">
        <v>263.64</v>
      </c>
      <c r="Q787">
        <v>275.64</v>
      </c>
      <c r="R787" t="s">
        <v>2054</v>
      </c>
    </row>
    <row r="788" spans="1:18" x14ac:dyDescent="0.25">
      <c r="A788" t="s">
        <v>839</v>
      </c>
      <c r="B788" s="1">
        <v>45376</v>
      </c>
      <c r="C788" s="1">
        <v>45385</v>
      </c>
      <c r="D788" t="s">
        <v>29</v>
      </c>
      <c r="E788" t="s">
        <v>30</v>
      </c>
      <c r="F788" t="s">
        <v>31</v>
      </c>
      <c r="G788" t="s">
        <v>35</v>
      </c>
      <c r="H788" t="s">
        <v>22</v>
      </c>
      <c r="I788">
        <v>1</v>
      </c>
      <c r="J788">
        <v>60.9</v>
      </c>
      <c r="K788">
        <v>12</v>
      </c>
      <c r="L788">
        <v>60</v>
      </c>
      <c r="M788">
        <v>18.36</v>
      </c>
      <c r="N788" t="s">
        <v>63</v>
      </c>
      <c r="O788">
        <v>9</v>
      </c>
      <c r="P788">
        <v>60.9</v>
      </c>
      <c r="Q788">
        <v>72.900000000000006</v>
      </c>
      <c r="R788" t="s">
        <v>2054</v>
      </c>
    </row>
    <row r="789" spans="1:18" x14ac:dyDescent="0.25">
      <c r="A789" t="s">
        <v>840</v>
      </c>
      <c r="B789" s="1">
        <v>45378</v>
      </c>
      <c r="C789" s="1">
        <v>45381</v>
      </c>
      <c r="D789" t="s">
        <v>82</v>
      </c>
      <c r="E789" t="s">
        <v>79</v>
      </c>
      <c r="F789" t="s">
        <v>80</v>
      </c>
      <c r="G789" t="s">
        <v>35</v>
      </c>
      <c r="H789" t="s">
        <v>40</v>
      </c>
      <c r="I789">
        <v>4</v>
      </c>
      <c r="J789">
        <v>58.21</v>
      </c>
      <c r="K789">
        <v>18</v>
      </c>
      <c r="L789">
        <v>102</v>
      </c>
      <c r="M789">
        <v>95.79</v>
      </c>
      <c r="N789" t="s">
        <v>23</v>
      </c>
      <c r="O789">
        <v>3</v>
      </c>
      <c r="P789">
        <v>232.84</v>
      </c>
      <c r="Q789">
        <v>250.84</v>
      </c>
      <c r="R789" t="s">
        <v>2054</v>
      </c>
    </row>
    <row r="790" spans="1:18" x14ac:dyDescent="0.25">
      <c r="A790" t="s">
        <v>841</v>
      </c>
      <c r="B790" s="1">
        <v>45379</v>
      </c>
      <c r="C790" s="1">
        <v>45382</v>
      </c>
      <c r="D790" t="s">
        <v>50</v>
      </c>
      <c r="E790" t="s">
        <v>44</v>
      </c>
      <c r="F790" t="s">
        <v>45</v>
      </c>
      <c r="G790" t="s">
        <v>26</v>
      </c>
      <c r="H790" t="s">
        <v>22</v>
      </c>
      <c r="I790">
        <v>1</v>
      </c>
      <c r="J790">
        <v>1073.58</v>
      </c>
      <c r="K790">
        <v>25</v>
      </c>
      <c r="L790">
        <v>34</v>
      </c>
      <c r="M790">
        <v>363.25</v>
      </c>
      <c r="N790" t="s">
        <v>23</v>
      </c>
      <c r="O790">
        <v>3</v>
      </c>
      <c r="P790">
        <v>1073.58</v>
      </c>
      <c r="Q790">
        <v>1098.58</v>
      </c>
      <c r="R790" t="s">
        <v>2055</v>
      </c>
    </row>
    <row r="791" spans="1:18" x14ac:dyDescent="0.25">
      <c r="A791" t="s">
        <v>842</v>
      </c>
      <c r="B791" s="1">
        <v>45379</v>
      </c>
      <c r="C791" s="1">
        <v>45390</v>
      </c>
      <c r="D791" t="s">
        <v>58</v>
      </c>
      <c r="E791" t="s">
        <v>19</v>
      </c>
      <c r="F791" t="s">
        <v>20</v>
      </c>
      <c r="G791" t="s">
        <v>35</v>
      </c>
      <c r="H791" t="s">
        <v>40</v>
      </c>
      <c r="I791">
        <v>9</v>
      </c>
      <c r="J791">
        <v>36.22</v>
      </c>
      <c r="K791">
        <v>12</v>
      </c>
      <c r="L791">
        <v>84</v>
      </c>
      <c r="M791">
        <v>20.079999999999998</v>
      </c>
      <c r="N791" t="s">
        <v>47</v>
      </c>
      <c r="O791">
        <v>11</v>
      </c>
      <c r="P791">
        <v>325.98</v>
      </c>
      <c r="Q791">
        <v>337.98</v>
      </c>
      <c r="R791" t="s">
        <v>2054</v>
      </c>
    </row>
    <row r="792" spans="1:18" x14ac:dyDescent="0.25">
      <c r="A792" t="s">
        <v>843</v>
      </c>
      <c r="B792" s="1">
        <v>45379</v>
      </c>
      <c r="C792" s="1">
        <v>45384</v>
      </c>
      <c r="D792" t="s">
        <v>18</v>
      </c>
      <c r="E792" t="s">
        <v>19</v>
      </c>
      <c r="F792" t="s">
        <v>20</v>
      </c>
      <c r="G792" t="s">
        <v>35</v>
      </c>
      <c r="H792" t="s">
        <v>32</v>
      </c>
      <c r="I792">
        <v>13</v>
      </c>
      <c r="J792">
        <v>26.32</v>
      </c>
      <c r="K792">
        <v>8</v>
      </c>
      <c r="L792">
        <v>8</v>
      </c>
      <c r="M792">
        <v>23.37</v>
      </c>
      <c r="N792" t="s">
        <v>23</v>
      </c>
      <c r="O792">
        <v>5</v>
      </c>
      <c r="P792">
        <v>342.16</v>
      </c>
      <c r="Q792">
        <v>350.16</v>
      </c>
      <c r="R792" t="s">
        <v>2056</v>
      </c>
    </row>
    <row r="793" spans="1:18" x14ac:dyDescent="0.25">
      <c r="A793" t="s">
        <v>844</v>
      </c>
      <c r="B793" s="1">
        <v>45379</v>
      </c>
      <c r="C793" s="1">
        <v>45396</v>
      </c>
      <c r="D793" t="s">
        <v>34</v>
      </c>
      <c r="E793" t="s">
        <v>30</v>
      </c>
      <c r="F793" t="s">
        <v>31</v>
      </c>
      <c r="G793" t="s">
        <v>35</v>
      </c>
      <c r="H793" t="s">
        <v>32</v>
      </c>
      <c r="I793">
        <v>3</v>
      </c>
      <c r="J793">
        <v>144.58000000000001</v>
      </c>
      <c r="K793">
        <v>12</v>
      </c>
      <c r="L793">
        <v>193</v>
      </c>
      <c r="M793">
        <v>167.5</v>
      </c>
      <c r="N793" t="s">
        <v>47</v>
      </c>
      <c r="O793">
        <v>17</v>
      </c>
      <c r="P793">
        <v>433.74</v>
      </c>
      <c r="Q793">
        <v>445.74</v>
      </c>
      <c r="R793" t="s">
        <v>2054</v>
      </c>
    </row>
    <row r="794" spans="1:18" x14ac:dyDescent="0.25">
      <c r="A794" t="s">
        <v>845</v>
      </c>
      <c r="B794" s="1">
        <v>45380</v>
      </c>
      <c r="C794" s="1">
        <v>45383</v>
      </c>
      <c r="D794" t="s">
        <v>34</v>
      </c>
      <c r="E794" t="s">
        <v>30</v>
      </c>
      <c r="F794" t="s">
        <v>31</v>
      </c>
      <c r="G794" t="s">
        <v>35</v>
      </c>
      <c r="H794" t="s">
        <v>32</v>
      </c>
      <c r="I794">
        <v>1</v>
      </c>
      <c r="J794">
        <v>123.97</v>
      </c>
      <c r="K794">
        <v>12</v>
      </c>
      <c r="L794">
        <v>250</v>
      </c>
      <c r="M794">
        <v>43.59</v>
      </c>
      <c r="N794" t="s">
        <v>23</v>
      </c>
      <c r="O794">
        <v>3</v>
      </c>
      <c r="P794">
        <v>123.97</v>
      </c>
      <c r="Q794">
        <v>135.97</v>
      </c>
      <c r="R794" t="s">
        <v>2054</v>
      </c>
    </row>
    <row r="795" spans="1:18" x14ac:dyDescent="0.25">
      <c r="A795" t="s">
        <v>846</v>
      </c>
      <c r="B795" s="1">
        <v>45380</v>
      </c>
      <c r="C795" s="1">
        <v>45383</v>
      </c>
      <c r="D795" t="s">
        <v>72</v>
      </c>
      <c r="E795" t="s">
        <v>44</v>
      </c>
      <c r="F795" t="s">
        <v>45</v>
      </c>
      <c r="G795" t="s">
        <v>35</v>
      </c>
      <c r="H795" t="s">
        <v>32</v>
      </c>
      <c r="I795">
        <v>3</v>
      </c>
      <c r="J795">
        <v>1178.44</v>
      </c>
      <c r="K795">
        <v>25</v>
      </c>
      <c r="L795">
        <v>214</v>
      </c>
      <c r="M795">
        <v>1224.8699999999999</v>
      </c>
      <c r="N795" t="s">
        <v>23</v>
      </c>
      <c r="O795">
        <v>3</v>
      </c>
      <c r="P795">
        <v>3535.32</v>
      </c>
      <c r="Q795">
        <v>3560.32</v>
      </c>
      <c r="R795" t="s">
        <v>2054</v>
      </c>
    </row>
    <row r="796" spans="1:18" x14ac:dyDescent="0.25">
      <c r="A796" t="s">
        <v>847</v>
      </c>
      <c r="B796" s="1">
        <v>45381</v>
      </c>
      <c r="C796" s="1">
        <v>45386</v>
      </c>
      <c r="D796" t="s">
        <v>18</v>
      </c>
      <c r="E796" t="s">
        <v>19</v>
      </c>
      <c r="F796" t="s">
        <v>20</v>
      </c>
      <c r="G796" t="s">
        <v>26</v>
      </c>
      <c r="H796" t="s">
        <v>27</v>
      </c>
      <c r="I796">
        <v>8</v>
      </c>
      <c r="J796">
        <v>26.73</v>
      </c>
      <c r="K796">
        <v>8</v>
      </c>
      <c r="L796">
        <v>117</v>
      </c>
      <c r="M796">
        <v>13.1</v>
      </c>
      <c r="N796" t="s">
        <v>23</v>
      </c>
      <c r="O796">
        <v>5</v>
      </c>
      <c r="P796">
        <v>213.84</v>
      </c>
      <c r="Q796">
        <v>221.84</v>
      </c>
      <c r="R796" t="s">
        <v>2054</v>
      </c>
    </row>
    <row r="797" spans="1:18" x14ac:dyDescent="0.25">
      <c r="A797" t="s">
        <v>848</v>
      </c>
      <c r="B797" s="1">
        <v>45381</v>
      </c>
      <c r="C797" s="1">
        <v>45391</v>
      </c>
      <c r="D797" t="s">
        <v>82</v>
      </c>
      <c r="E797" t="s">
        <v>79</v>
      </c>
      <c r="F797" t="s">
        <v>80</v>
      </c>
      <c r="G797" t="s">
        <v>35</v>
      </c>
      <c r="H797" t="s">
        <v>27</v>
      </c>
      <c r="I797">
        <v>3</v>
      </c>
      <c r="J797">
        <v>45.6</v>
      </c>
      <c r="K797">
        <v>12</v>
      </c>
      <c r="L797">
        <v>63</v>
      </c>
      <c r="M797">
        <v>55.56</v>
      </c>
      <c r="N797" t="s">
        <v>63</v>
      </c>
      <c r="O797">
        <v>10</v>
      </c>
      <c r="P797">
        <v>136.80000000000001</v>
      </c>
      <c r="Q797">
        <v>148.80000000000001</v>
      </c>
      <c r="R797" t="s">
        <v>2054</v>
      </c>
    </row>
    <row r="798" spans="1:18" x14ac:dyDescent="0.25">
      <c r="A798" t="s">
        <v>849</v>
      </c>
      <c r="B798" s="1">
        <v>45381</v>
      </c>
      <c r="C798" s="1">
        <v>45386</v>
      </c>
      <c r="D798" t="s">
        <v>29</v>
      </c>
      <c r="E798" t="s">
        <v>30</v>
      </c>
      <c r="F798" t="s">
        <v>31</v>
      </c>
      <c r="G798" t="s">
        <v>35</v>
      </c>
      <c r="H798" t="s">
        <v>40</v>
      </c>
      <c r="I798">
        <v>3</v>
      </c>
      <c r="J798">
        <v>83.07</v>
      </c>
      <c r="K798">
        <v>18</v>
      </c>
      <c r="L798">
        <v>206</v>
      </c>
      <c r="M798">
        <v>90.68</v>
      </c>
      <c r="N798" t="s">
        <v>23</v>
      </c>
      <c r="O798">
        <v>5</v>
      </c>
      <c r="P798">
        <v>249.20999999999998</v>
      </c>
      <c r="Q798">
        <v>267.20999999999998</v>
      </c>
      <c r="R798" t="s">
        <v>2054</v>
      </c>
    </row>
    <row r="799" spans="1:18" x14ac:dyDescent="0.25">
      <c r="A799" t="s">
        <v>850</v>
      </c>
      <c r="B799" s="1">
        <v>45381</v>
      </c>
      <c r="C799" s="1">
        <v>45391</v>
      </c>
      <c r="D799" t="s">
        <v>29</v>
      </c>
      <c r="E799" t="s">
        <v>30</v>
      </c>
      <c r="F799" t="s">
        <v>31</v>
      </c>
      <c r="G799" t="s">
        <v>35</v>
      </c>
      <c r="H799" t="s">
        <v>27</v>
      </c>
      <c r="I799">
        <v>2</v>
      </c>
      <c r="J799">
        <v>43.07</v>
      </c>
      <c r="K799">
        <v>12</v>
      </c>
      <c r="L799">
        <v>47</v>
      </c>
      <c r="M799">
        <v>28.46</v>
      </c>
      <c r="N799" t="s">
        <v>63</v>
      </c>
      <c r="O799">
        <v>10</v>
      </c>
      <c r="P799">
        <v>86.14</v>
      </c>
      <c r="Q799">
        <v>98.14</v>
      </c>
      <c r="R799" t="s">
        <v>2055</v>
      </c>
    </row>
    <row r="800" spans="1:18" x14ac:dyDescent="0.25">
      <c r="A800" t="s">
        <v>851</v>
      </c>
      <c r="B800" s="1">
        <v>45381</v>
      </c>
      <c r="C800" s="1">
        <v>45386</v>
      </c>
      <c r="D800" t="s">
        <v>52</v>
      </c>
      <c r="E800" t="s">
        <v>30</v>
      </c>
      <c r="F800" t="s">
        <v>31</v>
      </c>
      <c r="G800" t="s">
        <v>35</v>
      </c>
      <c r="H800" t="s">
        <v>40</v>
      </c>
      <c r="I800">
        <v>4</v>
      </c>
      <c r="J800">
        <v>38.68</v>
      </c>
      <c r="K800">
        <v>18</v>
      </c>
      <c r="L800">
        <v>166</v>
      </c>
      <c r="M800">
        <v>52.89</v>
      </c>
      <c r="N800" t="s">
        <v>23</v>
      </c>
      <c r="O800">
        <v>5</v>
      </c>
      <c r="P800">
        <v>154.72</v>
      </c>
      <c r="Q800">
        <v>172.72</v>
      </c>
      <c r="R800" t="s">
        <v>2054</v>
      </c>
    </row>
    <row r="801" spans="1:18" x14ac:dyDescent="0.25">
      <c r="A801" t="s">
        <v>852</v>
      </c>
      <c r="B801" s="1">
        <v>45382</v>
      </c>
      <c r="C801" s="1">
        <v>45387</v>
      </c>
      <c r="D801" t="s">
        <v>82</v>
      </c>
      <c r="E801" t="s">
        <v>79</v>
      </c>
      <c r="F801" t="s">
        <v>80</v>
      </c>
      <c r="G801" t="s">
        <v>26</v>
      </c>
      <c r="H801" t="s">
        <v>32</v>
      </c>
      <c r="I801">
        <v>4</v>
      </c>
      <c r="J801">
        <v>63.8</v>
      </c>
      <c r="K801">
        <v>12</v>
      </c>
      <c r="L801">
        <v>41</v>
      </c>
      <c r="M801">
        <v>108.84</v>
      </c>
      <c r="N801" t="s">
        <v>23</v>
      </c>
      <c r="O801">
        <v>5</v>
      </c>
      <c r="P801">
        <v>255.2</v>
      </c>
      <c r="Q801">
        <v>267.2</v>
      </c>
      <c r="R801" t="s">
        <v>2055</v>
      </c>
    </row>
    <row r="802" spans="1:18" x14ac:dyDescent="0.25">
      <c r="A802" t="s">
        <v>853</v>
      </c>
      <c r="B802" s="1">
        <v>45382</v>
      </c>
      <c r="C802" s="1">
        <v>45386</v>
      </c>
      <c r="D802" t="s">
        <v>18</v>
      </c>
      <c r="E802" t="s">
        <v>19</v>
      </c>
      <c r="F802" t="s">
        <v>20</v>
      </c>
      <c r="G802" t="s">
        <v>35</v>
      </c>
      <c r="H802" t="s">
        <v>22</v>
      </c>
      <c r="I802">
        <v>14</v>
      </c>
      <c r="J802">
        <v>20.55</v>
      </c>
      <c r="K802">
        <v>8</v>
      </c>
      <c r="L802">
        <v>255</v>
      </c>
      <c r="M802">
        <v>-43.16</v>
      </c>
      <c r="N802" t="s">
        <v>23</v>
      </c>
      <c r="O802">
        <v>4</v>
      </c>
      <c r="P802">
        <v>287.7</v>
      </c>
      <c r="Q802">
        <v>295.7</v>
      </c>
      <c r="R802" t="s">
        <v>2054</v>
      </c>
    </row>
    <row r="803" spans="1:18" x14ac:dyDescent="0.25">
      <c r="A803" t="s">
        <v>854</v>
      </c>
      <c r="B803" s="1">
        <v>45382</v>
      </c>
      <c r="C803" s="1">
        <v>45385</v>
      </c>
      <c r="D803" t="s">
        <v>34</v>
      </c>
      <c r="E803" t="s">
        <v>30</v>
      </c>
      <c r="F803" t="s">
        <v>31</v>
      </c>
      <c r="G803" t="s">
        <v>35</v>
      </c>
      <c r="H803" t="s">
        <v>40</v>
      </c>
      <c r="I803">
        <v>4</v>
      </c>
      <c r="J803">
        <v>50.84</v>
      </c>
      <c r="K803">
        <v>18</v>
      </c>
      <c r="L803">
        <v>110</v>
      </c>
      <c r="M803">
        <v>72.349999999999994</v>
      </c>
      <c r="N803" t="s">
        <v>23</v>
      </c>
      <c r="O803">
        <v>3</v>
      </c>
      <c r="P803">
        <v>203.36</v>
      </c>
      <c r="Q803">
        <v>221.36</v>
      </c>
      <c r="R803" t="s">
        <v>2054</v>
      </c>
    </row>
    <row r="804" spans="1:18" x14ac:dyDescent="0.25">
      <c r="A804" t="s">
        <v>855</v>
      </c>
      <c r="B804" s="1">
        <v>45383</v>
      </c>
      <c r="C804" s="1">
        <v>45384</v>
      </c>
      <c r="D804" t="s">
        <v>18</v>
      </c>
      <c r="E804" t="s">
        <v>19</v>
      </c>
      <c r="F804" t="s">
        <v>20</v>
      </c>
      <c r="G804" t="s">
        <v>35</v>
      </c>
      <c r="H804" t="s">
        <v>40</v>
      </c>
      <c r="I804">
        <v>7</v>
      </c>
      <c r="J804">
        <v>39.71</v>
      </c>
      <c r="K804">
        <v>12</v>
      </c>
      <c r="L804">
        <v>184</v>
      </c>
      <c r="M804">
        <v>16.239999999999998</v>
      </c>
      <c r="N804" t="s">
        <v>23</v>
      </c>
      <c r="O804">
        <v>1</v>
      </c>
      <c r="P804">
        <v>277.97000000000003</v>
      </c>
      <c r="Q804">
        <v>289.97000000000003</v>
      </c>
      <c r="R804" t="s">
        <v>2054</v>
      </c>
    </row>
    <row r="805" spans="1:18" x14ac:dyDescent="0.25">
      <c r="A805" t="s">
        <v>856</v>
      </c>
      <c r="B805" s="1">
        <v>45383</v>
      </c>
      <c r="C805" s="1">
        <v>45385</v>
      </c>
      <c r="D805" t="s">
        <v>25</v>
      </c>
      <c r="E805" t="s">
        <v>19</v>
      </c>
      <c r="F805" t="s">
        <v>20</v>
      </c>
      <c r="G805" t="s">
        <v>21</v>
      </c>
      <c r="H805" t="s">
        <v>27</v>
      </c>
      <c r="I805">
        <v>7</v>
      </c>
      <c r="J805">
        <v>44.63</v>
      </c>
      <c r="K805">
        <v>8</v>
      </c>
      <c r="L805">
        <v>171</v>
      </c>
      <c r="M805">
        <v>20.99</v>
      </c>
      <c r="N805" t="s">
        <v>23</v>
      </c>
      <c r="O805">
        <v>2</v>
      </c>
      <c r="P805">
        <v>312.41000000000003</v>
      </c>
      <c r="Q805">
        <v>320.41000000000003</v>
      </c>
      <c r="R805" t="s">
        <v>2054</v>
      </c>
    </row>
    <row r="806" spans="1:18" x14ac:dyDescent="0.25">
      <c r="A806" t="s">
        <v>857</v>
      </c>
      <c r="B806" s="1">
        <v>45383</v>
      </c>
      <c r="C806" s="1">
        <v>45388</v>
      </c>
      <c r="D806" t="s">
        <v>56</v>
      </c>
      <c r="E806" t="s">
        <v>38</v>
      </c>
      <c r="F806" t="s">
        <v>39</v>
      </c>
      <c r="G806" t="s">
        <v>35</v>
      </c>
      <c r="H806" t="s">
        <v>40</v>
      </c>
      <c r="I806">
        <v>2</v>
      </c>
      <c r="J806">
        <v>492.83</v>
      </c>
      <c r="K806">
        <v>112.5</v>
      </c>
      <c r="L806">
        <v>62</v>
      </c>
      <c r="M806">
        <v>140.88</v>
      </c>
      <c r="N806" t="s">
        <v>23</v>
      </c>
      <c r="O806">
        <v>5</v>
      </c>
      <c r="P806">
        <v>985.66</v>
      </c>
      <c r="Q806">
        <v>1098.1599999999999</v>
      </c>
      <c r="R806" t="s">
        <v>2054</v>
      </c>
    </row>
    <row r="807" spans="1:18" x14ac:dyDescent="0.25">
      <c r="A807" t="s">
        <v>858</v>
      </c>
      <c r="B807" s="1">
        <v>45385</v>
      </c>
      <c r="C807" s="1">
        <v>45394</v>
      </c>
      <c r="D807" t="s">
        <v>52</v>
      </c>
      <c r="E807" t="s">
        <v>30</v>
      </c>
      <c r="F807" t="s">
        <v>31</v>
      </c>
      <c r="G807" t="s">
        <v>35</v>
      </c>
      <c r="H807" t="s">
        <v>22</v>
      </c>
      <c r="I807">
        <v>3</v>
      </c>
      <c r="J807">
        <v>27.01</v>
      </c>
      <c r="K807">
        <v>12</v>
      </c>
      <c r="L807">
        <v>327</v>
      </c>
      <c r="M807">
        <v>-12.15</v>
      </c>
      <c r="N807" t="s">
        <v>63</v>
      </c>
      <c r="O807">
        <v>9</v>
      </c>
      <c r="P807">
        <v>81.03</v>
      </c>
      <c r="Q807">
        <v>93.03</v>
      </c>
      <c r="R807" t="s">
        <v>2054</v>
      </c>
    </row>
    <row r="808" spans="1:18" x14ac:dyDescent="0.25">
      <c r="A808" t="s">
        <v>859</v>
      </c>
      <c r="B808" s="1">
        <v>45385</v>
      </c>
      <c r="C808" s="1">
        <v>45389</v>
      </c>
      <c r="D808" t="s">
        <v>118</v>
      </c>
      <c r="E808" t="s">
        <v>79</v>
      </c>
      <c r="F808" t="s">
        <v>80</v>
      </c>
      <c r="G808" t="s">
        <v>21</v>
      </c>
      <c r="H808" t="s">
        <v>27</v>
      </c>
      <c r="I808">
        <v>4</v>
      </c>
      <c r="J808">
        <v>121.05</v>
      </c>
      <c r="K808">
        <v>12</v>
      </c>
      <c r="L808">
        <v>86</v>
      </c>
      <c r="M808">
        <v>211.89</v>
      </c>
      <c r="N808" t="s">
        <v>23</v>
      </c>
      <c r="O808">
        <v>4</v>
      </c>
      <c r="P808">
        <v>484.2</v>
      </c>
      <c r="Q808">
        <v>496.2</v>
      </c>
      <c r="R808" t="s">
        <v>2054</v>
      </c>
    </row>
    <row r="809" spans="1:18" x14ac:dyDescent="0.25">
      <c r="A809" t="s">
        <v>860</v>
      </c>
      <c r="B809" s="1">
        <v>45385</v>
      </c>
      <c r="C809" s="1">
        <v>45402</v>
      </c>
      <c r="D809" t="s">
        <v>37</v>
      </c>
      <c r="E809" t="s">
        <v>38</v>
      </c>
      <c r="F809" t="s">
        <v>39</v>
      </c>
      <c r="G809" t="s">
        <v>35</v>
      </c>
      <c r="H809" t="s">
        <v>27</v>
      </c>
      <c r="I809">
        <v>1</v>
      </c>
      <c r="J809">
        <v>107.84</v>
      </c>
      <c r="K809">
        <v>75</v>
      </c>
      <c r="L809">
        <v>178</v>
      </c>
      <c r="M809">
        <v>-15.93</v>
      </c>
      <c r="N809" t="s">
        <v>47</v>
      </c>
      <c r="O809">
        <v>17</v>
      </c>
      <c r="P809">
        <v>107.84</v>
      </c>
      <c r="Q809">
        <v>182.84</v>
      </c>
      <c r="R809" t="s">
        <v>2054</v>
      </c>
    </row>
    <row r="810" spans="1:18" x14ac:dyDescent="0.25">
      <c r="A810" t="s">
        <v>861</v>
      </c>
      <c r="B810" s="1">
        <v>45386</v>
      </c>
      <c r="C810" s="1">
        <v>45390</v>
      </c>
      <c r="D810" t="s">
        <v>18</v>
      </c>
      <c r="E810" t="s">
        <v>19</v>
      </c>
      <c r="F810" t="s">
        <v>20</v>
      </c>
      <c r="G810" t="s">
        <v>21</v>
      </c>
      <c r="H810" t="s">
        <v>27</v>
      </c>
      <c r="I810">
        <v>5</v>
      </c>
      <c r="J810">
        <v>25.94</v>
      </c>
      <c r="K810">
        <v>8</v>
      </c>
      <c r="L810">
        <v>78</v>
      </c>
      <c r="M810">
        <v>6.38</v>
      </c>
      <c r="N810" t="s">
        <v>23</v>
      </c>
      <c r="O810">
        <v>4</v>
      </c>
      <c r="P810">
        <v>129.70000000000002</v>
      </c>
      <c r="Q810">
        <v>137.70000000000002</v>
      </c>
      <c r="R810" t="s">
        <v>2054</v>
      </c>
    </row>
    <row r="811" spans="1:18" x14ac:dyDescent="0.25">
      <c r="A811" t="s">
        <v>862</v>
      </c>
      <c r="B811" s="1">
        <v>45386</v>
      </c>
      <c r="C811" s="1">
        <v>45397</v>
      </c>
      <c r="D811" t="s">
        <v>29</v>
      </c>
      <c r="E811" t="s">
        <v>30</v>
      </c>
      <c r="F811" t="s">
        <v>31</v>
      </c>
      <c r="G811" t="s">
        <v>35</v>
      </c>
      <c r="H811" t="s">
        <v>27</v>
      </c>
      <c r="I811">
        <v>4</v>
      </c>
      <c r="J811">
        <v>49.98</v>
      </c>
      <c r="K811">
        <v>12</v>
      </c>
      <c r="L811">
        <v>241</v>
      </c>
      <c r="M811">
        <v>73.97</v>
      </c>
      <c r="N811" t="s">
        <v>47</v>
      </c>
      <c r="O811">
        <v>11</v>
      </c>
      <c r="P811">
        <v>199.92</v>
      </c>
      <c r="Q811">
        <v>211.92</v>
      </c>
      <c r="R811" t="s">
        <v>2054</v>
      </c>
    </row>
    <row r="812" spans="1:18" x14ac:dyDescent="0.25">
      <c r="A812" t="s">
        <v>863</v>
      </c>
      <c r="B812" s="1">
        <v>45386</v>
      </c>
      <c r="C812" s="1">
        <v>45387</v>
      </c>
      <c r="D812" t="s">
        <v>18</v>
      </c>
      <c r="E812" t="s">
        <v>19</v>
      </c>
      <c r="F812" t="s">
        <v>20</v>
      </c>
      <c r="G812" t="s">
        <v>26</v>
      </c>
      <c r="H812" t="s">
        <v>27</v>
      </c>
      <c r="I812">
        <v>9</v>
      </c>
      <c r="J812">
        <v>14.68</v>
      </c>
      <c r="K812">
        <v>8</v>
      </c>
      <c r="L812">
        <v>35</v>
      </c>
      <c r="M812">
        <v>6.57</v>
      </c>
      <c r="N812" t="s">
        <v>23</v>
      </c>
      <c r="O812">
        <v>1</v>
      </c>
      <c r="P812">
        <v>132.12</v>
      </c>
      <c r="Q812">
        <v>140.12</v>
      </c>
      <c r="R812" t="s">
        <v>2055</v>
      </c>
    </row>
    <row r="813" spans="1:18" x14ac:dyDescent="0.25">
      <c r="A813" t="s">
        <v>864</v>
      </c>
      <c r="B813" s="1">
        <v>45386</v>
      </c>
      <c r="C813" s="1">
        <v>45399</v>
      </c>
      <c r="D813" t="s">
        <v>52</v>
      </c>
      <c r="E813" t="s">
        <v>30</v>
      </c>
      <c r="F813" t="s">
        <v>31</v>
      </c>
      <c r="G813" t="s">
        <v>35</v>
      </c>
      <c r="H813" t="s">
        <v>27</v>
      </c>
      <c r="I813">
        <v>2</v>
      </c>
      <c r="J813">
        <v>82.87</v>
      </c>
      <c r="K813">
        <v>12</v>
      </c>
      <c r="L813">
        <v>230</v>
      </c>
      <c r="M813">
        <v>60.3</v>
      </c>
      <c r="N813" t="s">
        <v>47</v>
      </c>
      <c r="O813">
        <v>13</v>
      </c>
      <c r="P813">
        <v>165.74</v>
      </c>
      <c r="Q813">
        <v>177.74</v>
      </c>
      <c r="R813" t="s">
        <v>2054</v>
      </c>
    </row>
    <row r="814" spans="1:18" x14ac:dyDescent="0.25">
      <c r="A814" t="s">
        <v>865</v>
      </c>
      <c r="B814" s="1">
        <v>45386</v>
      </c>
      <c r="C814" s="1">
        <v>45393</v>
      </c>
      <c r="D814" t="s">
        <v>118</v>
      </c>
      <c r="E814" t="s">
        <v>79</v>
      </c>
      <c r="F814" t="s">
        <v>80</v>
      </c>
      <c r="G814" t="s">
        <v>35</v>
      </c>
      <c r="H814" t="s">
        <v>27</v>
      </c>
      <c r="I814">
        <v>2</v>
      </c>
      <c r="J814">
        <v>119.82</v>
      </c>
      <c r="K814">
        <v>12</v>
      </c>
      <c r="L814">
        <v>320</v>
      </c>
      <c r="M814">
        <v>101.84</v>
      </c>
      <c r="N814" t="s">
        <v>63</v>
      </c>
      <c r="O814">
        <v>7</v>
      </c>
      <c r="P814">
        <v>239.64</v>
      </c>
      <c r="Q814">
        <v>251.64</v>
      </c>
      <c r="R814" t="s">
        <v>2054</v>
      </c>
    </row>
    <row r="815" spans="1:18" x14ac:dyDescent="0.25">
      <c r="A815" t="s">
        <v>866</v>
      </c>
      <c r="B815" s="1">
        <v>45387</v>
      </c>
      <c r="C815" s="1">
        <v>45389</v>
      </c>
      <c r="D815" t="s">
        <v>37</v>
      </c>
      <c r="E815" t="s">
        <v>38</v>
      </c>
      <c r="F815" t="s">
        <v>39</v>
      </c>
      <c r="G815" t="s">
        <v>35</v>
      </c>
      <c r="H815" t="s">
        <v>40</v>
      </c>
      <c r="I815">
        <v>1</v>
      </c>
      <c r="J815">
        <v>330.82</v>
      </c>
      <c r="K815">
        <v>112.5</v>
      </c>
      <c r="L815">
        <v>43</v>
      </c>
      <c r="M815">
        <v>9.91</v>
      </c>
      <c r="N815" t="s">
        <v>23</v>
      </c>
      <c r="O815">
        <v>2</v>
      </c>
      <c r="P815">
        <v>330.82</v>
      </c>
      <c r="Q815">
        <v>443.32</v>
      </c>
      <c r="R815" t="s">
        <v>2055</v>
      </c>
    </row>
    <row r="816" spans="1:18" x14ac:dyDescent="0.25">
      <c r="A816" t="s">
        <v>867</v>
      </c>
      <c r="B816" s="1">
        <v>45389</v>
      </c>
      <c r="C816" s="1">
        <v>45391</v>
      </c>
      <c r="D816" t="s">
        <v>56</v>
      </c>
      <c r="E816" t="s">
        <v>38</v>
      </c>
      <c r="F816" t="s">
        <v>39</v>
      </c>
      <c r="G816" t="s">
        <v>21</v>
      </c>
      <c r="H816" t="s">
        <v>22</v>
      </c>
      <c r="I816">
        <v>2</v>
      </c>
      <c r="J816">
        <v>237.22</v>
      </c>
      <c r="K816">
        <v>75</v>
      </c>
      <c r="L816">
        <v>185</v>
      </c>
      <c r="M816">
        <v>57.39</v>
      </c>
      <c r="N816" t="s">
        <v>23</v>
      </c>
      <c r="O816">
        <v>2</v>
      </c>
      <c r="P816">
        <v>474.44</v>
      </c>
      <c r="Q816">
        <v>549.44000000000005</v>
      </c>
      <c r="R816" t="s">
        <v>2054</v>
      </c>
    </row>
    <row r="817" spans="1:18" x14ac:dyDescent="0.25">
      <c r="A817" t="s">
        <v>868</v>
      </c>
      <c r="B817" s="1">
        <v>45389</v>
      </c>
      <c r="C817" s="1">
        <v>45394</v>
      </c>
      <c r="D817" t="s">
        <v>82</v>
      </c>
      <c r="E817" t="s">
        <v>79</v>
      </c>
      <c r="F817" t="s">
        <v>80</v>
      </c>
      <c r="G817" t="s">
        <v>35</v>
      </c>
      <c r="H817" t="s">
        <v>40</v>
      </c>
      <c r="I817">
        <v>5</v>
      </c>
      <c r="J817">
        <v>123.78</v>
      </c>
      <c r="K817">
        <v>18</v>
      </c>
      <c r="L817">
        <v>135</v>
      </c>
      <c r="M817">
        <v>269.5</v>
      </c>
      <c r="N817" t="s">
        <v>23</v>
      </c>
      <c r="O817">
        <v>5</v>
      </c>
      <c r="P817">
        <v>618.9</v>
      </c>
      <c r="Q817">
        <v>636.9</v>
      </c>
      <c r="R817" t="s">
        <v>2054</v>
      </c>
    </row>
    <row r="818" spans="1:18" x14ac:dyDescent="0.25">
      <c r="A818" t="s">
        <v>869</v>
      </c>
      <c r="B818" s="1">
        <v>45390</v>
      </c>
      <c r="C818" s="1">
        <v>45397</v>
      </c>
      <c r="D818" t="s">
        <v>75</v>
      </c>
      <c r="E818" t="s">
        <v>44</v>
      </c>
      <c r="F818" t="s">
        <v>45</v>
      </c>
      <c r="G818" t="s">
        <v>35</v>
      </c>
      <c r="H818" t="s">
        <v>32</v>
      </c>
      <c r="I818">
        <v>2</v>
      </c>
      <c r="J818">
        <v>1133.1099999999999</v>
      </c>
      <c r="K818">
        <v>25</v>
      </c>
      <c r="L818">
        <v>51</v>
      </c>
      <c r="M818">
        <v>780.68</v>
      </c>
      <c r="N818" t="s">
        <v>63</v>
      </c>
      <c r="O818">
        <v>7</v>
      </c>
      <c r="P818">
        <v>2266.2199999999998</v>
      </c>
      <c r="Q818">
        <v>2291.2199999999998</v>
      </c>
      <c r="R818" t="s">
        <v>2054</v>
      </c>
    </row>
    <row r="819" spans="1:18" x14ac:dyDescent="0.25">
      <c r="A819" t="s">
        <v>870</v>
      </c>
      <c r="B819" s="1">
        <v>45391</v>
      </c>
      <c r="C819" s="1">
        <v>45392</v>
      </c>
      <c r="D819" t="s">
        <v>34</v>
      </c>
      <c r="E819" t="s">
        <v>30</v>
      </c>
      <c r="F819" t="s">
        <v>31</v>
      </c>
      <c r="G819" t="s">
        <v>35</v>
      </c>
      <c r="H819" t="s">
        <v>40</v>
      </c>
      <c r="I819">
        <v>5</v>
      </c>
      <c r="J819">
        <v>36.159999999999997</v>
      </c>
      <c r="K819">
        <v>18</v>
      </c>
      <c r="L819">
        <v>239</v>
      </c>
      <c r="M819">
        <v>63.33</v>
      </c>
      <c r="N819" t="s">
        <v>23</v>
      </c>
      <c r="O819">
        <v>1</v>
      </c>
      <c r="P819">
        <v>180.79999999999998</v>
      </c>
      <c r="Q819">
        <v>198.79999999999998</v>
      </c>
      <c r="R819" t="s">
        <v>2054</v>
      </c>
    </row>
    <row r="820" spans="1:18" x14ac:dyDescent="0.25">
      <c r="A820" t="s">
        <v>871</v>
      </c>
      <c r="B820" s="1">
        <v>45392</v>
      </c>
      <c r="C820" s="1">
        <v>45395</v>
      </c>
      <c r="D820" t="s">
        <v>43</v>
      </c>
      <c r="E820" t="s">
        <v>44</v>
      </c>
      <c r="F820" t="s">
        <v>45</v>
      </c>
      <c r="G820" t="s">
        <v>35</v>
      </c>
      <c r="H820" t="s">
        <v>32</v>
      </c>
      <c r="I820">
        <v>3</v>
      </c>
      <c r="J820">
        <v>1024.18</v>
      </c>
      <c r="K820">
        <v>25</v>
      </c>
      <c r="L820">
        <v>338</v>
      </c>
      <c r="M820">
        <v>1062.8900000000001</v>
      </c>
      <c r="N820" t="s">
        <v>23</v>
      </c>
      <c r="O820">
        <v>3</v>
      </c>
      <c r="P820">
        <v>3072.54</v>
      </c>
      <c r="Q820">
        <v>3097.54</v>
      </c>
      <c r="R820" t="s">
        <v>2054</v>
      </c>
    </row>
    <row r="821" spans="1:18" x14ac:dyDescent="0.25">
      <c r="A821" t="s">
        <v>872</v>
      </c>
      <c r="B821" s="1">
        <v>45393</v>
      </c>
      <c r="C821" s="1">
        <v>45396</v>
      </c>
      <c r="D821" t="s">
        <v>18</v>
      </c>
      <c r="E821" t="s">
        <v>19</v>
      </c>
      <c r="F821" t="s">
        <v>20</v>
      </c>
      <c r="G821" t="s">
        <v>26</v>
      </c>
      <c r="H821" t="s">
        <v>27</v>
      </c>
      <c r="I821">
        <v>6</v>
      </c>
      <c r="J821">
        <v>18.97</v>
      </c>
      <c r="K821">
        <v>8</v>
      </c>
      <c r="L821">
        <v>78</v>
      </c>
      <c r="M821">
        <v>-17.07</v>
      </c>
      <c r="N821" t="s">
        <v>23</v>
      </c>
      <c r="O821">
        <v>3</v>
      </c>
      <c r="P821">
        <v>113.82</v>
      </c>
      <c r="Q821">
        <v>121.82</v>
      </c>
      <c r="R821" t="s">
        <v>2054</v>
      </c>
    </row>
    <row r="822" spans="1:18" x14ac:dyDescent="0.25">
      <c r="A822" t="s">
        <v>873</v>
      </c>
      <c r="B822" s="1">
        <v>45393</v>
      </c>
      <c r="C822" s="1">
        <v>45409</v>
      </c>
      <c r="D822" t="s">
        <v>75</v>
      </c>
      <c r="E822" t="s">
        <v>44</v>
      </c>
      <c r="F822" t="s">
        <v>45</v>
      </c>
      <c r="G822" t="s">
        <v>35</v>
      </c>
      <c r="H822" t="s">
        <v>40</v>
      </c>
      <c r="I822">
        <v>1</v>
      </c>
      <c r="J822">
        <v>1017.41</v>
      </c>
      <c r="K822">
        <v>37.5</v>
      </c>
      <c r="L822">
        <v>308</v>
      </c>
      <c r="M822">
        <v>337.34</v>
      </c>
      <c r="N822" t="s">
        <v>47</v>
      </c>
      <c r="O822">
        <v>16</v>
      </c>
      <c r="P822">
        <v>1017.41</v>
      </c>
      <c r="Q822">
        <v>1054.9099999999999</v>
      </c>
      <c r="R822" t="s">
        <v>2054</v>
      </c>
    </row>
    <row r="823" spans="1:18" x14ac:dyDescent="0.25">
      <c r="A823" t="s">
        <v>874</v>
      </c>
      <c r="B823" s="1">
        <v>45393</v>
      </c>
      <c r="C823" s="1">
        <v>45408</v>
      </c>
      <c r="D823" t="s">
        <v>72</v>
      </c>
      <c r="E823" t="s">
        <v>44</v>
      </c>
      <c r="F823" t="s">
        <v>45</v>
      </c>
      <c r="G823" t="s">
        <v>35</v>
      </c>
      <c r="H823" t="s">
        <v>40</v>
      </c>
      <c r="I823">
        <v>2</v>
      </c>
      <c r="J823">
        <v>299.66000000000003</v>
      </c>
      <c r="K823">
        <v>37.5</v>
      </c>
      <c r="L823">
        <v>114</v>
      </c>
      <c r="M823">
        <v>191.02</v>
      </c>
      <c r="N823" t="s">
        <v>47</v>
      </c>
      <c r="O823">
        <v>15</v>
      </c>
      <c r="P823">
        <v>599.32000000000005</v>
      </c>
      <c r="Q823">
        <v>636.82000000000005</v>
      </c>
      <c r="R823" t="s">
        <v>2054</v>
      </c>
    </row>
    <row r="824" spans="1:18" x14ac:dyDescent="0.25">
      <c r="A824" t="s">
        <v>875</v>
      </c>
      <c r="B824" s="1">
        <v>45393</v>
      </c>
      <c r="C824" s="1">
        <v>45396</v>
      </c>
      <c r="D824" t="s">
        <v>29</v>
      </c>
      <c r="E824" t="s">
        <v>30</v>
      </c>
      <c r="F824" t="s">
        <v>31</v>
      </c>
      <c r="G824" t="s">
        <v>21</v>
      </c>
      <c r="H824" t="s">
        <v>40</v>
      </c>
      <c r="I824">
        <v>1</v>
      </c>
      <c r="J824">
        <v>142.63999999999999</v>
      </c>
      <c r="K824">
        <v>18</v>
      </c>
      <c r="L824">
        <v>145</v>
      </c>
      <c r="M824">
        <v>48.06</v>
      </c>
      <c r="N824" t="s">
        <v>23</v>
      </c>
      <c r="O824">
        <v>3</v>
      </c>
      <c r="P824">
        <v>142.63999999999999</v>
      </c>
      <c r="Q824">
        <v>160.63999999999999</v>
      </c>
      <c r="R824" t="s">
        <v>2054</v>
      </c>
    </row>
    <row r="825" spans="1:18" x14ac:dyDescent="0.25">
      <c r="A825" t="s">
        <v>876</v>
      </c>
      <c r="B825" s="1">
        <v>45394</v>
      </c>
      <c r="C825" s="1">
        <v>45396</v>
      </c>
      <c r="D825" t="s">
        <v>43</v>
      </c>
      <c r="E825" t="s">
        <v>44</v>
      </c>
      <c r="F825" t="s">
        <v>45</v>
      </c>
      <c r="G825" t="s">
        <v>26</v>
      </c>
      <c r="H825" t="s">
        <v>22</v>
      </c>
      <c r="I825">
        <v>1</v>
      </c>
      <c r="J825">
        <v>838</v>
      </c>
      <c r="K825">
        <v>25</v>
      </c>
      <c r="L825">
        <v>69</v>
      </c>
      <c r="M825">
        <v>280.8</v>
      </c>
      <c r="N825" t="s">
        <v>23</v>
      </c>
      <c r="O825">
        <v>2</v>
      </c>
      <c r="P825">
        <v>838</v>
      </c>
      <c r="Q825">
        <v>863</v>
      </c>
      <c r="R825" t="s">
        <v>2054</v>
      </c>
    </row>
    <row r="826" spans="1:18" x14ac:dyDescent="0.25">
      <c r="A826" t="s">
        <v>877</v>
      </c>
      <c r="B826" s="1">
        <v>45395</v>
      </c>
      <c r="C826" s="1">
        <v>45399</v>
      </c>
      <c r="D826" t="s">
        <v>72</v>
      </c>
      <c r="E826" t="s">
        <v>44</v>
      </c>
      <c r="F826" t="s">
        <v>45</v>
      </c>
      <c r="G826" t="s">
        <v>35</v>
      </c>
      <c r="H826" t="s">
        <v>40</v>
      </c>
      <c r="I826">
        <v>3</v>
      </c>
      <c r="J826">
        <v>283.8</v>
      </c>
      <c r="K826">
        <v>37.5</v>
      </c>
      <c r="L826">
        <v>80</v>
      </c>
      <c r="M826">
        <v>279.24</v>
      </c>
      <c r="N826" t="s">
        <v>23</v>
      </c>
      <c r="O826">
        <v>4</v>
      </c>
      <c r="P826">
        <v>851.40000000000009</v>
      </c>
      <c r="Q826">
        <v>888.90000000000009</v>
      </c>
      <c r="R826" t="s">
        <v>2054</v>
      </c>
    </row>
    <row r="827" spans="1:18" x14ac:dyDescent="0.25">
      <c r="A827" t="s">
        <v>878</v>
      </c>
      <c r="B827" s="1">
        <v>45396</v>
      </c>
      <c r="C827" s="1">
        <v>45397</v>
      </c>
      <c r="D827" t="s">
        <v>52</v>
      </c>
      <c r="E827" t="s">
        <v>30</v>
      </c>
      <c r="F827" t="s">
        <v>31</v>
      </c>
      <c r="G827" t="s">
        <v>26</v>
      </c>
      <c r="H827" t="s">
        <v>22</v>
      </c>
      <c r="I827">
        <v>1</v>
      </c>
      <c r="J827">
        <v>99.98</v>
      </c>
      <c r="K827">
        <v>12</v>
      </c>
      <c r="L827">
        <v>269</v>
      </c>
      <c r="M827">
        <v>33.99</v>
      </c>
      <c r="N827" t="s">
        <v>23</v>
      </c>
      <c r="O827">
        <v>1</v>
      </c>
      <c r="P827">
        <v>99.98</v>
      </c>
      <c r="Q827">
        <v>111.98</v>
      </c>
      <c r="R827" t="s">
        <v>2054</v>
      </c>
    </row>
    <row r="828" spans="1:18" x14ac:dyDescent="0.25">
      <c r="A828" t="s">
        <v>879</v>
      </c>
      <c r="B828" s="1">
        <v>45396</v>
      </c>
      <c r="C828" s="1">
        <v>45400</v>
      </c>
      <c r="D828" t="s">
        <v>72</v>
      </c>
      <c r="E828" t="s">
        <v>44</v>
      </c>
      <c r="F828" t="s">
        <v>45</v>
      </c>
      <c r="G828" t="s">
        <v>21</v>
      </c>
      <c r="H828" t="s">
        <v>32</v>
      </c>
      <c r="I828">
        <v>2</v>
      </c>
      <c r="J828">
        <v>927.1</v>
      </c>
      <c r="K828">
        <v>25</v>
      </c>
      <c r="L828">
        <v>325</v>
      </c>
      <c r="M828">
        <v>636.47</v>
      </c>
      <c r="N828" t="s">
        <v>23</v>
      </c>
      <c r="O828">
        <v>4</v>
      </c>
      <c r="P828">
        <v>1854.2</v>
      </c>
      <c r="Q828">
        <v>1879.2</v>
      </c>
      <c r="R828" t="s">
        <v>2054</v>
      </c>
    </row>
    <row r="829" spans="1:18" x14ac:dyDescent="0.25">
      <c r="A829" t="s">
        <v>880</v>
      </c>
      <c r="B829" s="1">
        <v>45397</v>
      </c>
      <c r="C829" s="1">
        <v>45402</v>
      </c>
      <c r="D829" t="s">
        <v>43</v>
      </c>
      <c r="E829" t="s">
        <v>44</v>
      </c>
      <c r="F829" t="s">
        <v>45</v>
      </c>
      <c r="G829" t="s">
        <v>21</v>
      </c>
      <c r="H829" t="s">
        <v>32</v>
      </c>
      <c r="I829">
        <v>1</v>
      </c>
      <c r="J829">
        <v>955.79</v>
      </c>
      <c r="K829">
        <v>25</v>
      </c>
      <c r="L829">
        <v>41</v>
      </c>
      <c r="M829">
        <v>322.02999999999997</v>
      </c>
      <c r="N829" t="s">
        <v>23</v>
      </c>
      <c r="O829">
        <v>5</v>
      </c>
      <c r="P829">
        <v>955.79</v>
      </c>
      <c r="Q829">
        <v>980.79</v>
      </c>
      <c r="R829" t="s">
        <v>2055</v>
      </c>
    </row>
    <row r="830" spans="1:18" x14ac:dyDescent="0.25">
      <c r="A830" t="s">
        <v>881</v>
      </c>
      <c r="B830" s="1">
        <v>45397</v>
      </c>
      <c r="C830" s="1">
        <v>45402</v>
      </c>
      <c r="D830" t="s">
        <v>82</v>
      </c>
      <c r="E830" t="s">
        <v>79</v>
      </c>
      <c r="F830" t="s">
        <v>80</v>
      </c>
      <c r="G830" t="s">
        <v>26</v>
      </c>
      <c r="H830" t="s">
        <v>27</v>
      </c>
      <c r="I830">
        <v>4</v>
      </c>
      <c r="J830">
        <v>51.95</v>
      </c>
      <c r="K830">
        <v>12</v>
      </c>
      <c r="L830">
        <v>337</v>
      </c>
      <c r="M830">
        <v>87.51</v>
      </c>
      <c r="N830" t="s">
        <v>23</v>
      </c>
      <c r="O830">
        <v>5</v>
      </c>
      <c r="P830">
        <v>207.8</v>
      </c>
      <c r="Q830">
        <v>219.8</v>
      </c>
      <c r="R830" t="s">
        <v>2054</v>
      </c>
    </row>
    <row r="831" spans="1:18" x14ac:dyDescent="0.25">
      <c r="A831" t="s">
        <v>882</v>
      </c>
      <c r="B831" s="1">
        <v>45397</v>
      </c>
      <c r="C831" s="1">
        <v>45409</v>
      </c>
      <c r="D831" t="s">
        <v>75</v>
      </c>
      <c r="E831" t="s">
        <v>44</v>
      </c>
      <c r="F831" t="s">
        <v>45</v>
      </c>
      <c r="G831" t="s">
        <v>35</v>
      </c>
      <c r="H831" t="s">
        <v>27</v>
      </c>
      <c r="I831">
        <v>2</v>
      </c>
      <c r="J831">
        <v>1075.1199999999999</v>
      </c>
      <c r="K831">
        <v>25</v>
      </c>
      <c r="L831">
        <v>152</v>
      </c>
      <c r="M831">
        <v>740.08</v>
      </c>
      <c r="N831" t="s">
        <v>47</v>
      </c>
      <c r="O831">
        <v>12</v>
      </c>
      <c r="P831">
        <v>2150.2399999999998</v>
      </c>
      <c r="Q831">
        <v>2175.2399999999998</v>
      </c>
      <c r="R831" t="s">
        <v>2054</v>
      </c>
    </row>
    <row r="832" spans="1:18" x14ac:dyDescent="0.25">
      <c r="A832" t="s">
        <v>883</v>
      </c>
      <c r="B832" s="1">
        <v>45399</v>
      </c>
      <c r="C832" s="1">
        <v>45404</v>
      </c>
      <c r="D832" t="s">
        <v>37</v>
      </c>
      <c r="E832" t="s">
        <v>38</v>
      </c>
      <c r="F832" t="s">
        <v>39</v>
      </c>
      <c r="G832" t="s">
        <v>21</v>
      </c>
      <c r="H832" t="s">
        <v>22</v>
      </c>
      <c r="I832">
        <v>1</v>
      </c>
      <c r="J832">
        <v>104.66</v>
      </c>
      <c r="K832">
        <v>75</v>
      </c>
      <c r="L832">
        <v>132</v>
      </c>
      <c r="M832">
        <v>-16.57</v>
      </c>
      <c r="N832" t="s">
        <v>23</v>
      </c>
      <c r="O832">
        <v>5</v>
      </c>
      <c r="P832">
        <v>104.66</v>
      </c>
      <c r="Q832">
        <v>179.66</v>
      </c>
      <c r="R832" t="s">
        <v>2054</v>
      </c>
    </row>
    <row r="833" spans="1:18" x14ac:dyDescent="0.25">
      <c r="A833" t="s">
        <v>884</v>
      </c>
      <c r="B833" s="1">
        <v>45400</v>
      </c>
      <c r="C833" s="1">
        <v>45405</v>
      </c>
      <c r="D833" t="s">
        <v>52</v>
      </c>
      <c r="E833" t="s">
        <v>30</v>
      </c>
      <c r="F833" t="s">
        <v>31</v>
      </c>
      <c r="G833" t="s">
        <v>35</v>
      </c>
      <c r="H833" t="s">
        <v>40</v>
      </c>
      <c r="I833">
        <v>5</v>
      </c>
      <c r="J833">
        <v>35.14</v>
      </c>
      <c r="K833">
        <v>18</v>
      </c>
      <c r="L833">
        <v>329</v>
      </c>
      <c r="M833">
        <v>61.28</v>
      </c>
      <c r="N833" t="s">
        <v>23</v>
      </c>
      <c r="O833">
        <v>5</v>
      </c>
      <c r="P833">
        <v>175.7</v>
      </c>
      <c r="Q833">
        <v>193.7</v>
      </c>
      <c r="R833" t="s">
        <v>2054</v>
      </c>
    </row>
    <row r="834" spans="1:18" x14ac:dyDescent="0.25">
      <c r="A834" t="s">
        <v>885</v>
      </c>
      <c r="B834" s="1">
        <v>45400</v>
      </c>
      <c r="C834" s="1">
        <v>45402</v>
      </c>
      <c r="D834" t="s">
        <v>52</v>
      </c>
      <c r="E834" t="s">
        <v>30</v>
      </c>
      <c r="F834" t="s">
        <v>31</v>
      </c>
      <c r="G834" t="s">
        <v>35</v>
      </c>
      <c r="H834" t="s">
        <v>40</v>
      </c>
      <c r="I834">
        <v>5</v>
      </c>
      <c r="J834">
        <v>68.430000000000007</v>
      </c>
      <c r="K834">
        <v>18</v>
      </c>
      <c r="L834">
        <v>236</v>
      </c>
      <c r="M834">
        <v>127.86</v>
      </c>
      <c r="N834" t="s">
        <v>23</v>
      </c>
      <c r="O834">
        <v>2</v>
      </c>
      <c r="P834">
        <v>342.15000000000003</v>
      </c>
      <c r="Q834">
        <v>360.15000000000003</v>
      </c>
      <c r="R834" t="s">
        <v>2054</v>
      </c>
    </row>
    <row r="835" spans="1:18" x14ac:dyDescent="0.25">
      <c r="A835" t="s">
        <v>886</v>
      </c>
      <c r="B835" s="1">
        <v>45400</v>
      </c>
      <c r="C835" s="1">
        <v>45405</v>
      </c>
      <c r="D835" t="s">
        <v>50</v>
      </c>
      <c r="E835" t="s">
        <v>44</v>
      </c>
      <c r="F835" t="s">
        <v>45</v>
      </c>
      <c r="G835" t="s">
        <v>35</v>
      </c>
      <c r="H835" t="s">
        <v>27</v>
      </c>
      <c r="I835">
        <v>2</v>
      </c>
      <c r="J835">
        <v>1142.6099999999999</v>
      </c>
      <c r="K835">
        <v>25</v>
      </c>
      <c r="L835">
        <v>198</v>
      </c>
      <c r="M835">
        <v>787.33</v>
      </c>
      <c r="N835" t="s">
        <v>23</v>
      </c>
      <c r="O835">
        <v>5</v>
      </c>
      <c r="P835">
        <v>2285.2199999999998</v>
      </c>
      <c r="Q835">
        <v>2310.2199999999998</v>
      </c>
      <c r="R835" t="s">
        <v>2054</v>
      </c>
    </row>
    <row r="836" spans="1:18" x14ac:dyDescent="0.25">
      <c r="A836" t="s">
        <v>887</v>
      </c>
      <c r="B836" s="1">
        <v>45401</v>
      </c>
      <c r="C836" s="1">
        <v>45405</v>
      </c>
      <c r="D836" t="s">
        <v>18</v>
      </c>
      <c r="E836" t="s">
        <v>19</v>
      </c>
      <c r="F836" t="s">
        <v>20</v>
      </c>
      <c r="G836" t="s">
        <v>21</v>
      </c>
      <c r="H836" t="s">
        <v>40</v>
      </c>
      <c r="I836">
        <v>8</v>
      </c>
      <c r="J836">
        <v>49.11</v>
      </c>
      <c r="K836">
        <v>12</v>
      </c>
      <c r="L836">
        <v>98</v>
      </c>
      <c r="M836">
        <v>25.43</v>
      </c>
      <c r="N836" t="s">
        <v>23</v>
      </c>
      <c r="O836">
        <v>4</v>
      </c>
      <c r="P836">
        <v>392.88</v>
      </c>
      <c r="Q836">
        <v>404.88</v>
      </c>
      <c r="R836" t="s">
        <v>2054</v>
      </c>
    </row>
    <row r="837" spans="1:18" x14ac:dyDescent="0.25">
      <c r="A837" t="s">
        <v>888</v>
      </c>
      <c r="B837" s="1">
        <v>45401</v>
      </c>
      <c r="C837" s="1">
        <v>45408</v>
      </c>
      <c r="D837" t="s">
        <v>25</v>
      </c>
      <c r="E837" t="s">
        <v>19</v>
      </c>
      <c r="F837" t="s">
        <v>20</v>
      </c>
      <c r="G837" t="s">
        <v>35</v>
      </c>
      <c r="H837" t="s">
        <v>22</v>
      </c>
      <c r="I837">
        <v>5</v>
      </c>
      <c r="J837">
        <v>23.62</v>
      </c>
      <c r="K837">
        <v>8</v>
      </c>
      <c r="L837">
        <v>4</v>
      </c>
      <c r="M837">
        <v>5.45</v>
      </c>
      <c r="N837" t="s">
        <v>63</v>
      </c>
      <c r="O837">
        <v>7</v>
      </c>
      <c r="P837">
        <v>118.10000000000001</v>
      </c>
      <c r="Q837">
        <v>126.10000000000001</v>
      </c>
      <c r="R837" t="s">
        <v>2056</v>
      </c>
    </row>
    <row r="838" spans="1:18" x14ac:dyDescent="0.25">
      <c r="A838" t="s">
        <v>889</v>
      </c>
      <c r="B838" s="1">
        <v>45402</v>
      </c>
      <c r="C838" s="1">
        <v>45405</v>
      </c>
      <c r="D838" t="s">
        <v>50</v>
      </c>
      <c r="E838" t="s">
        <v>44</v>
      </c>
      <c r="F838" t="s">
        <v>45</v>
      </c>
      <c r="G838" t="s">
        <v>35</v>
      </c>
      <c r="H838" t="s">
        <v>40</v>
      </c>
      <c r="I838">
        <v>2</v>
      </c>
      <c r="J838">
        <v>970.48</v>
      </c>
      <c r="K838">
        <v>37.5</v>
      </c>
      <c r="L838">
        <v>129</v>
      </c>
      <c r="M838">
        <v>660.59</v>
      </c>
      <c r="N838" t="s">
        <v>23</v>
      </c>
      <c r="O838">
        <v>3</v>
      </c>
      <c r="P838">
        <v>1940.96</v>
      </c>
      <c r="Q838">
        <v>1978.46</v>
      </c>
      <c r="R838" t="s">
        <v>2054</v>
      </c>
    </row>
    <row r="839" spans="1:18" x14ac:dyDescent="0.25">
      <c r="A839" t="s">
        <v>890</v>
      </c>
      <c r="B839" s="1">
        <v>45402</v>
      </c>
      <c r="C839" s="1">
        <v>45407</v>
      </c>
      <c r="D839" t="s">
        <v>37</v>
      </c>
      <c r="E839" t="s">
        <v>38</v>
      </c>
      <c r="F839" t="s">
        <v>39</v>
      </c>
      <c r="G839" t="s">
        <v>26</v>
      </c>
      <c r="H839" t="s">
        <v>32</v>
      </c>
      <c r="I839">
        <v>1</v>
      </c>
      <c r="J839">
        <v>307.06</v>
      </c>
      <c r="K839">
        <v>75</v>
      </c>
      <c r="L839">
        <v>267</v>
      </c>
      <c r="M839">
        <v>23.91</v>
      </c>
      <c r="N839" t="s">
        <v>23</v>
      </c>
      <c r="O839">
        <v>5</v>
      </c>
      <c r="P839">
        <v>307.06</v>
      </c>
      <c r="Q839">
        <v>382.06</v>
      </c>
      <c r="R839" t="s">
        <v>2054</v>
      </c>
    </row>
    <row r="840" spans="1:18" x14ac:dyDescent="0.25">
      <c r="A840" t="s">
        <v>891</v>
      </c>
      <c r="B840" s="1">
        <v>45402</v>
      </c>
      <c r="C840" s="1">
        <v>45403</v>
      </c>
      <c r="D840" t="s">
        <v>50</v>
      </c>
      <c r="E840" t="s">
        <v>44</v>
      </c>
      <c r="F840" t="s">
        <v>45</v>
      </c>
      <c r="G840" t="s">
        <v>35</v>
      </c>
      <c r="H840" t="s">
        <v>40</v>
      </c>
      <c r="I840">
        <v>2</v>
      </c>
      <c r="J840">
        <v>1033.27</v>
      </c>
      <c r="K840">
        <v>37.5</v>
      </c>
      <c r="L840">
        <v>265</v>
      </c>
      <c r="M840">
        <v>704.54</v>
      </c>
      <c r="N840" t="s">
        <v>23</v>
      </c>
      <c r="O840">
        <v>1</v>
      </c>
      <c r="P840">
        <v>2066.54</v>
      </c>
      <c r="Q840">
        <v>2104.04</v>
      </c>
      <c r="R840" t="s">
        <v>2054</v>
      </c>
    </row>
    <row r="841" spans="1:18" x14ac:dyDescent="0.25">
      <c r="A841" t="s">
        <v>892</v>
      </c>
      <c r="B841" s="1">
        <v>45403</v>
      </c>
      <c r="C841" s="1">
        <v>45405</v>
      </c>
      <c r="D841" t="s">
        <v>18</v>
      </c>
      <c r="E841" t="s">
        <v>19</v>
      </c>
      <c r="F841" t="s">
        <v>20</v>
      </c>
      <c r="G841" t="s">
        <v>35</v>
      </c>
      <c r="H841" t="s">
        <v>32</v>
      </c>
      <c r="I841">
        <v>6</v>
      </c>
      <c r="J841">
        <v>49.04</v>
      </c>
      <c r="K841">
        <v>8</v>
      </c>
      <c r="L841">
        <v>329</v>
      </c>
      <c r="M841">
        <v>19.54</v>
      </c>
      <c r="N841" t="s">
        <v>23</v>
      </c>
      <c r="O841">
        <v>2</v>
      </c>
      <c r="P841">
        <v>294.24</v>
      </c>
      <c r="Q841">
        <v>302.24</v>
      </c>
      <c r="R841" t="s">
        <v>2054</v>
      </c>
    </row>
    <row r="842" spans="1:18" x14ac:dyDescent="0.25">
      <c r="A842" t="s">
        <v>893</v>
      </c>
      <c r="B842" s="1">
        <v>45403</v>
      </c>
      <c r="C842" s="1">
        <v>45406</v>
      </c>
      <c r="D842" t="s">
        <v>52</v>
      </c>
      <c r="E842" t="s">
        <v>30</v>
      </c>
      <c r="F842" t="s">
        <v>31</v>
      </c>
      <c r="G842" t="s">
        <v>35</v>
      </c>
      <c r="H842" t="s">
        <v>32</v>
      </c>
      <c r="I842">
        <v>1</v>
      </c>
      <c r="J842">
        <v>34.51</v>
      </c>
      <c r="K842">
        <v>12</v>
      </c>
      <c r="L842">
        <v>371</v>
      </c>
      <c r="M842">
        <v>7.8</v>
      </c>
      <c r="N842" t="s">
        <v>23</v>
      </c>
      <c r="O842">
        <v>3</v>
      </c>
      <c r="P842">
        <v>34.51</v>
      </c>
      <c r="Q842">
        <v>46.51</v>
      </c>
      <c r="R842" t="s">
        <v>2054</v>
      </c>
    </row>
    <row r="843" spans="1:18" x14ac:dyDescent="0.25">
      <c r="A843" t="s">
        <v>894</v>
      </c>
      <c r="B843" s="1">
        <v>45404</v>
      </c>
      <c r="C843" s="1">
        <v>45406</v>
      </c>
      <c r="D843" t="s">
        <v>118</v>
      </c>
      <c r="E843" t="s">
        <v>79</v>
      </c>
      <c r="F843" t="s">
        <v>80</v>
      </c>
      <c r="G843" t="s">
        <v>26</v>
      </c>
      <c r="H843" t="s">
        <v>27</v>
      </c>
      <c r="I843">
        <v>5</v>
      </c>
      <c r="J843">
        <v>52.94</v>
      </c>
      <c r="K843">
        <v>12</v>
      </c>
      <c r="L843">
        <v>284</v>
      </c>
      <c r="M843">
        <v>113.12</v>
      </c>
      <c r="N843" t="s">
        <v>23</v>
      </c>
      <c r="O843">
        <v>2</v>
      </c>
      <c r="P843">
        <v>264.7</v>
      </c>
      <c r="Q843">
        <v>276.7</v>
      </c>
      <c r="R843" t="s">
        <v>2054</v>
      </c>
    </row>
    <row r="844" spans="1:18" x14ac:dyDescent="0.25">
      <c r="A844" t="s">
        <v>895</v>
      </c>
      <c r="B844" s="1">
        <v>45404</v>
      </c>
      <c r="C844" s="1">
        <v>45405</v>
      </c>
      <c r="D844" t="s">
        <v>54</v>
      </c>
      <c r="E844" t="s">
        <v>38</v>
      </c>
      <c r="F844" t="s">
        <v>39</v>
      </c>
      <c r="G844" t="s">
        <v>26</v>
      </c>
      <c r="H844" t="s">
        <v>22</v>
      </c>
      <c r="I844">
        <v>2</v>
      </c>
      <c r="J844">
        <v>364.05</v>
      </c>
      <c r="K844">
        <v>75</v>
      </c>
      <c r="L844">
        <v>287</v>
      </c>
      <c r="M844">
        <v>108.12</v>
      </c>
      <c r="N844" t="s">
        <v>23</v>
      </c>
      <c r="O844">
        <v>1</v>
      </c>
      <c r="P844">
        <v>728.1</v>
      </c>
      <c r="Q844">
        <v>803.1</v>
      </c>
      <c r="R844" t="s">
        <v>2054</v>
      </c>
    </row>
    <row r="845" spans="1:18" x14ac:dyDescent="0.25">
      <c r="A845" t="s">
        <v>896</v>
      </c>
      <c r="B845" s="1">
        <v>45407</v>
      </c>
      <c r="C845" s="1">
        <v>45412</v>
      </c>
      <c r="D845" t="s">
        <v>43</v>
      </c>
      <c r="E845" t="s">
        <v>44</v>
      </c>
      <c r="F845" t="s">
        <v>45</v>
      </c>
      <c r="G845" t="s">
        <v>35</v>
      </c>
      <c r="H845" t="s">
        <v>40</v>
      </c>
      <c r="I845">
        <v>3</v>
      </c>
      <c r="J845">
        <v>947.74</v>
      </c>
      <c r="K845">
        <v>37.5</v>
      </c>
      <c r="L845">
        <v>396</v>
      </c>
      <c r="M845">
        <v>976.38</v>
      </c>
      <c r="N845" t="s">
        <v>23</v>
      </c>
      <c r="O845">
        <v>5</v>
      </c>
      <c r="P845">
        <v>2843.2200000000003</v>
      </c>
      <c r="Q845">
        <v>2880.7200000000003</v>
      </c>
      <c r="R845" t="s">
        <v>2054</v>
      </c>
    </row>
    <row r="846" spans="1:18" x14ac:dyDescent="0.25">
      <c r="A846" t="s">
        <v>897</v>
      </c>
      <c r="B846" s="1">
        <v>45408</v>
      </c>
      <c r="C846" s="1">
        <v>45412</v>
      </c>
      <c r="D846" t="s">
        <v>25</v>
      </c>
      <c r="E846" t="s">
        <v>19</v>
      </c>
      <c r="F846" t="s">
        <v>20</v>
      </c>
      <c r="G846" t="s">
        <v>35</v>
      </c>
      <c r="H846" t="s">
        <v>40</v>
      </c>
      <c r="I846">
        <v>14</v>
      </c>
      <c r="J846">
        <v>14.08</v>
      </c>
      <c r="K846">
        <v>12</v>
      </c>
      <c r="L846">
        <v>135</v>
      </c>
      <c r="M846">
        <v>9.77</v>
      </c>
      <c r="N846" t="s">
        <v>23</v>
      </c>
      <c r="O846">
        <v>4</v>
      </c>
      <c r="P846">
        <v>197.12</v>
      </c>
      <c r="Q846">
        <v>209.12</v>
      </c>
      <c r="R846" t="s">
        <v>2054</v>
      </c>
    </row>
    <row r="847" spans="1:18" x14ac:dyDescent="0.25">
      <c r="A847" t="s">
        <v>898</v>
      </c>
      <c r="B847" s="1">
        <v>45408</v>
      </c>
      <c r="C847" s="1">
        <v>45409</v>
      </c>
      <c r="D847" t="s">
        <v>25</v>
      </c>
      <c r="E847" t="s">
        <v>19</v>
      </c>
      <c r="F847" t="s">
        <v>20</v>
      </c>
      <c r="G847" t="s">
        <v>35</v>
      </c>
      <c r="H847" t="s">
        <v>22</v>
      </c>
      <c r="I847">
        <v>7</v>
      </c>
      <c r="J847">
        <v>41.68</v>
      </c>
      <c r="K847">
        <v>8</v>
      </c>
      <c r="L847">
        <v>1</v>
      </c>
      <c r="M847">
        <v>19.34</v>
      </c>
      <c r="N847" t="s">
        <v>23</v>
      </c>
      <c r="O847">
        <v>1</v>
      </c>
      <c r="P847">
        <v>291.76</v>
      </c>
      <c r="Q847">
        <v>299.76</v>
      </c>
      <c r="R847" t="s">
        <v>2056</v>
      </c>
    </row>
    <row r="848" spans="1:18" x14ac:dyDescent="0.25">
      <c r="A848" t="s">
        <v>899</v>
      </c>
      <c r="B848" s="1">
        <v>45409</v>
      </c>
      <c r="C848" s="1">
        <v>45413</v>
      </c>
      <c r="D848" t="s">
        <v>34</v>
      </c>
      <c r="E848" t="s">
        <v>30</v>
      </c>
      <c r="F848" t="s">
        <v>31</v>
      </c>
      <c r="G848" t="s">
        <v>26</v>
      </c>
      <c r="H848" t="s">
        <v>22</v>
      </c>
      <c r="I848">
        <v>3</v>
      </c>
      <c r="J848">
        <v>88.61</v>
      </c>
      <c r="K848">
        <v>12</v>
      </c>
      <c r="L848">
        <v>323</v>
      </c>
      <c r="M848">
        <v>100.33</v>
      </c>
      <c r="N848" t="s">
        <v>23</v>
      </c>
      <c r="O848">
        <v>4</v>
      </c>
      <c r="P848">
        <v>265.83</v>
      </c>
      <c r="Q848">
        <v>277.83</v>
      </c>
      <c r="R848" t="s">
        <v>2054</v>
      </c>
    </row>
    <row r="849" spans="1:18" x14ac:dyDescent="0.25">
      <c r="A849" t="s">
        <v>900</v>
      </c>
      <c r="B849" s="1">
        <v>45409</v>
      </c>
      <c r="C849" s="1">
        <v>45410</v>
      </c>
      <c r="D849" t="s">
        <v>118</v>
      </c>
      <c r="E849" t="s">
        <v>79</v>
      </c>
      <c r="F849" t="s">
        <v>80</v>
      </c>
      <c r="G849" t="s">
        <v>26</v>
      </c>
      <c r="H849" t="s">
        <v>32</v>
      </c>
      <c r="I849">
        <v>1</v>
      </c>
      <c r="J849">
        <v>71.7</v>
      </c>
      <c r="K849">
        <v>12</v>
      </c>
      <c r="L849">
        <v>179</v>
      </c>
      <c r="M849">
        <v>26.27</v>
      </c>
      <c r="N849" t="s">
        <v>23</v>
      </c>
      <c r="O849">
        <v>1</v>
      </c>
      <c r="P849">
        <v>71.7</v>
      </c>
      <c r="Q849">
        <v>83.7</v>
      </c>
      <c r="R849" t="s">
        <v>2054</v>
      </c>
    </row>
    <row r="850" spans="1:18" x14ac:dyDescent="0.25">
      <c r="A850" t="s">
        <v>901</v>
      </c>
      <c r="B850" s="1">
        <v>45409</v>
      </c>
      <c r="C850" s="1">
        <v>45414</v>
      </c>
      <c r="D850" t="s">
        <v>118</v>
      </c>
      <c r="E850" t="s">
        <v>79</v>
      </c>
      <c r="F850" t="s">
        <v>80</v>
      </c>
      <c r="G850" t="s">
        <v>26</v>
      </c>
      <c r="H850" t="s">
        <v>27</v>
      </c>
      <c r="I850">
        <v>4</v>
      </c>
      <c r="J850">
        <v>112.27</v>
      </c>
      <c r="K850">
        <v>12</v>
      </c>
      <c r="L850">
        <v>87</v>
      </c>
      <c r="M850">
        <v>196.1</v>
      </c>
      <c r="N850" t="s">
        <v>23</v>
      </c>
      <c r="O850">
        <v>5</v>
      </c>
      <c r="P850">
        <v>449.08</v>
      </c>
      <c r="Q850">
        <v>461.08</v>
      </c>
      <c r="R850" t="s">
        <v>2054</v>
      </c>
    </row>
    <row r="851" spans="1:18" x14ac:dyDescent="0.25">
      <c r="A851" t="s">
        <v>902</v>
      </c>
      <c r="B851" s="1">
        <v>45410</v>
      </c>
      <c r="C851" s="1">
        <v>45412</v>
      </c>
      <c r="D851" t="s">
        <v>25</v>
      </c>
      <c r="E851" t="s">
        <v>19</v>
      </c>
      <c r="F851" t="s">
        <v>20</v>
      </c>
      <c r="G851" t="s">
        <v>35</v>
      </c>
      <c r="H851" t="s">
        <v>27</v>
      </c>
      <c r="I851">
        <v>14</v>
      </c>
      <c r="J851">
        <v>33.47</v>
      </c>
      <c r="K851">
        <v>8</v>
      </c>
      <c r="L851">
        <v>46</v>
      </c>
      <c r="M851">
        <v>33.49</v>
      </c>
      <c r="N851" t="s">
        <v>23</v>
      </c>
      <c r="O851">
        <v>2</v>
      </c>
      <c r="P851">
        <v>468.58</v>
      </c>
      <c r="Q851">
        <v>476.58</v>
      </c>
      <c r="R851" t="s">
        <v>2055</v>
      </c>
    </row>
    <row r="852" spans="1:18" x14ac:dyDescent="0.25">
      <c r="A852" t="s">
        <v>903</v>
      </c>
      <c r="B852" s="1">
        <v>45411</v>
      </c>
      <c r="C852" s="1">
        <v>45416</v>
      </c>
      <c r="D852" t="s">
        <v>34</v>
      </c>
      <c r="E852" t="s">
        <v>30</v>
      </c>
      <c r="F852" t="s">
        <v>31</v>
      </c>
      <c r="G852" t="s">
        <v>35</v>
      </c>
      <c r="H852" t="s">
        <v>27</v>
      </c>
      <c r="I852">
        <v>3</v>
      </c>
      <c r="J852">
        <v>42.13</v>
      </c>
      <c r="K852">
        <v>12</v>
      </c>
      <c r="L852">
        <v>380</v>
      </c>
      <c r="M852">
        <v>44.56</v>
      </c>
      <c r="N852" t="s">
        <v>23</v>
      </c>
      <c r="O852">
        <v>5</v>
      </c>
      <c r="P852">
        <v>126.39000000000001</v>
      </c>
      <c r="Q852">
        <v>138.39000000000001</v>
      </c>
      <c r="R852" t="s">
        <v>2054</v>
      </c>
    </row>
    <row r="853" spans="1:18" x14ac:dyDescent="0.25">
      <c r="A853" t="s">
        <v>904</v>
      </c>
      <c r="B853" s="1">
        <v>45411</v>
      </c>
      <c r="C853" s="1">
        <v>45416</v>
      </c>
      <c r="D853" t="s">
        <v>34</v>
      </c>
      <c r="E853" t="s">
        <v>30</v>
      </c>
      <c r="F853" t="s">
        <v>31</v>
      </c>
      <c r="G853" t="s">
        <v>35</v>
      </c>
      <c r="H853" t="s">
        <v>22</v>
      </c>
      <c r="I853">
        <v>4</v>
      </c>
      <c r="J853">
        <v>126.38</v>
      </c>
      <c r="K853">
        <v>12</v>
      </c>
      <c r="L853">
        <v>350</v>
      </c>
      <c r="M853">
        <v>196.21</v>
      </c>
      <c r="N853" t="s">
        <v>23</v>
      </c>
      <c r="O853">
        <v>5</v>
      </c>
      <c r="P853">
        <v>505.52</v>
      </c>
      <c r="Q853">
        <v>517.52</v>
      </c>
      <c r="R853" t="s">
        <v>2054</v>
      </c>
    </row>
    <row r="854" spans="1:18" x14ac:dyDescent="0.25">
      <c r="A854" t="s">
        <v>905</v>
      </c>
      <c r="B854" s="1">
        <v>45411</v>
      </c>
      <c r="C854" s="1">
        <v>45415</v>
      </c>
      <c r="D854" t="s">
        <v>25</v>
      </c>
      <c r="E854" t="s">
        <v>19</v>
      </c>
      <c r="F854" t="s">
        <v>20</v>
      </c>
      <c r="G854" t="s">
        <v>21</v>
      </c>
      <c r="H854" t="s">
        <v>27</v>
      </c>
      <c r="I854">
        <v>6</v>
      </c>
      <c r="J854">
        <v>46.36</v>
      </c>
      <c r="K854">
        <v>8</v>
      </c>
      <c r="L854">
        <v>292</v>
      </c>
      <c r="M854">
        <v>18.25</v>
      </c>
      <c r="N854" t="s">
        <v>23</v>
      </c>
      <c r="O854">
        <v>4</v>
      </c>
      <c r="P854">
        <v>278.15999999999997</v>
      </c>
      <c r="Q854">
        <v>286.15999999999997</v>
      </c>
      <c r="R854" t="s">
        <v>2054</v>
      </c>
    </row>
    <row r="855" spans="1:18" x14ac:dyDescent="0.25">
      <c r="A855" t="s">
        <v>906</v>
      </c>
      <c r="B855" s="1">
        <v>45414</v>
      </c>
      <c r="C855" s="1">
        <v>45418</v>
      </c>
      <c r="D855" t="s">
        <v>29</v>
      </c>
      <c r="E855" t="s">
        <v>30</v>
      </c>
      <c r="F855" t="s">
        <v>31</v>
      </c>
      <c r="G855" t="s">
        <v>35</v>
      </c>
      <c r="H855" t="s">
        <v>40</v>
      </c>
      <c r="I855">
        <v>4</v>
      </c>
      <c r="J855">
        <v>37.17</v>
      </c>
      <c r="K855">
        <v>18</v>
      </c>
      <c r="L855">
        <v>43</v>
      </c>
      <c r="M855">
        <v>50.47</v>
      </c>
      <c r="N855" t="s">
        <v>23</v>
      </c>
      <c r="O855">
        <v>4</v>
      </c>
      <c r="P855">
        <v>148.68</v>
      </c>
      <c r="Q855">
        <v>166.68</v>
      </c>
      <c r="R855" t="s">
        <v>2055</v>
      </c>
    </row>
    <row r="856" spans="1:18" x14ac:dyDescent="0.25">
      <c r="A856" t="s">
        <v>907</v>
      </c>
      <c r="B856" s="1">
        <v>45414</v>
      </c>
      <c r="C856" s="1">
        <v>45415</v>
      </c>
      <c r="D856" t="s">
        <v>25</v>
      </c>
      <c r="E856" t="s">
        <v>19</v>
      </c>
      <c r="F856" t="s">
        <v>20</v>
      </c>
      <c r="G856" t="s">
        <v>21</v>
      </c>
      <c r="H856" t="s">
        <v>27</v>
      </c>
      <c r="I856">
        <v>12</v>
      </c>
      <c r="J856">
        <v>33.61</v>
      </c>
      <c r="K856">
        <v>8</v>
      </c>
      <c r="L856">
        <v>8</v>
      </c>
      <c r="M856">
        <v>-60.5</v>
      </c>
      <c r="N856" t="s">
        <v>23</v>
      </c>
      <c r="O856">
        <v>1</v>
      </c>
      <c r="P856">
        <v>403.32</v>
      </c>
      <c r="Q856">
        <v>411.32</v>
      </c>
      <c r="R856" t="s">
        <v>2056</v>
      </c>
    </row>
    <row r="857" spans="1:18" x14ac:dyDescent="0.25">
      <c r="A857" t="s">
        <v>908</v>
      </c>
      <c r="B857" s="1">
        <v>45414</v>
      </c>
      <c r="C857" s="1">
        <v>45415</v>
      </c>
      <c r="D857" t="s">
        <v>75</v>
      </c>
      <c r="E857" t="s">
        <v>44</v>
      </c>
      <c r="F857" t="s">
        <v>45</v>
      </c>
      <c r="G857" t="s">
        <v>35</v>
      </c>
      <c r="H857" t="s">
        <v>27</v>
      </c>
      <c r="I857">
        <v>3</v>
      </c>
      <c r="J857">
        <v>920.89</v>
      </c>
      <c r="K857">
        <v>25</v>
      </c>
      <c r="L857">
        <v>352</v>
      </c>
      <c r="M857">
        <v>954.44</v>
      </c>
      <c r="N857" t="s">
        <v>23</v>
      </c>
      <c r="O857">
        <v>1</v>
      </c>
      <c r="P857">
        <v>2762.67</v>
      </c>
      <c r="Q857">
        <v>2787.67</v>
      </c>
      <c r="R857" t="s">
        <v>2054</v>
      </c>
    </row>
    <row r="858" spans="1:18" x14ac:dyDescent="0.25">
      <c r="A858" t="s">
        <v>909</v>
      </c>
      <c r="B858" s="1">
        <v>45415</v>
      </c>
      <c r="C858" s="1">
        <v>45419</v>
      </c>
      <c r="D858" t="s">
        <v>82</v>
      </c>
      <c r="E858" t="s">
        <v>79</v>
      </c>
      <c r="F858" t="s">
        <v>80</v>
      </c>
      <c r="G858" t="s">
        <v>21</v>
      </c>
      <c r="H858" t="s">
        <v>40</v>
      </c>
      <c r="I858">
        <v>3</v>
      </c>
      <c r="J858">
        <v>128.84</v>
      </c>
      <c r="K858">
        <v>18</v>
      </c>
      <c r="L858">
        <v>337</v>
      </c>
      <c r="M858">
        <v>164.93</v>
      </c>
      <c r="N858" t="s">
        <v>23</v>
      </c>
      <c r="O858">
        <v>4</v>
      </c>
      <c r="P858">
        <v>386.52</v>
      </c>
      <c r="Q858">
        <v>404.52</v>
      </c>
      <c r="R858" t="s">
        <v>2054</v>
      </c>
    </row>
    <row r="859" spans="1:18" x14ac:dyDescent="0.25">
      <c r="A859" t="s">
        <v>910</v>
      </c>
      <c r="B859" s="1">
        <v>45415</v>
      </c>
      <c r="C859" s="1">
        <v>45418</v>
      </c>
      <c r="D859" t="s">
        <v>50</v>
      </c>
      <c r="E859" t="s">
        <v>44</v>
      </c>
      <c r="F859" t="s">
        <v>45</v>
      </c>
      <c r="G859" t="s">
        <v>35</v>
      </c>
      <c r="H859" t="s">
        <v>22</v>
      </c>
      <c r="I859">
        <v>2</v>
      </c>
      <c r="J859">
        <v>1076.8399999999999</v>
      </c>
      <c r="K859">
        <v>25</v>
      </c>
      <c r="L859">
        <v>225</v>
      </c>
      <c r="M859">
        <v>741.29</v>
      </c>
      <c r="N859" t="s">
        <v>23</v>
      </c>
      <c r="O859">
        <v>3</v>
      </c>
      <c r="P859">
        <v>2153.6799999999998</v>
      </c>
      <c r="Q859">
        <v>2178.6799999999998</v>
      </c>
      <c r="R859" t="s">
        <v>2054</v>
      </c>
    </row>
    <row r="860" spans="1:18" x14ac:dyDescent="0.25">
      <c r="A860" t="s">
        <v>911</v>
      </c>
      <c r="B860" s="1">
        <v>45415</v>
      </c>
      <c r="C860" s="1">
        <v>45427</v>
      </c>
      <c r="D860" t="s">
        <v>50</v>
      </c>
      <c r="E860" t="s">
        <v>44</v>
      </c>
      <c r="F860" t="s">
        <v>45</v>
      </c>
      <c r="G860" t="s">
        <v>35</v>
      </c>
      <c r="H860" t="s">
        <v>27</v>
      </c>
      <c r="I860">
        <v>2</v>
      </c>
      <c r="J860">
        <v>575.38</v>
      </c>
      <c r="K860">
        <v>25</v>
      </c>
      <c r="L860">
        <v>374</v>
      </c>
      <c r="M860">
        <v>390.26</v>
      </c>
      <c r="N860" t="s">
        <v>47</v>
      </c>
      <c r="O860">
        <v>12</v>
      </c>
      <c r="P860">
        <v>1150.76</v>
      </c>
      <c r="Q860">
        <v>1175.76</v>
      </c>
      <c r="R860" t="s">
        <v>2054</v>
      </c>
    </row>
    <row r="861" spans="1:18" x14ac:dyDescent="0.25">
      <c r="A861" t="s">
        <v>912</v>
      </c>
      <c r="B861" s="1">
        <v>45416</v>
      </c>
      <c r="C861" s="1">
        <v>45428</v>
      </c>
      <c r="D861" t="s">
        <v>29</v>
      </c>
      <c r="E861" t="s">
        <v>30</v>
      </c>
      <c r="F861" t="s">
        <v>31</v>
      </c>
      <c r="G861" t="s">
        <v>35</v>
      </c>
      <c r="H861" t="s">
        <v>32</v>
      </c>
      <c r="I861">
        <v>2</v>
      </c>
      <c r="J861">
        <v>102.49</v>
      </c>
      <c r="K861">
        <v>12</v>
      </c>
      <c r="L861">
        <v>52</v>
      </c>
      <c r="M861">
        <v>75.989999999999995</v>
      </c>
      <c r="N861" t="s">
        <v>47</v>
      </c>
      <c r="O861">
        <v>12</v>
      </c>
      <c r="P861">
        <v>204.98</v>
      </c>
      <c r="Q861">
        <v>216.98</v>
      </c>
      <c r="R861" t="s">
        <v>2054</v>
      </c>
    </row>
    <row r="862" spans="1:18" x14ac:dyDescent="0.25">
      <c r="A862" t="s">
        <v>913</v>
      </c>
      <c r="B862" s="1">
        <v>45416</v>
      </c>
      <c r="C862" s="1">
        <v>45419</v>
      </c>
      <c r="D862" t="s">
        <v>34</v>
      </c>
      <c r="E862" t="s">
        <v>30</v>
      </c>
      <c r="F862" t="s">
        <v>31</v>
      </c>
      <c r="G862" t="s">
        <v>26</v>
      </c>
      <c r="H862" t="s">
        <v>22</v>
      </c>
      <c r="I862">
        <v>3</v>
      </c>
      <c r="J862">
        <v>78.290000000000006</v>
      </c>
      <c r="K862">
        <v>12</v>
      </c>
      <c r="L862">
        <v>381</v>
      </c>
      <c r="M862">
        <v>87.94</v>
      </c>
      <c r="N862" t="s">
        <v>23</v>
      </c>
      <c r="O862">
        <v>3</v>
      </c>
      <c r="P862">
        <v>234.87</v>
      </c>
      <c r="Q862">
        <v>246.87</v>
      </c>
      <c r="R862" t="s">
        <v>2054</v>
      </c>
    </row>
    <row r="863" spans="1:18" x14ac:dyDescent="0.25">
      <c r="A863" t="s">
        <v>914</v>
      </c>
      <c r="B863" s="1">
        <v>45416</v>
      </c>
      <c r="C863" s="1">
        <v>45420</v>
      </c>
      <c r="D863" t="s">
        <v>43</v>
      </c>
      <c r="E863" t="s">
        <v>44</v>
      </c>
      <c r="F863" t="s">
        <v>45</v>
      </c>
      <c r="G863" t="s">
        <v>26</v>
      </c>
      <c r="H863" t="s">
        <v>32</v>
      </c>
      <c r="I863">
        <v>2</v>
      </c>
      <c r="J863">
        <v>997.52</v>
      </c>
      <c r="K863">
        <v>25</v>
      </c>
      <c r="L863">
        <v>371</v>
      </c>
      <c r="M863">
        <v>685.76</v>
      </c>
      <c r="N863" t="s">
        <v>23</v>
      </c>
      <c r="O863">
        <v>4</v>
      </c>
      <c r="P863">
        <v>1995.04</v>
      </c>
      <c r="Q863">
        <v>2020.04</v>
      </c>
      <c r="R863" t="s">
        <v>2054</v>
      </c>
    </row>
    <row r="864" spans="1:18" x14ac:dyDescent="0.25">
      <c r="A864" t="s">
        <v>915</v>
      </c>
      <c r="B864" s="1">
        <v>45417</v>
      </c>
      <c r="C864" s="1">
        <v>45428</v>
      </c>
      <c r="D864" t="s">
        <v>75</v>
      </c>
      <c r="E864" t="s">
        <v>44</v>
      </c>
      <c r="F864" t="s">
        <v>45</v>
      </c>
      <c r="G864" t="s">
        <v>35</v>
      </c>
      <c r="H864" t="s">
        <v>22</v>
      </c>
      <c r="I864">
        <v>3</v>
      </c>
      <c r="J864">
        <v>1041.04</v>
      </c>
      <c r="K864">
        <v>25</v>
      </c>
      <c r="L864">
        <v>165</v>
      </c>
      <c r="M864">
        <v>1080.5999999999999</v>
      </c>
      <c r="N864" t="s">
        <v>47</v>
      </c>
      <c r="O864">
        <v>11</v>
      </c>
      <c r="P864">
        <v>3123.12</v>
      </c>
      <c r="Q864">
        <v>3148.12</v>
      </c>
      <c r="R864" t="s">
        <v>2054</v>
      </c>
    </row>
    <row r="865" spans="1:18" x14ac:dyDescent="0.25">
      <c r="A865" t="s">
        <v>916</v>
      </c>
      <c r="B865" s="1">
        <v>45418</v>
      </c>
      <c r="C865" s="1">
        <v>45421</v>
      </c>
      <c r="D865" t="s">
        <v>72</v>
      </c>
      <c r="E865" t="s">
        <v>44</v>
      </c>
      <c r="F865" t="s">
        <v>45</v>
      </c>
      <c r="G865" t="s">
        <v>35</v>
      </c>
      <c r="H865" t="s">
        <v>40</v>
      </c>
      <c r="I865">
        <v>3</v>
      </c>
      <c r="J865">
        <v>916.98</v>
      </c>
      <c r="K865">
        <v>37.5</v>
      </c>
      <c r="L865">
        <v>49</v>
      </c>
      <c r="M865">
        <v>944.08</v>
      </c>
      <c r="N865" t="s">
        <v>23</v>
      </c>
      <c r="O865">
        <v>3</v>
      </c>
      <c r="P865">
        <v>2750.94</v>
      </c>
      <c r="Q865">
        <v>2788.44</v>
      </c>
      <c r="R865" t="s">
        <v>2055</v>
      </c>
    </row>
    <row r="866" spans="1:18" x14ac:dyDescent="0.25">
      <c r="A866" t="s">
        <v>917</v>
      </c>
      <c r="B866" s="1">
        <v>45418</v>
      </c>
      <c r="C866" s="1">
        <v>45435</v>
      </c>
      <c r="D866" t="s">
        <v>37</v>
      </c>
      <c r="E866" t="s">
        <v>38</v>
      </c>
      <c r="F866" t="s">
        <v>39</v>
      </c>
      <c r="G866" t="s">
        <v>35</v>
      </c>
      <c r="H866" t="s">
        <v>32</v>
      </c>
      <c r="I866">
        <v>1</v>
      </c>
      <c r="J866">
        <v>408.9</v>
      </c>
      <c r="K866">
        <v>75</v>
      </c>
      <c r="L866">
        <v>139</v>
      </c>
      <c r="M866">
        <v>44.28</v>
      </c>
      <c r="N866" t="s">
        <v>47</v>
      </c>
      <c r="O866">
        <v>17</v>
      </c>
      <c r="P866">
        <v>408.9</v>
      </c>
      <c r="Q866">
        <v>483.9</v>
      </c>
      <c r="R866" t="s">
        <v>2054</v>
      </c>
    </row>
    <row r="867" spans="1:18" x14ac:dyDescent="0.25">
      <c r="A867" t="s">
        <v>918</v>
      </c>
      <c r="B867" s="1">
        <v>45419</v>
      </c>
      <c r="C867" s="1">
        <v>45424</v>
      </c>
      <c r="D867" t="s">
        <v>34</v>
      </c>
      <c r="E867" t="s">
        <v>30</v>
      </c>
      <c r="F867" t="s">
        <v>31</v>
      </c>
      <c r="G867" t="s">
        <v>35</v>
      </c>
      <c r="H867" t="s">
        <v>32</v>
      </c>
      <c r="I867">
        <v>5</v>
      </c>
      <c r="J867">
        <v>48.55</v>
      </c>
      <c r="K867">
        <v>12</v>
      </c>
      <c r="L867">
        <v>35</v>
      </c>
      <c r="M867">
        <v>91.1</v>
      </c>
      <c r="N867" t="s">
        <v>23</v>
      </c>
      <c r="O867">
        <v>5</v>
      </c>
      <c r="P867">
        <v>242.75</v>
      </c>
      <c r="Q867">
        <v>254.75</v>
      </c>
      <c r="R867" t="s">
        <v>2055</v>
      </c>
    </row>
    <row r="868" spans="1:18" x14ac:dyDescent="0.25">
      <c r="A868" t="s">
        <v>919</v>
      </c>
      <c r="B868" s="1">
        <v>45419</v>
      </c>
      <c r="C868" s="1">
        <v>45420</v>
      </c>
      <c r="D868" t="s">
        <v>78</v>
      </c>
      <c r="E868" t="s">
        <v>79</v>
      </c>
      <c r="F868" t="s">
        <v>80</v>
      </c>
      <c r="G868" t="s">
        <v>21</v>
      </c>
      <c r="H868" t="s">
        <v>27</v>
      </c>
      <c r="I868">
        <v>5</v>
      </c>
      <c r="J868">
        <v>149.57</v>
      </c>
      <c r="K868">
        <v>12</v>
      </c>
      <c r="L868">
        <v>376</v>
      </c>
      <c r="M868">
        <v>330.53</v>
      </c>
      <c r="N868" t="s">
        <v>23</v>
      </c>
      <c r="O868">
        <v>1</v>
      </c>
      <c r="P868">
        <v>747.84999999999991</v>
      </c>
      <c r="Q868">
        <v>759.84999999999991</v>
      </c>
      <c r="R868" t="s">
        <v>2054</v>
      </c>
    </row>
    <row r="869" spans="1:18" x14ac:dyDescent="0.25">
      <c r="A869" t="s">
        <v>920</v>
      </c>
      <c r="B869" s="1">
        <v>45419</v>
      </c>
      <c r="C869" s="1">
        <v>45424</v>
      </c>
      <c r="D869" t="s">
        <v>118</v>
      </c>
      <c r="E869" t="s">
        <v>79</v>
      </c>
      <c r="F869" t="s">
        <v>80</v>
      </c>
      <c r="G869" t="s">
        <v>21</v>
      </c>
      <c r="H869" t="s">
        <v>32</v>
      </c>
      <c r="I869">
        <v>2</v>
      </c>
      <c r="J869">
        <v>99.21</v>
      </c>
      <c r="K869">
        <v>12</v>
      </c>
      <c r="L869">
        <v>133</v>
      </c>
      <c r="M869">
        <v>83.29</v>
      </c>
      <c r="N869" t="s">
        <v>23</v>
      </c>
      <c r="O869">
        <v>5</v>
      </c>
      <c r="P869">
        <v>198.42</v>
      </c>
      <c r="Q869">
        <v>210.42</v>
      </c>
      <c r="R869" t="s">
        <v>2054</v>
      </c>
    </row>
    <row r="870" spans="1:18" x14ac:dyDescent="0.25">
      <c r="A870" t="s">
        <v>921</v>
      </c>
      <c r="B870" s="1">
        <v>45420</v>
      </c>
      <c r="C870" s="1">
        <v>45423</v>
      </c>
      <c r="D870" t="s">
        <v>82</v>
      </c>
      <c r="E870" t="s">
        <v>79</v>
      </c>
      <c r="F870" t="s">
        <v>80</v>
      </c>
      <c r="G870" t="s">
        <v>21</v>
      </c>
      <c r="H870" t="s">
        <v>22</v>
      </c>
      <c r="I870">
        <v>1</v>
      </c>
      <c r="J870">
        <v>77.819999999999993</v>
      </c>
      <c r="K870">
        <v>12</v>
      </c>
      <c r="L870">
        <v>345</v>
      </c>
      <c r="M870">
        <v>29.02</v>
      </c>
      <c r="N870" t="s">
        <v>23</v>
      </c>
      <c r="O870">
        <v>3</v>
      </c>
      <c r="P870">
        <v>77.819999999999993</v>
      </c>
      <c r="Q870">
        <v>89.82</v>
      </c>
      <c r="R870" t="s">
        <v>2054</v>
      </c>
    </row>
    <row r="871" spans="1:18" x14ac:dyDescent="0.25">
      <c r="A871" t="s">
        <v>922</v>
      </c>
      <c r="B871" s="1">
        <v>45420</v>
      </c>
      <c r="C871" s="1">
        <v>45422</v>
      </c>
      <c r="D871" t="s">
        <v>78</v>
      </c>
      <c r="E871" t="s">
        <v>79</v>
      </c>
      <c r="F871" t="s">
        <v>80</v>
      </c>
      <c r="G871" t="s">
        <v>35</v>
      </c>
      <c r="H871" t="s">
        <v>40</v>
      </c>
      <c r="I871">
        <v>3</v>
      </c>
      <c r="J871">
        <v>53.62</v>
      </c>
      <c r="K871">
        <v>18</v>
      </c>
      <c r="L871">
        <v>120</v>
      </c>
      <c r="M871">
        <v>63.39</v>
      </c>
      <c r="N871" t="s">
        <v>23</v>
      </c>
      <c r="O871">
        <v>2</v>
      </c>
      <c r="P871">
        <v>160.85999999999999</v>
      </c>
      <c r="Q871">
        <v>178.85999999999999</v>
      </c>
      <c r="R871" t="s">
        <v>2054</v>
      </c>
    </row>
    <row r="872" spans="1:18" x14ac:dyDescent="0.25">
      <c r="A872" t="s">
        <v>923</v>
      </c>
      <c r="B872" s="1">
        <v>45420</v>
      </c>
      <c r="C872" s="1">
        <v>45425</v>
      </c>
      <c r="D872" t="s">
        <v>118</v>
      </c>
      <c r="E872" t="s">
        <v>79</v>
      </c>
      <c r="F872" t="s">
        <v>80</v>
      </c>
      <c r="G872" t="s">
        <v>21</v>
      </c>
      <c r="H872" t="s">
        <v>22</v>
      </c>
      <c r="I872">
        <v>1</v>
      </c>
      <c r="J872">
        <v>112.66</v>
      </c>
      <c r="K872">
        <v>12</v>
      </c>
      <c r="L872">
        <v>199</v>
      </c>
      <c r="M872">
        <v>44.7</v>
      </c>
      <c r="N872" t="s">
        <v>23</v>
      </c>
      <c r="O872">
        <v>5</v>
      </c>
      <c r="P872">
        <v>112.66</v>
      </c>
      <c r="Q872">
        <v>124.66</v>
      </c>
      <c r="R872" t="s">
        <v>2054</v>
      </c>
    </row>
    <row r="873" spans="1:18" x14ac:dyDescent="0.25">
      <c r="A873" t="s">
        <v>924</v>
      </c>
      <c r="B873" s="1">
        <v>45421</v>
      </c>
      <c r="C873" s="1">
        <v>45423</v>
      </c>
      <c r="D873" t="s">
        <v>29</v>
      </c>
      <c r="E873" t="s">
        <v>30</v>
      </c>
      <c r="F873" t="s">
        <v>31</v>
      </c>
      <c r="G873" t="s">
        <v>26</v>
      </c>
      <c r="H873" t="s">
        <v>27</v>
      </c>
      <c r="I873">
        <v>2</v>
      </c>
      <c r="J873">
        <v>114.3</v>
      </c>
      <c r="K873">
        <v>12</v>
      </c>
      <c r="L873">
        <v>291</v>
      </c>
      <c r="M873">
        <v>85.44</v>
      </c>
      <c r="N873" t="s">
        <v>23</v>
      </c>
      <c r="O873">
        <v>2</v>
      </c>
      <c r="P873">
        <v>228.6</v>
      </c>
      <c r="Q873">
        <v>240.6</v>
      </c>
      <c r="R873" t="s">
        <v>2054</v>
      </c>
    </row>
    <row r="874" spans="1:18" x14ac:dyDescent="0.25">
      <c r="A874" t="s">
        <v>925</v>
      </c>
      <c r="B874" s="1">
        <v>45423</v>
      </c>
      <c r="C874" s="1">
        <v>45424</v>
      </c>
      <c r="D874" t="s">
        <v>82</v>
      </c>
      <c r="E874" t="s">
        <v>79</v>
      </c>
      <c r="F874" t="s">
        <v>80</v>
      </c>
      <c r="G874" t="s">
        <v>35</v>
      </c>
      <c r="H874" t="s">
        <v>22</v>
      </c>
      <c r="I874">
        <v>3</v>
      </c>
      <c r="J874">
        <v>147.06</v>
      </c>
      <c r="K874">
        <v>12</v>
      </c>
      <c r="L874">
        <v>161</v>
      </c>
      <c r="M874">
        <v>192.53</v>
      </c>
      <c r="N874" t="s">
        <v>23</v>
      </c>
      <c r="O874">
        <v>1</v>
      </c>
      <c r="P874">
        <v>441.18</v>
      </c>
      <c r="Q874">
        <v>453.18</v>
      </c>
      <c r="R874" t="s">
        <v>2054</v>
      </c>
    </row>
    <row r="875" spans="1:18" x14ac:dyDescent="0.25">
      <c r="A875" t="s">
        <v>926</v>
      </c>
      <c r="B875" s="1">
        <v>45423</v>
      </c>
      <c r="C875" s="1">
        <v>45428</v>
      </c>
      <c r="D875" t="s">
        <v>18</v>
      </c>
      <c r="E875" t="s">
        <v>19</v>
      </c>
      <c r="F875" t="s">
        <v>20</v>
      </c>
      <c r="G875" t="s">
        <v>21</v>
      </c>
      <c r="H875" t="s">
        <v>22</v>
      </c>
      <c r="I875">
        <v>9</v>
      </c>
      <c r="J875">
        <v>35.31</v>
      </c>
      <c r="K875">
        <v>8</v>
      </c>
      <c r="L875">
        <v>151</v>
      </c>
      <c r="M875">
        <v>21.42</v>
      </c>
      <c r="N875" t="s">
        <v>23</v>
      </c>
      <c r="O875">
        <v>5</v>
      </c>
      <c r="P875">
        <v>317.79000000000002</v>
      </c>
      <c r="Q875">
        <v>325.79000000000002</v>
      </c>
      <c r="R875" t="s">
        <v>2054</v>
      </c>
    </row>
    <row r="876" spans="1:18" x14ac:dyDescent="0.25">
      <c r="A876" t="s">
        <v>927</v>
      </c>
      <c r="B876" s="1">
        <v>45423</v>
      </c>
      <c r="C876" s="1">
        <v>45424</v>
      </c>
      <c r="D876" t="s">
        <v>118</v>
      </c>
      <c r="E876" t="s">
        <v>79</v>
      </c>
      <c r="F876" t="s">
        <v>80</v>
      </c>
      <c r="G876" t="s">
        <v>26</v>
      </c>
      <c r="H876" t="s">
        <v>22</v>
      </c>
      <c r="I876">
        <v>3</v>
      </c>
      <c r="J876">
        <v>52.65</v>
      </c>
      <c r="K876">
        <v>12</v>
      </c>
      <c r="L876">
        <v>148</v>
      </c>
      <c r="M876">
        <v>65.08</v>
      </c>
      <c r="N876" t="s">
        <v>23</v>
      </c>
      <c r="O876">
        <v>1</v>
      </c>
      <c r="P876">
        <v>157.94999999999999</v>
      </c>
      <c r="Q876">
        <v>169.95</v>
      </c>
      <c r="R876" t="s">
        <v>2054</v>
      </c>
    </row>
    <row r="877" spans="1:18" x14ac:dyDescent="0.25">
      <c r="A877" t="s">
        <v>928</v>
      </c>
      <c r="B877" s="1">
        <v>45423</v>
      </c>
      <c r="C877" s="1">
        <v>45424</v>
      </c>
      <c r="D877" t="s">
        <v>25</v>
      </c>
      <c r="E877" t="s">
        <v>19</v>
      </c>
      <c r="F877" t="s">
        <v>20</v>
      </c>
      <c r="G877" t="s">
        <v>26</v>
      </c>
      <c r="H877" t="s">
        <v>32</v>
      </c>
      <c r="I877">
        <v>11</v>
      </c>
      <c r="J877">
        <v>19.14</v>
      </c>
      <c r="K877">
        <v>8</v>
      </c>
      <c r="L877">
        <v>9</v>
      </c>
      <c r="M877">
        <v>12.84</v>
      </c>
      <c r="N877" t="s">
        <v>23</v>
      </c>
      <c r="O877">
        <v>1</v>
      </c>
      <c r="P877">
        <v>210.54000000000002</v>
      </c>
      <c r="Q877">
        <v>218.54000000000002</v>
      </c>
      <c r="R877" t="s">
        <v>2056</v>
      </c>
    </row>
    <row r="878" spans="1:18" x14ac:dyDescent="0.25">
      <c r="A878" t="s">
        <v>929</v>
      </c>
      <c r="B878" s="1">
        <v>45423</v>
      </c>
      <c r="C878" s="1">
        <v>45427</v>
      </c>
      <c r="D878" t="s">
        <v>18</v>
      </c>
      <c r="E878" t="s">
        <v>19</v>
      </c>
      <c r="F878" t="s">
        <v>20</v>
      </c>
      <c r="G878" t="s">
        <v>21</v>
      </c>
      <c r="H878" t="s">
        <v>40</v>
      </c>
      <c r="I878">
        <v>11</v>
      </c>
      <c r="J878">
        <v>17.54</v>
      </c>
      <c r="K878">
        <v>12</v>
      </c>
      <c r="L878">
        <v>171</v>
      </c>
      <c r="M878">
        <v>9.44</v>
      </c>
      <c r="N878" t="s">
        <v>23</v>
      </c>
      <c r="O878">
        <v>4</v>
      </c>
      <c r="P878">
        <v>192.94</v>
      </c>
      <c r="Q878">
        <v>204.94</v>
      </c>
      <c r="R878" t="s">
        <v>2054</v>
      </c>
    </row>
    <row r="879" spans="1:18" x14ac:dyDescent="0.25">
      <c r="A879" t="s">
        <v>930</v>
      </c>
      <c r="B879" s="1">
        <v>45424</v>
      </c>
      <c r="C879" s="1">
        <v>45438</v>
      </c>
      <c r="D879" t="s">
        <v>43</v>
      </c>
      <c r="E879" t="s">
        <v>44</v>
      </c>
      <c r="F879" t="s">
        <v>45</v>
      </c>
      <c r="G879" t="s">
        <v>35</v>
      </c>
      <c r="H879" t="s">
        <v>32</v>
      </c>
      <c r="I879">
        <v>2</v>
      </c>
      <c r="J879">
        <v>445.3</v>
      </c>
      <c r="K879">
        <v>25</v>
      </c>
      <c r="L879">
        <v>195</v>
      </c>
      <c r="M879">
        <v>299.20999999999998</v>
      </c>
      <c r="N879" t="s">
        <v>47</v>
      </c>
      <c r="O879">
        <v>14</v>
      </c>
      <c r="P879">
        <v>890.6</v>
      </c>
      <c r="Q879">
        <v>915.6</v>
      </c>
      <c r="R879" t="s">
        <v>2054</v>
      </c>
    </row>
    <row r="880" spans="1:18" x14ac:dyDescent="0.25">
      <c r="A880" t="s">
        <v>931</v>
      </c>
      <c r="B880" s="1">
        <v>45425</v>
      </c>
      <c r="C880" s="1">
        <v>45428</v>
      </c>
      <c r="D880" t="s">
        <v>34</v>
      </c>
      <c r="E880" t="s">
        <v>30</v>
      </c>
      <c r="F880" t="s">
        <v>31</v>
      </c>
      <c r="G880" t="s">
        <v>26</v>
      </c>
      <c r="H880" t="s">
        <v>27</v>
      </c>
      <c r="I880">
        <v>5</v>
      </c>
      <c r="J880">
        <v>139.94</v>
      </c>
      <c r="K880">
        <v>12</v>
      </c>
      <c r="L880">
        <v>68</v>
      </c>
      <c r="M880">
        <v>273.88</v>
      </c>
      <c r="N880" t="s">
        <v>23</v>
      </c>
      <c r="O880">
        <v>3</v>
      </c>
      <c r="P880">
        <v>699.7</v>
      </c>
      <c r="Q880">
        <v>711.7</v>
      </c>
      <c r="R880" t="s">
        <v>2054</v>
      </c>
    </row>
    <row r="881" spans="1:18" x14ac:dyDescent="0.25">
      <c r="A881" t="s">
        <v>932</v>
      </c>
      <c r="B881" s="1">
        <v>45425</v>
      </c>
      <c r="C881" s="1">
        <v>45428</v>
      </c>
      <c r="D881" t="s">
        <v>37</v>
      </c>
      <c r="E881" t="s">
        <v>38</v>
      </c>
      <c r="F881" t="s">
        <v>39</v>
      </c>
      <c r="G881" t="s">
        <v>21</v>
      </c>
      <c r="H881" t="s">
        <v>27</v>
      </c>
      <c r="I881">
        <v>2</v>
      </c>
      <c r="J881">
        <v>313.95</v>
      </c>
      <c r="K881">
        <v>75</v>
      </c>
      <c r="L881">
        <v>355</v>
      </c>
      <c r="M881">
        <v>88.08</v>
      </c>
      <c r="N881" t="s">
        <v>23</v>
      </c>
      <c r="O881">
        <v>3</v>
      </c>
      <c r="P881">
        <v>627.9</v>
      </c>
      <c r="Q881">
        <v>702.9</v>
      </c>
      <c r="R881" t="s">
        <v>2054</v>
      </c>
    </row>
    <row r="882" spans="1:18" x14ac:dyDescent="0.25">
      <c r="A882" t="s">
        <v>933</v>
      </c>
      <c r="B882" s="1">
        <v>45426</v>
      </c>
      <c r="C882" s="1">
        <v>45427</v>
      </c>
      <c r="D882" t="s">
        <v>25</v>
      </c>
      <c r="E882" t="s">
        <v>19</v>
      </c>
      <c r="F882" t="s">
        <v>20</v>
      </c>
      <c r="G882" t="s">
        <v>35</v>
      </c>
      <c r="H882" t="s">
        <v>40</v>
      </c>
      <c r="I882">
        <v>11</v>
      </c>
      <c r="J882">
        <v>49.94</v>
      </c>
      <c r="K882">
        <v>12</v>
      </c>
      <c r="L882">
        <v>378</v>
      </c>
      <c r="M882">
        <v>37.950000000000003</v>
      </c>
      <c r="N882" t="s">
        <v>23</v>
      </c>
      <c r="O882">
        <v>1</v>
      </c>
      <c r="P882">
        <v>549.33999999999992</v>
      </c>
      <c r="Q882">
        <v>561.33999999999992</v>
      </c>
      <c r="R882" t="s">
        <v>2054</v>
      </c>
    </row>
    <row r="883" spans="1:18" x14ac:dyDescent="0.25">
      <c r="A883" t="s">
        <v>934</v>
      </c>
      <c r="B883" s="1">
        <v>45427</v>
      </c>
      <c r="C883" s="1">
        <v>45434</v>
      </c>
      <c r="D883" t="s">
        <v>52</v>
      </c>
      <c r="E883" t="s">
        <v>30</v>
      </c>
      <c r="F883" t="s">
        <v>31</v>
      </c>
      <c r="G883" t="s">
        <v>35</v>
      </c>
      <c r="H883" t="s">
        <v>40</v>
      </c>
      <c r="I883">
        <v>3</v>
      </c>
      <c r="J883">
        <v>109.3</v>
      </c>
      <c r="K883">
        <v>18</v>
      </c>
      <c r="L883">
        <v>210</v>
      </c>
      <c r="M883">
        <v>122.16</v>
      </c>
      <c r="N883" t="s">
        <v>63</v>
      </c>
      <c r="O883">
        <v>7</v>
      </c>
      <c r="P883">
        <v>327.9</v>
      </c>
      <c r="Q883">
        <v>345.9</v>
      </c>
      <c r="R883" t="s">
        <v>2054</v>
      </c>
    </row>
    <row r="884" spans="1:18" x14ac:dyDescent="0.25">
      <c r="A884" t="s">
        <v>935</v>
      </c>
      <c r="B884" s="1">
        <v>45428</v>
      </c>
      <c r="C884" s="1">
        <v>45441</v>
      </c>
      <c r="D884" t="s">
        <v>29</v>
      </c>
      <c r="E884" t="s">
        <v>30</v>
      </c>
      <c r="F884" t="s">
        <v>31</v>
      </c>
      <c r="G884" t="s">
        <v>35</v>
      </c>
      <c r="H884" t="s">
        <v>40</v>
      </c>
      <c r="I884">
        <v>4</v>
      </c>
      <c r="J884">
        <v>97.56</v>
      </c>
      <c r="K884">
        <v>18</v>
      </c>
      <c r="L884">
        <v>39</v>
      </c>
      <c r="M884">
        <v>147.1</v>
      </c>
      <c r="N884" t="s">
        <v>47</v>
      </c>
      <c r="O884">
        <v>13</v>
      </c>
      <c r="P884">
        <v>390.24</v>
      </c>
      <c r="Q884">
        <v>408.24</v>
      </c>
      <c r="R884" t="s">
        <v>2055</v>
      </c>
    </row>
    <row r="885" spans="1:18" x14ac:dyDescent="0.25">
      <c r="A885" t="s">
        <v>936</v>
      </c>
      <c r="B885" s="1">
        <v>45428</v>
      </c>
      <c r="C885" s="1">
        <v>45430</v>
      </c>
      <c r="D885" t="s">
        <v>34</v>
      </c>
      <c r="E885" t="s">
        <v>30</v>
      </c>
      <c r="F885" t="s">
        <v>31</v>
      </c>
      <c r="G885" t="s">
        <v>35</v>
      </c>
      <c r="H885" t="s">
        <v>40</v>
      </c>
      <c r="I885">
        <v>5</v>
      </c>
      <c r="J885">
        <v>88.59</v>
      </c>
      <c r="K885">
        <v>18</v>
      </c>
      <c r="L885">
        <v>331</v>
      </c>
      <c r="M885">
        <v>-66.44</v>
      </c>
      <c r="N885" t="s">
        <v>23</v>
      </c>
      <c r="O885">
        <v>2</v>
      </c>
      <c r="P885">
        <v>442.95000000000005</v>
      </c>
      <c r="Q885">
        <v>460.95000000000005</v>
      </c>
      <c r="R885" t="s">
        <v>2054</v>
      </c>
    </row>
    <row r="886" spans="1:18" x14ac:dyDescent="0.25">
      <c r="A886" t="s">
        <v>937</v>
      </c>
      <c r="B886" s="1">
        <v>45429</v>
      </c>
      <c r="C886" s="1">
        <v>45433</v>
      </c>
      <c r="D886" t="s">
        <v>52</v>
      </c>
      <c r="E886" t="s">
        <v>30</v>
      </c>
      <c r="F886" t="s">
        <v>31</v>
      </c>
      <c r="G886" t="s">
        <v>21</v>
      </c>
      <c r="H886" t="s">
        <v>32</v>
      </c>
      <c r="I886">
        <v>2</v>
      </c>
      <c r="J886">
        <v>101.07</v>
      </c>
      <c r="K886">
        <v>12</v>
      </c>
      <c r="L886">
        <v>229</v>
      </c>
      <c r="M886">
        <v>74.86</v>
      </c>
      <c r="N886" t="s">
        <v>23</v>
      </c>
      <c r="O886">
        <v>4</v>
      </c>
      <c r="P886">
        <v>202.14</v>
      </c>
      <c r="Q886">
        <v>214.14</v>
      </c>
      <c r="R886" t="s">
        <v>2054</v>
      </c>
    </row>
    <row r="887" spans="1:18" x14ac:dyDescent="0.25">
      <c r="A887" t="s">
        <v>938</v>
      </c>
      <c r="B887" s="1">
        <v>45429</v>
      </c>
      <c r="C887" s="1">
        <v>45433</v>
      </c>
      <c r="D887" t="s">
        <v>43</v>
      </c>
      <c r="E887" t="s">
        <v>44</v>
      </c>
      <c r="F887" t="s">
        <v>45</v>
      </c>
      <c r="G887" t="s">
        <v>26</v>
      </c>
      <c r="H887" t="s">
        <v>27</v>
      </c>
      <c r="I887">
        <v>1</v>
      </c>
      <c r="J887">
        <v>497.49</v>
      </c>
      <c r="K887">
        <v>25</v>
      </c>
      <c r="L887">
        <v>359</v>
      </c>
      <c r="M887">
        <v>161.62</v>
      </c>
      <c r="N887" t="s">
        <v>23</v>
      </c>
      <c r="O887">
        <v>4</v>
      </c>
      <c r="P887">
        <v>497.49</v>
      </c>
      <c r="Q887">
        <v>522.49</v>
      </c>
      <c r="R887" t="s">
        <v>2054</v>
      </c>
    </row>
    <row r="888" spans="1:18" x14ac:dyDescent="0.25">
      <c r="A888" t="s">
        <v>939</v>
      </c>
      <c r="B888" s="1">
        <v>45429</v>
      </c>
      <c r="C888" s="1">
        <v>45444</v>
      </c>
      <c r="D888" t="s">
        <v>43</v>
      </c>
      <c r="E888" t="s">
        <v>44</v>
      </c>
      <c r="F888" t="s">
        <v>45</v>
      </c>
      <c r="G888" t="s">
        <v>35</v>
      </c>
      <c r="H888" t="s">
        <v>27</v>
      </c>
      <c r="I888">
        <v>2</v>
      </c>
      <c r="J888">
        <v>304.48</v>
      </c>
      <c r="K888">
        <v>25</v>
      </c>
      <c r="L888">
        <v>359</v>
      </c>
      <c r="M888">
        <v>200.64</v>
      </c>
      <c r="N888" t="s">
        <v>47</v>
      </c>
      <c r="O888">
        <v>15</v>
      </c>
      <c r="P888">
        <v>608.96</v>
      </c>
      <c r="Q888">
        <v>633.96</v>
      </c>
      <c r="R888" t="s">
        <v>2054</v>
      </c>
    </row>
    <row r="889" spans="1:18" x14ac:dyDescent="0.25">
      <c r="A889" t="s">
        <v>940</v>
      </c>
      <c r="B889" s="1">
        <v>45430</v>
      </c>
      <c r="C889" s="1">
        <v>45434</v>
      </c>
      <c r="D889" t="s">
        <v>29</v>
      </c>
      <c r="E889" t="s">
        <v>30</v>
      </c>
      <c r="F889" t="s">
        <v>31</v>
      </c>
      <c r="G889" t="s">
        <v>35</v>
      </c>
      <c r="H889" t="s">
        <v>40</v>
      </c>
      <c r="I889">
        <v>3</v>
      </c>
      <c r="J889">
        <v>78.31</v>
      </c>
      <c r="K889">
        <v>18</v>
      </c>
      <c r="L889">
        <v>272</v>
      </c>
      <c r="M889">
        <v>84.97</v>
      </c>
      <c r="N889" t="s">
        <v>23</v>
      </c>
      <c r="O889">
        <v>4</v>
      </c>
      <c r="P889">
        <v>234.93</v>
      </c>
      <c r="Q889">
        <v>252.93</v>
      </c>
      <c r="R889" t="s">
        <v>2054</v>
      </c>
    </row>
    <row r="890" spans="1:18" x14ac:dyDescent="0.25">
      <c r="A890" t="s">
        <v>941</v>
      </c>
      <c r="B890" s="1">
        <v>45430</v>
      </c>
      <c r="C890" s="1">
        <v>45434</v>
      </c>
      <c r="D890" t="s">
        <v>25</v>
      </c>
      <c r="E890" t="s">
        <v>19</v>
      </c>
      <c r="F890" t="s">
        <v>20</v>
      </c>
      <c r="G890" t="s">
        <v>21</v>
      </c>
      <c r="H890" t="s">
        <v>40</v>
      </c>
      <c r="I890">
        <v>9</v>
      </c>
      <c r="J890">
        <v>37.35</v>
      </c>
      <c r="K890">
        <v>12</v>
      </c>
      <c r="L890">
        <v>365</v>
      </c>
      <c r="M890">
        <v>20.89</v>
      </c>
      <c r="N890" t="s">
        <v>23</v>
      </c>
      <c r="O890">
        <v>4</v>
      </c>
      <c r="P890">
        <v>336.15000000000003</v>
      </c>
      <c r="Q890">
        <v>348.15000000000003</v>
      </c>
      <c r="R890" t="s">
        <v>2054</v>
      </c>
    </row>
    <row r="891" spans="1:18" x14ac:dyDescent="0.25">
      <c r="A891" t="s">
        <v>942</v>
      </c>
      <c r="B891" s="1">
        <v>45431</v>
      </c>
      <c r="C891" s="1">
        <v>45432</v>
      </c>
      <c r="D891" t="s">
        <v>56</v>
      </c>
      <c r="E891" t="s">
        <v>38</v>
      </c>
      <c r="F891" t="s">
        <v>39</v>
      </c>
      <c r="G891" t="s">
        <v>21</v>
      </c>
      <c r="H891" t="s">
        <v>27</v>
      </c>
      <c r="I891">
        <v>1</v>
      </c>
      <c r="J891">
        <v>304.87</v>
      </c>
      <c r="K891">
        <v>75</v>
      </c>
      <c r="L891">
        <v>91</v>
      </c>
      <c r="M891">
        <v>23.47</v>
      </c>
      <c r="N891" t="s">
        <v>23</v>
      </c>
      <c r="O891">
        <v>1</v>
      </c>
      <c r="P891">
        <v>304.87</v>
      </c>
      <c r="Q891">
        <v>379.87</v>
      </c>
      <c r="R891" t="s">
        <v>2054</v>
      </c>
    </row>
    <row r="892" spans="1:18" x14ac:dyDescent="0.25">
      <c r="A892" t="s">
        <v>943</v>
      </c>
      <c r="B892" s="1">
        <v>45432</v>
      </c>
      <c r="C892" s="1">
        <v>45434</v>
      </c>
      <c r="D892" t="s">
        <v>72</v>
      </c>
      <c r="E892" t="s">
        <v>44</v>
      </c>
      <c r="F892" t="s">
        <v>45</v>
      </c>
      <c r="G892" t="s">
        <v>21</v>
      </c>
      <c r="H892" t="s">
        <v>32</v>
      </c>
      <c r="I892">
        <v>1</v>
      </c>
      <c r="J892">
        <v>596.36</v>
      </c>
      <c r="K892">
        <v>25</v>
      </c>
      <c r="L892">
        <v>320</v>
      </c>
      <c r="M892">
        <v>196.23</v>
      </c>
      <c r="N892" t="s">
        <v>23</v>
      </c>
      <c r="O892">
        <v>2</v>
      </c>
      <c r="P892">
        <v>596.36</v>
      </c>
      <c r="Q892">
        <v>621.36</v>
      </c>
      <c r="R892" t="s">
        <v>2054</v>
      </c>
    </row>
    <row r="893" spans="1:18" x14ac:dyDescent="0.25">
      <c r="A893" t="s">
        <v>944</v>
      </c>
      <c r="B893" s="1">
        <v>45435</v>
      </c>
      <c r="C893" s="1">
        <v>45449</v>
      </c>
      <c r="D893" t="s">
        <v>75</v>
      </c>
      <c r="E893" t="s">
        <v>44</v>
      </c>
      <c r="F893" t="s">
        <v>45</v>
      </c>
      <c r="G893" t="s">
        <v>35</v>
      </c>
      <c r="H893" t="s">
        <v>40</v>
      </c>
      <c r="I893">
        <v>2</v>
      </c>
      <c r="J893">
        <v>952.98</v>
      </c>
      <c r="K893">
        <v>37.5</v>
      </c>
      <c r="L893">
        <v>257</v>
      </c>
      <c r="M893">
        <v>648.34</v>
      </c>
      <c r="N893" t="s">
        <v>47</v>
      </c>
      <c r="O893">
        <v>14</v>
      </c>
      <c r="P893">
        <v>1905.96</v>
      </c>
      <c r="Q893">
        <v>1943.46</v>
      </c>
      <c r="R893" t="s">
        <v>2054</v>
      </c>
    </row>
    <row r="894" spans="1:18" x14ac:dyDescent="0.25">
      <c r="A894" t="s">
        <v>945</v>
      </c>
      <c r="B894" s="1">
        <v>45435</v>
      </c>
      <c r="C894" s="1">
        <v>45440</v>
      </c>
      <c r="D894" t="s">
        <v>18</v>
      </c>
      <c r="E894" t="s">
        <v>19</v>
      </c>
      <c r="F894" t="s">
        <v>20</v>
      </c>
      <c r="G894" t="s">
        <v>35</v>
      </c>
      <c r="H894" t="s">
        <v>40</v>
      </c>
      <c r="I894">
        <v>9</v>
      </c>
      <c r="J894">
        <v>17.170000000000002</v>
      </c>
      <c r="K894">
        <v>12</v>
      </c>
      <c r="L894">
        <v>126</v>
      </c>
      <c r="M894">
        <v>6.36</v>
      </c>
      <c r="N894" t="s">
        <v>23</v>
      </c>
      <c r="O894">
        <v>5</v>
      </c>
      <c r="P894">
        <v>154.53000000000003</v>
      </c>
      <c r="Q894">
        <v>166.53000000000003</v>
      </c>
      <c r="R894" t="s">
        <v>2054</v>
      </c>
    </row>
    <row r="895" spans="1:18" x14ac:dyDescent="0.25">
      <c r="A895" t="s">
        <v>946</v>
      </c>
      <c r="B895" s="1">
        <v>45435</v>
      </c>
      <c r="C895" s="1">
        <v>45444</v>
      </c>
      <c r="D895" t="s">
        <v>72</v>
      </c>
      <c r="E895" t="s">
        <v>44</v>
      </c>
      <c r="F895" t="s">
        <v>45</v>
      </c>
      <c r="G895" t="s">
        <v>35</v>
      </c>
      <c r="H895" t="s">
        <v>32</v>
      </c>
      <c r="I895">
        <v>2</v>
      </c>
      <c r="J895">
        <v>745.46</v>
      </c>
      <c r="K895">
        <v>25</v>
      </c>
      <c r="L895">
        <v>26</v>
      </c>
      <c r="M895">
        <v>509.32</v>
      </c>
      <c r="N895" t="s">
        <v>63</v>
      </c>
      <c r="O895">
        <v>9</v>
      </c>
      <c r="P895">
        <v>1490.92</v>
      </c>
      <c r="Q895">
        <v>1515.92</v>
      </c>
      <c r="R895" t="s">
        <v>2055</v>
      </c>
    </row>
    <row r="896" spans="1:18" x14ac:dyDescent="0.25">
      <c r="A896" t="s">
        <v>947</v>
      </c>
      <c r="B896" s="1">
        <v>45436</v>
      </c>
      <c r="C896" s="1">
        <v>45438</v>
      </c>
      <c r="D896" t="s">
        <v>72</v>
      </c>
      <c r="E896" t="s">
        <v>44</v>
      </c>
      <c r="F896" t="s">
        <v>45</v>
      </c>
      <c r="G896" t="s">
        <v>21</v>
      </c>
      <c r="H896" t="s">
        <v>22</v>
      </c>
      <c r="I896">
        <v>3</v>
      </c>
      <c r="J896">
        <v>275.87</v>
      </c>
      <c r="K896">
        <v>25</v>
      </c>
      <c r="L896">
        <v>103</v>
      </c>
      <c r="M896">
        <v>277.16000000000003</v>
      </c>
      <c r="N896" t="s">
        <v>23</v>
      </c>
      <c r="O896">
        <v>2</v>
      </c>
      <c r="P896">
        <v>827.61</v>
      </c>
      <c r="Q896">
        <v>852.61</v>
      </c>
      <c r="R896" t="s">
        <v>2054</v>
      </c>
    </row>
    <row r="897" spans="1:18" x14ac:dyDescent="0.25">
      <c r="A897" t="s">
        <v>948</v>
      </c>
      <c r="B897" s="1">
        <v>45436</v>
      </c>
      <c r="C897" s="1">
        <v>45440</v>
      </c>
      <c r="D897" t="s">
        <v>25</v>
      </c>
      <c r="E897" t="s">
        <v>19</v>
      </c>
      <c r="F897" t="s">
        <v>20</v>
      </c>
      <c r="G897" t="s">
        <v>35</v>
      </c>
      <c r="H897" t="s">
        <v>40</v>
      </c>
      <c r="I897">
        <v>11</v>
      </c>
      <c r="J897">
        <v>29.63</v>
      </c>
      <c r="K897">
        <v>12</v>
      </c>
      <c r="L897">
        <v>237</v>
      </c>
      <c r="M897">
        <v>20.07</v>
      </c>
      <c r="N897" t="s">
        <v>23</v>
      </c>
      <c r="O897">
        <v>4</v>
      </c>
      <c r="P897">
        <v>325.93</v>
      </c>
      <c r="Q897">
        <v>337.93</v>
      </c>
      <c r="R897" t="s">
        <v>2054</v>
      </c>
    </row>
    <row r="898" spans="1:18" x14ac:dyDescent="0.25">
      <c r="A898" t="s">
        <v>949</v>
      </c>
      <c r="B898" s="1">
        <v>45436</v>
      </c>
      <c r="C898" s="1">
        <v>45439</v>
      </c>
      <c r="D898" t="s">
        <v>118</v>
      </c>
      <c r="E898" t="s">
        <v>79</v>
      </c>
      <c r="F898" t="s">
        <v>80</v>
      </c>
      <c r="G898" t="s">
        <v>35</v>
      </c>
      <c r="H898" t="s">
        <v>40</v>
      </c>
      <c r="I898">
        <v>4</v>
      </c>
      <c r="J898">
        <v>30.18</v>
      </c>
      <c r="K898">
        <v>18</v>
      </c>
      <c r="L898">
        <v>54</v>
      </c>
      <c r="M898">
        <v>45.32</v>
      </c>
      <c r="N898" t="s">
        <v>23</v>
      </c>
      <c r="O898">
        <v>3</v>
      </c>
      <c r="P898">
        <v>120.72</v>
      </c>
      <c r="Q898">
        <v>138.72</v>
      </c>
      <c r="R898" t="s">
        <v>2054</v>
      </c>
    </row>
    <row r="899" spans="1:18" x14ac:dyDescent="0.25">
      <c r="A899" t="s">
        <v>950</v>
      </c>
      <c r="B899" s="1">
        <v>45437</v>
      </c>
      <c r="C899" s="1">
        <v>45441</v>
      </c>
      <c r="D899" t="s">
        <v>29</v>
      </c>
      <c r="E899" t="s">
        <v>30</v>
      </c>
      <c r="F899" t="s">
        <v>31</v>
      </c>
      <c r="G899" t="s">
        <v>26</v>
      </c>
      <c r="H899" t="s">
        <v>27</v>
      </c>
      <c r="I899">
        <v>3</v>
      </c>
      <c r="J899">
        <v>24.39</v>
      </c>
      <c r="K899">
        <v>12</v>
      </c>
      <c r="L899">
        <v>183</v>
      </c>
      <c r="M899">
        <v>23.27</v>
      </c>
      <c r="N899" t="s">
        <v>23</v>
      </c>
      <c r="O899">
        <v>4</v>
      </c>
      <c r="P899">
        <v>73.17</v>
      </c>
      <c r="Q899">
        <v>85.17</v>
      </c>
      <c r="R899" t="s">
        <v>2054</v>
      </c>
    </row>
    <row r="900" spans="1:18" x14ac:dyDescent="0.25">
      <c r="A900" t="s">
        <v>951</v>
      </c>
      <c r="B900" s="1">
        <v>45437</v>
      </c>
      <c r="C900" s="1">
        <v>45446</v>
      </c>
      <c r="D900" t="s">
        <v>52</v>
      </c>
      <c r="E900" t="s">
        <v>30</v>
      </c>
      <c r="F900" t="s">
        <v>31</v>
      </c>
      <c r="G900" t="s">
        <v>35</v>
      </c>
      <c r="H900" t="s">
        <v>40</v>
      </c>
      <c r="I900">
        <v>2</v>
      </c>
      <c r="J900">
        <v>74.13</v>
      </c>
      <c r="K900">
        <v>18</v>
      </c>
      <c r="L900">
        <v>315</v>
      </c>
      <c r="M900">
        <v>50.3</v>
      </c>
      <c r="N900" t="s">
        <v>63</v>
      </c>
      <c r="O900">
        <v>9</v>
      </c>
      <c r="P900">
        <v>148.26</v>
      </c>
      <c r="Q900">
        <v>166.26</v>
      </c>
      <c r="R900" t="s">
        <v>2054</v>
      </c>
    </row>
    <row r="901" spans="1:18" x14ac:dyDescent="0.25">
      <c r="A901" t="s">
        <v>952</v>
      </c>
      <c r="B901" s="1">
        <v>45437</v>
      </c>
      <c r="C901" s="1">
        <v>45442</v>
      </c>
      <c r="D901" t="s">
        <v>56</v>
      </c>
      <c r="E901" t="s">
        <v>38</v>
      </c>
      <c r="F901" t="s">
        <v>39</v>
      </c>
      <c r="G901" t="s">
        <v>21</v>
      </c>
      <c r="H901" t="s">
        <v>40</v>
      </c>
      <c r="I901">
        <v>2</v>
      </c>
      <c r="J901">
        <v>430.69</v>
      </c>
      <c r="K901">
        <v>112.5</v>
      </c>
      <c r="L901">
        <v>125</v>
      </c>
      <c r="M901">
        <v>116.03</v>
      </c>
      <c r="N901" t="s">
        <v>23</v>
      </c>
      <c r="O901">
        <v>5</v>
      </c>
      <c r="P901">
        <v>861.38</v>
      </c>
      <c r="Q901">
        <v>973.88</v>
      </c>
      <c r="R901" t="s">
        <v>2054</v>
      </c>
    </row>
    <row r="902" spans="1:18" x14ac:dyDescent="0.25">
      <c r="A902" t="s">
        <v>953</v>
      </c>
      <c r="B902" s="1">
        <v>45437</v>
      </c>
      <c r="C902" s="1">
        <v>45438</v>
      </c>
      <c r="D902" t="s">
        <v>58</v>
      </c>
      <c r="E902" t="s">
        <v>19</v>
      </c>
      <c r="F902" t="s">
        <v>20</v>
      </c>
      <c r="G902" t="s">
        <v>21</v>
      </c>
      <c r="H902" t="s">
        <v>32</v>
      </c>
      <c r="I902">
        <v>14</v>
      </c>
      <c r="J902">
        <v>19.95</v>
      </c>
      <c r="K902">
        <v>8</v>
      </c>
      <c r="L902">
        <v>187</v>
      </c>
      <c r="M902">
        <v>18.350000000000001</v>
      </c>
      <c r="N902" t="s">
        <v>23</v>
      </c>
      <c r="O902">
        <v>1</v>
      </c>
      <c r="P902">
        <v>279.3</v>
      </c>
      <c r="Q902">
        <v>287.3</v>
      </c>
      <c r="R902" t="s">
        <v>2054</v>
      </c>
    </row>
    <row r="903" spans="1:18" x14ac:dyDescent="0.25">
      <c r="A903" t="s">
        <v>954</v>
      </c>
      <c r="B903" s="1">
        <v>45438</v>
      </c>
      <c r="C903" s="1">
        <v>45440</v>
      </c>
      <c r="D903" t="s">
        <v>58</v>
      </c>
      <c r="E903" t="s">
        <v>19</v>
      </c>
      <c r="F903" t="s">
        <v>20</v>
      </c>
      <c r="G903" t="s">
        <v>26</v>
      </c>
      <c r="H903" t="s">
        <v>22</v>
      </c>
      <c r="I903">
        <v>10</v>
      </c>
      <c r="J903">
        <v>12.46</v>
      </c>
      <c r="K903">
        <v>8</v>
      </c>
      <c r="L903">
        <v>228</v>
      </c>
      <c r="M903">
        <v>5.97</v>
      </c>
      <c r="N903" t="s">
        <v>23</v>
      </c>
      <c r="O903">
        <v>2</v>
      </c>
      <c r="P903">
        <v>124.60000000000001</v>
      </c>
      <c r="Q903">
        <v>132.60000000000002</v>
      </c>
      <c r="R903" t="s">
        <v>2054</v>
      </c>
    </row>
    <row r="904" spans="1:18" x14ac:dyDescent="0.25">
      <c r="A904" t="s">
        <v>955</v>
      </c>
      <c r="B904" s="1">
        <v>45439</v>
      </c>
      <c r="C904" s="1">
        <v>45451</v>
      </c>
      <c r="D904" t="s">
        <v>50</v>
      </c>
      <c r="E904" t="s">
        <v>44</v>
      </c>
      <c r="F904" t="s">
        <v>45</v>
      </c>
      <c r="G904" t="s">
        <v>35</v>
      </c>
      <c r="H904" t="s">
        <v>32</v>
      </c>
      <c r="I904">
        <v>1</v>
      </c>
      <c r="J904">
        <v>344.52</v>
      </c>
      <c r="K904">
        <v>25</v>
      </c>
      <c r="L904">
        <v>333</v>
      </c>
      <c r="M904">
        <v>108.08</v>
      </c>
      <c r="N904" t="s">
        <v>47</v>
      </c>
      <c r="O904">
        <v>12</v>
      </c>
      <c r="P904">
        <v>344.52</v>
      </c>
      <c r="Q904">
        <v>369.52</v>
      </c>
      <c r="R904" t="s">
        <v>2054</v>
      </c>
    </row>
    <row r="905" spans="1:18" x14ac:dyDescent="0.25">
      <c r="A905" t="s">
        <v>956</v>
      </c>
      <c r="B905" s="1">
        <v>45439</v>
      </c>
      <c r="C905" s="1">
        <v>45441</v>
      </c>
      <c r="D905" t="s">
        <v>34</v>
      </c>
      <c r="E905" t="s">
        <v>30</v>
      </c>
      <c r="F905" t="s">
        <v>31</v>
      </c>
      <c r="G905" t="s">
        <v>21</v>
      </c>
      <c r="H905" t="s">
        <v>27</v>
      </c>
      <c r="I905">
        <v>2</v>
      </c>
      <c r="J905">
        <v>77.97</v>
      </c>
      <c r="K905">
        <v>12</v>
      </c>
      <c r="L905">
        <v>256</v>
      </c>
      <c r="M905">
        <v>56.38</v>
      </c>
      <c r="N905" t="s">
        <v>23</v>
      </c>
      <c r="O905">
        <v>2</v>
      </c>
      <c r="P905">
        <v>155.94</v>
      </c>
      <c r="Q905">
        <v>167.94</v>
      </c>
      <c r="R905" t="s">
        <v>2054</v>
      </c>
    </row>
    <row r="906" spans="1:18" x14ac:dyDescent="0.25">
      <c r="A906" t="s">
        <v>957</v>
      </c>
      <c r="B906" s="1">
        <v>45439</v>
      </c>
      <c r="C906" s="1">
        <v>45441</v>
      </c>
      <c r="D906" t="s">
        <v>72</v>
      </c>
      <c r="E906" t="s">
        <v>44</v>
      </c>
      <c r="F906" t="s">
        <v>45</v>
      </c>
      <c r="G906" t="s">
        <v>35</v>
      </c>
      <c r="H906" t="s">
        <v>40</v>
      </c>
      <c r="I906">
        <v>3</v>
      </c>
      <c r="J906">
        <v>219.17</v>
      </c>
      <c r="K906">
        <v>37.5</v>
      </c>
      <c r="L906">
        <v>137</v>
      </c>
      <c r="M906">
        <v>211.38</v>
      </c>
      <c r="N906" t="s">
        <v>23</v>
      </c>
      <c r="O906">
        <v>2</v>
      </c>
      <c r="P906">
        <v>657.51</v>
      </c>
      <c r="Q906">
        <v>695.01</v>
      </c>
      <c r="R906" t="s">
        <v>2054</v>
      </c>
    </row>
    <row r="907" spans="1:18" x14ac:dyDescent="0.25">
      <c r="A907" t="s">
        <v>958</v>
      </c>
      <c r="B907" s="1">
        <v>45440</v>
      </c>
      <c r="C907" s="1">
        <v>45445</v>
      </c>
      <c r="D907" t="s">
        <v>54</v>
      </c>
      <c r="E907" t="s">
        <v>38</v>
      </c>
      <c r="F907" t="s">
        <v>39</v>
      </c>
      <c r="G907" t="s">
        <v>26</v>
      </c>
      <c r="H907" t="s">
        <v>32</v>
      </c>
      <c r="I907">
        <v>2</v>
      </c>
      <c r="J907">
        <v>161.03</v>
      </c>
      <c r="K907">
        <v>75</v>
      </c>
      <c r="L907">
        <v>363</v>
      </c>
      <c r="M907">
        <v>26.91</v>
      </c>
      <c r="N907" t="s">
        <v>23</v>
      </c>
      <c r="O907">
        <v>5</v>
      </c>
      <c r="P907">
        <v>322.06</v>
      </c>
      <c r="Q907">
        <v>397.06</v>
      </c>
      <c r="R907" t="s">
        <v>2054</v>
      </c>
    </row>
    <row r="908" spans="1:18" x14ac:dyDescent="0.25">
      <c r="A908" t="s">
        <v>959</v>
      </c>
      <c r="B908" s="1">
        <v>45441</v>
      </c>
      <c r="C908" s="1">
        <v>45445</v>
      </c>
      <c r="D908" t="s">
        <v>82</v>
      </c>
      <c r="E908" t="s">
        <v>79</v>
      </c>
      <c r="F908" t="s">
        <v>80</v>
      </c>
      <c r="G908" t="s">
        <v>21</v>
      </c>
      <c r="H908" t="s">
        <v>40</v>
      </c>
      <c r="I908">
        <v>2</v>
      </c>
      <c r="J908">
        <v>111.83</v>
      </c>
      <c r="K908">
        <v>18</v>
      </c>
      <c r="L908">
        <v>58</v>
      </c>
      <c r="M908">
        <v>91.65</v>
      </c>
      <c r="N908" t="s">
        <v>23</v>
      </c>
      <c r="O908">
        <v>4</v>
      </c>
      <c r="P908">
        <v>223.66</v>
      </c>
      <c r="Q908">
        <v>241.66</v>
      </c>
      <c r="R908" t="s">
        <v>2054</v>
      </c>
    </row>
    <row r="909" spans="1:18" x14ac:dyDescent="0.25">
      <c r="A909" t="s">
        <v>960</v>
      </c>
      <c r="B909" s="1">
        <v>45441</v>
      </c>
      <c r="C909" s="1">
        <v>45455</v>
      </c>
      <c r="D909" t="s">
        <v>29</v>
      </c>
      <c r="E909" t="s">
        <v>30</v>
      </c>
      <c r="F909" t="s">
        <v>31</v>
      </c>
      <c r="G909" t="s">
        <v>35</v>
      </c>
      <c r="H909" t="s">
        <v>40</v>
      </c>
      <c r="I909">
        <v>3</v>
      </c>
      <c r="J909">
        <v>70.319999999999993</v>
      </c>
      <c r="K909">
        <v>18</v>
      </c>
      <c r="L909">
        <v>195</v>
      </c>
      <c r="M909">
        <v>75.38</v>
      </c>
      <c r="N909" t="s">
        <v>47</v>
      </c>
      <c r="O909">
        <v>14</v>
      </c>
      <c r="P909">
        <v>210.95999999999998</v>
      </c>
      <c r="Q909">
        <v>228.95999999999998</v>
      </c>
      <c r="R909" t="s">
        <v>2054</v>
      </c>
    </row>
    <row r="910" spans="1:18" x14ac:dyDescent="0.25">
      <c r="A910" t="s">
        <v>961</v>
      </c>
      <c r="B910" s="1">
        <v>45442</v>
      </c>
      <c r="C910" s="1">
        <v>45447</v>
      </c>
      <c r="D910" t="s">
        <v>43</v>
      </c>
      <c r="E910" t="s">
        <v>44</v>
      </c>
      <c r="F910" t="s">
        <v>45</v>
      </c>
      <c r="G910" t="s">
        <v>26</v>
      </c>
      <c r="H910" t="s">
        <v>27</v>
      </c>
      <c r="I910">
        <v>3</v>
      </c>
      <c r="J910">
        <v>864.81</v>
      </c>
      <c r="K910">
        <v>25</v>
      </c>
      <c r="L910">
        <v>278</v>
      </c>
      <c r="M910">
        <v>895.55</v>
      </c>
      <c r="N910" t="s">
        <v>23</v>
      </c>
      <c r="O910">
        <v>5</v>
      </c>
      <c r="P910">
        <v>2594.4299999999998</v>
      </c>
      <c r="Q910">
        <v>2619.4299999999998</v>
      </c>
      <c r="R910" t="s">
        <v>2054</v>
      </c>
    </row>
    <row r="911" spans="1:18" x14ac:dyDescent="0.25">
      <c r="A911" t="s">
        <v>962</v>
      </c>
      <c r="B911" s="1">
        <v>45442</v>
      </c>
      <c r="C911" s="1">
        <v>45445</v>
      </c>
      <c r="D911" t="s">
        <v>18</v>
      </c>
      <c r="E911" t="s">
        <v>19</v>
      </c>
      <c r="F911" t="s">
        <v>20</v>
      </c>
      <c r="G911" t="s">
        <v>26</v>
      </c>
      <c r="H911" t="s">
        <v>32</v>
      </c>
      <c r="I911">
        <v>6</v>
      </c>
      <c r="J911">
        <v>36.72</v>
      </c>
      <c r="K911">
        <v>8</v>
      </c>
      <c r="L911">
        <v>168</v>
      </c>
      <c r="M911">
        <v>13.62</v>
      </c>
      <c r="N911" t="s">
        <v>23</v>
      </c>
      <c r="O911">
        <v>3</v>
      </c>
      <c r="P911">
        <v>220.32</v>
      </c>
      <c r="Q911">
        <v>228.32</v>
      </c>
      <c r="R911" t="s">
        <v>2054</v>
      </c>
    </row>
    <row r="912" spans="1:18" x14ac:dyDescent="0.25">
      <c r="A912" t="s">
        <v>963</v>
      </c>
      <c r="B912" s="1">
        <v>45442</v>
      </c>
      <c r="C912" s="1">
        <v>45447</v>
      </c>
      <c r="D912" t="s">
        <v>29</v>
      </c>
      <c r="E912" t="s">
        <v>30</v>
      </c>
      <c r="F912" t="s">
        <v>31</v>
      </c>
      <c r="G912" t="s">
        <v>21</v>
      </c>
      <c r="H912" t="s">
        <v>27</v>
      </c>
      <c r="I912">
        <v>4</v>
      </c>
      <c r="J912">
        <v>57.35</v>
      </c>
      <c r="K912">
        <v>12</v>
      </c>
      <c r="L912">
        <v>29</v>
      </c>
      <c r="M912">
        <v>85.76</v>
      </c>
      <c r="N912" t="s">
        <v>23</v>
      </c>
      <c r="O912">
        <v>5</v>
      </c>
      <c r="P912">
        <v>229.4</v>
      </c>
      <c r="Q912">
        <v>241.4</v>
      </c>
      <c r="R912" t="s">
        <v>2055</v>
      </c>
    </row>
    <row r="913" spans="1:18" x14ac:dyDescent="0.25">
      <c r="A913" t="s">
        <v>964</v>
      </c>
      <c r="B913" s="1">
        <v>45442</v>
      </c>
      <c r="C913" s="1">
        <v>45444</v>
      </c>
      <c r="D913" t="s">
        <v>78</v>
      </c>
      <c r="E913" t="s">
        <v>79</v>
      </c>
      <c r="F913" t="s">
        <v>80</v>
      </c>
      <c r="G913" t="s">
        <v>21</v>
      </c>
      <c r="H913" t="s">
        <v>22</v>
      </c>
      <c r="I913">
        <v>2</v>
      </c>
      <c r="J913">
        <v>103.42</v>
      </c>
      <c r="K913">
        <v>12</v>
      </c>
      <c r="L913">
        <v>92</v>
      </c>
      <c r="M913">
        <v>87.08</v>
      </c>
      <c r="N913" t="s">
        <v>23</v>
      </c>
      <c r="O913">
        <v>2</v>
      </c>
      <c r="P913">
        <v>206.84</v>
      </c>
      <c r="Q913">
        <v>218.84</v>
      </c>
      <c r="R913" t="s">
        <v>2054</v>
      </c>
    </row>
    <row r="914" spans="1:18" x14ac:dyDescent="0.25">
      <c r="A914" t="s">
        <v>965</v>
      </c>
      <c r="B914" s="1">
        <v>45443</v>
      </c>
      <c r="C914" s="1">
        <v>45448</v>
      </c>
      <c r="D914" t="s">
        <v>82</v>
      </c>
      <c r="E914" t="s">
        <v>79</v>
      </c>
      <c r="F914" t="s">
        <v>80</v>
      </c>
      <c r="G914" t="s">
        <v>35</v>
      </c>
      <c r="H914" t="s">
        <v>22</v>
      </c>
      <c r="I914">
        <v>5</v>
      </c>
      <c r="J914">
        <v>116.8</v>
      </c>
      <c r="K914">
        <v>12</v>
      </c>
      <c r="L914">
        <v>335</v>
      </c>
      <c r="M914">
        <v>256.8</v>
      </c>
      <c r="N914" t="s">
        <v>23</v>
      </c>
      <c r="O914">
        <v>5</v>
      </c>
      <c r="P914">
        <v>584</v>
      </c>
      <c r="Q914">
        <v>596</v>
      </c>
      <c r="R914" t="s">
        <v>2054</v>
      </c>
    </row>
    <row r="915" spans="1:18" x14ac:dyDescent="0.25">
      <c r="A915" t="s">
        <v>966</v>
      </c>
      <c r="B915" s="1">
        <v>45443</v>
      </c>
      <c r="C915" s="1">
        <v>45447</v>
      </c>
      <c r="D915" t="s">
        <v>34</v>
      </c>
      <c r="E915" t="s">
        <v>30</v>
      </c>
      <c r="F915" t="s">
        <v>31</v>
      </c>
      <c r="G915" t="s">
        <v>26</v>
      </c>
      <c r="H915" t="s">
        <v>27</v>
      </c>
      <c r="I915">
        <v>4</v>
      </c>
      <c r="J915">
        <v>75.150000000000006</v>
      </c>
      <c r="K915">
        <v>12</v>
      </c>
      <c r="L915">
        <v>194</v>
      </c>
      <c r="M915">
        <v>114.24</v>
      </c>
      <c r="N915" t="s">
        <v>23</v>
      </c>
      <c r="O915">
        <v>4</v>
      </c>
      <c r="P915">
        <v>300.60000000000002</v>
      </c>
      <c r="Q915">
        <v>312.60000000000002</v>
      </c>
      <c r="R915" t="s">
        <v>2054</v>
      </c>
    </row>
    <row r="916" spans="1:18" x14ac:dyDescent="0.25">
      <c r="A916" t="s">
        <v>967</v>
      </c>
      <c r="B916" s="1">
        <v>45443</v>
      </c>
      <c r="C916" s="1">
        <v>45447</v>
      </c>
      <c r="D916" t="s">
        <v>50</v>
      </c>
      <c r="E916" t="s">
        <v>44</v>
      </c>
      <c r="F916" t="s">
        <v>45</v>
      </c>
      <c r="G916" t="s">
        <v>35</v>
      </c>
      <c r="H916" t="s">
        <v>22</v>
      </c>
      <c r="I916">
        <v>1</v>
      </c>
      <c r="J916">
        <v>708.31</v>
      </c>
      <c r="K916">
        <v>25</v>
      </c>
      <c r="L916">
        <v>295</v>
      </c>
      <c r="M916">
        <v>235.41</v>
      </c>
      <c r="N916" t="s">
        <v>23</v>
      </c>
      <c r="O916">
        <v>4</v>
      </c>
      <c r="P916">
        <v>708.31</v>
      </c>
      <c r="Q916">
        <v>733.31</v>
      </c>
      <c r="R916" t="s">
        <v>2054</v>
      </c>
    </row>
    <row r="917" spans="1:18" x14ac:dyDescent="0.25">
      <c r="A917" t="s">
        <v>968</v>
      </c>
      <c r="B917" s="1">
        <v>45444</v>
      </c>
      <c r="C917" s="1">
        <v>45455</v>
      </c>
      <c r="D917" t="s">
        <v>52</v>
      </c>
      <c r="E917" t="s">
        <v>30</v>
      </c>
      <c r="F917" t="s">
        <v>31</v>
      </c>
      <c r="G917" t="s">
        <v>35</v>
      </c>
      <c r="H917" t="s">
        <v>40</v>
      </c>
      <c r="I917">
        <v>1</v>
      </c>
      <c r="J917">
        <v>21.31</v>
      </c>
      <c r="K917">
        <v>18</v>
      </c>
      <c r="L917">
        <v>214</v>
      </c>
      <c r="M917">
        <v>-0.48</v>
      </c>
      <c r="N917" t="s">
        <v>47</v>
      </c>
      <c r="O917">
        <v>11</v>
      </c>
      <c r="P917">
        <v>21.31</v>
      </c>
      <c r="Q917">
        <v>39.31</v>
      </c>
      <c r="R917" t="s">
        <v>2054</v>
      </c>
    </row>
    <row r="918" spans="1:18" x14ac:dyDescent="0.25">
      <c r="A918" t="s">
        <v>969</v>
      </c>
      <c r="B918" s="1">
        <v>45444</v>
      </c>
      <c r="C918" s="1">
        <v>45448</v>
      </c>
      <c r="D918" t="s">
        <v>50</v>
      </c>
      <c r="E918" t="s">
        <v>44</v>
      </c>
      <c r="F918" t="s">
        <v>45</v>
      </c>
      <c r="G918" t="s">
        <v>26</v>
      </c>
      <c r="H918" t="s">
        <v>32</v>
      </c>
      <c r="I918">
        <v>3</v>
      </c>
      <c r="J918">
        <v>600.85</v>
      </c>
      <c r="K918">
        <v>25</v>
      </c>
      <c r="L918">
        <v>392</v>
      </c>
      <c r="M918">
        <v>618.39</v>
      </c>
      <c r="N918" t="s">
        <v>23</v>
      </c>
      <c r="O918">
        <v>4</v>
      </c>
      <c r="P918">
        <v>1802.5500000000002</v>
      </c>
      <c r="Q918">
        <v>1827.5500000000002</v>
      </c>
      <c r="R918" t="s">
        <v>2054</v>
      </c>
    </row>
    <row r="919" spans="1:18" x14ac:dyDescent="0.25">
      <c r="A919" t="s">
        <v>970</v>
      </c>
      <c r="B919" s="1">
        <v>45445</v>
      </c>
      <c r="C919" s="1">
        <v>45446</v>
      </c>
      <c r="D919" t="s">
        <v>25</v>
      </c>
      <c r="E919" t="s">
        <v>19</v>
      </c>
      <c r="F919" t="s">
        <v>20</v>
      </c>
      <c r="G919" t="s">
        <v>21</v>
      </c>
      <c r="H919" t="s">
        <v>32</v>
      </c>
      <c r="I919">
        <v>5</v>
      </c>
      <c r="J919">
        <v>16.899999999999999</v>
      </c>
      <c r="K919">
        <v>8</v>
      </c>
      <c r="L919">
        <v>37</v>
      </c>
      <c r="M919">
        <v>2.76</v>
      </c>
      <c r="N919" t="s">
        <v>23</v>
      </c>
      <c r="O919">
        <v>1</v>
      </c>
      <c r="P919">
        <v>84.5</v>
      </c>
      <c r="Q919">
        <v>92.5</v>
      </c>
      <c r="R919" t="s">
        <v>2055</v>
      </c>
    </row>
    <row r="920" spans="1:18" x14ac:dyDescent="0.25">
      <c r="A920" t="s">
        <v>971</v>
      </c>
      <c r="B920" s="1">
        <v>45446</v>
      </c>
      <c r="C920" s="1">
        <v>45447</v>
      </c>
      <c r="D920" t="s">
        <v>18</v>
      </c>
      <c r="E920" t="s">
        <v>19</v>
      </c>
      <c r="F920" t="s">
        <v>20</v>
      </c>
      <c r="G920" t="s">
        <v>35</v>
      </c>
      <c r="H920" t="s">
        <v>22</v>
      </c>
      <c r="I920">
        <v>10</v>
      </c>
      <c r="J920">
        <v>29.16</v>
      </c>
      <c r="K920">
        <v>8</v>
      </c>
      <c r="L920">
        <v>375</v>
      </c>
      <c r="M920">
        <v>19.329999999999998</v>
      </c>
      <c r="N920" t="s">
        <v>23</v>
      </c>
      <c r="O920">
        <v>1</v>
      </c>
      <c r="P920">
        <v>291.60000000000002</v>
      </c>
      <c r="Q920">
        <v>299.60000000000002</v>
      </c>
      <c r="R920" t="s">
        <v>2054</v>
      </c>
    </row>
    <row r="921" spans="1:18" x14ac:dyDescent="0.25">
      <c r="A921" t="s">
        <v>972</v>
      </c>
      <c r="B921" s="1">
        <v>45446</v>
      </c>
      <c r="C921" s="1">
        <v>45456</v>
      </c>
      <c r="D921" t="s">
        <v>18</v>
      </c>
      <c r="E921" t="s">
        <v>19</v>
      </c>
      <c r="F921" t="s">
        <v>20</v>
      </c>
      <c r="G921" t="s">
        <v>35</v>
      </c>
      <c r="H921" t="s">
        <v>22</v>
      </c>
      <c r="I921">
        <v>9</v>
      </c>
      <c r="J921">
        <v>20.43</v>
      </c>
      <c r="K921">
        <v>8</v>
      </c>
      <c r="L921">
        <v>332</v>
      </c>
      <c r="M921">
        <v>10.71</v>
      </c>
      <c r="N921" t="s">
        <v>63</v>
      </c>
      <c r="O921">
        <v>10</v>
      </c>
      <c r="P921">
        <v>183.87</v>
      </c>
      <c r="Q921">
        <v>191.87</v>
      </c>
      <c r="R921" t="s">
        <v>2054</v>
      </c>
    </row>
    <row r="922" spans="1:18" x14ac:dyDescent="0.25">
      <c r="A922" t="s">
        <v>973</v>
      </c>
      <c r="B922" s="1">
        <v>45447</v>
      </c>
      <c r="C922" s="1">
        <v>45452</v>
      </c>
      <c r="D922" t="s">
        <v>75</v>
      </c>
      <c r="E922" t="s">
        <v>44</v>
      </c>
      <c r="F922" t="s">
        <v>45</v>
      </c>
      <c r="G922" t="s">
        <v>35</v>
      </c>
      <c r="H922" t="s">
        <v>27</v>
      </c>
      <c r="I922">
        <v>2</v>
      </c>
      <c r="J922">
        <v>946.25</v>
      </c>
      <c r="K922">
        <v>25</v>
      </c>
      <c r="L922">
        <v>190</v>
      </c>
      <c r="M922">
        <v>649.88</v>
      </c>
      <c r="N922" t="s">
        <v>23</v>
      </c>
      <c r="O922">
        <v>5</v>
      </c>
      <c r="P922">
        <v>1892.5</v>
      </c>
      <c r="Q922">
        <v>1917.5</v>
      </c>
      <c r="R922" t="s">
        <v>2054</v>
      </c>
    </row>
    <row r="923" spans="1:18" x14ac:dyDescent="0.25">
      <c r="A923" t="s">
        <v>974</v>
      </c>
      <c r="B923" s="1">
        <v>45447</v>
      </c>
      <c r="C923" s="1">
        <v>45452</v>
      </c>
      <c r="D923" t="s">
        <v>37</v>
      </c>
      <c r="E923" t="s">
        <v>38</v>
      </c>
      <c r="F923" t="s">
        <v>39</v>
      </c>
      <c r="G923" t="s">
        <v>35</v>
      </c>
      <c r="H923" t="s">
        <v>27</v>
      </c>
      <c r="I923">
        <v>2</v>
      </c>
      <c r="J923">
        <v>373.61</v>
      </c>
      <c r="K923">
        <v>75</v>
      </c>
      <c r="L923">
        <v>339</v>
      </c>
      <c r="M923">
        <v>111.94</v>
      </c>
      <c r="N923" t="s">
        <v>23</v>
      </c>
      <c r="O923">
        <v>5</v>
      </c>
      <c r="P923">
        <v>747.22</v>
      </c>
      <c r="Q923">
        <v>822.22</v>
      </c>
      <c r="R923" t="s">
        <v>2054</v>
      </c>
    </row>
    <row r="924" spans="1:18" x14ac:dyDescent="0.25">
      <c r="A924" t="s">
        <v>975</v>
      </c>
      <c r="B924" s="1">
        <v>45447</v>
      </c>
      <c r="C924" s="1">
        <v>45462</v>
      </c>
      <c r="D924" t="s">
        <v>58</v>
      </c>
      <c r="E924" t="s">
        <v>19</v>
      </c>
      <c r="F924" t="s">
        <v>20</v>
      </c>
      <c r="G924" t="s">
        <v>35</v>
      </c>
      <c r="H924" t="s">
        <v>27</v>
      </c>
      <c r="I924">
        <v>7</v>
      </c>
      <c r="J924">
        <v>41.18</v>
      </c>
      <c r="K924">
        <v>8</v>
      </c>
      <c r="L924">
        <v>337</v>
      </c>
      <c r="M924">
        <v>19.059999999999999</v>
      </c>
      <c r="N924" t="s">
        <v>47</v>
      </c>
      <c r="O924">
        <v>15</v>
      </c>
      <c r="P924">
        <v>288.26</v>
      </c>
      <c r="Q924">
        <v>296.26</v>
      </c>
      <c r="R924" t="s">
        <v>2054</v>
      </c>
    </row>
    <row r="925" spans="1:18" x14ac:dyDescent="0.25">
      <c r="A925" t="s">
        <v>976</v>
      </c>
      <c r="B925" s="1">
        <v>45447</v>
      </c>
      <c r="C925" s="1">
        <v>45450</v>
      </c>
      <c r="D925" t="s">
        <v>29</v>
      </c>
      <c r="E925" t="s">
        <v>30</v>
      </c>
      <c r="F925" t="s">
        <v>31</v>
      </c>
      <c r="G925" t="s">
        <v>26</v>
      </c>
      <c r="H925" t="s">
        <v>32</v>
      </c>
      <c r="I925">
        <v>1</v>
      </c>
      <c r="J925">
        <v>146.21</v>
      </c>
      <c r="K925">
        <v>12</v>
      </c>
      <c r="L925">
        <v>350</v>
      </c>
      <c r="M925">
        <v>52.48</v>
      </c>
      <c r="N925" t="s">
        <v>23</v>
      </c>
      <c r="O925">
        <v>3</v>
      </c>
      <c r="P925">
        <v>146.21</v>
      </c>
      <c r="Q925">
        <v>158.21</v>
      </c>
      <c r="R925" t="s">
        <v>2054</v>
      </c>
    </row>
    <row r="926" spans="1:18" x14ac:dyDescent="0.25">
      <c r="A926" t="s">
        <v>977</v>
      </c>
      <c r="B926" s="1">
        <v>45447</v>
      </c>
      <c r="C926" s="1">
        <v>45450</v>
      </c>
      <c r="D926" t="s">
        <v>58</v>
      </c>
      <c r="E926" t="s">
        <v>19</v>
      </c>
      <c r="F926" t="s">
        <v>20</v>
      </c>
      <c r="G926" t="s">
        <v>35</v>
      </c>
      <c r="H926" t="s">
        <v>40</v>
      </c>
      <c r="I926">
        <v>6</v>
      </c>
      <c r="J926">
        <v>17.22</v>
      </c>
      <c r="K926">
        <v>12</v>
      </c>
      <c r="L926">
        <v>136</v>
      </c>
      <c r="M926">
        <v>2.2599999999999998</v>
      </c>
      <c r="N926" t="s">
        <v>23</v>
      </c>
      <c r="O926">
        <v>3</v>
      </c>
      <c r="P926">
        <v>103.32</v>
      </c>
      <c r="Q926">
        <v>115.32</v>
      </c>
      <c r="R926" t="s">
        <v>2054</v>
      </c>
    </row>
    <row r="927" spans="1:18" x14ac:dyDescent="0.25">
      <c r="A927" t="s">
        <v>978</v>
      </c>
      <c r="B927" s="1">
        <v>45448</v>
      </c>
      <c r="C927" s="1">
        <v>45464</v>
      </c>
      <c r="D927" t="s">
        <v>52</v>
      </c>
      <c r="E927" t="s">
        <v>30</v>
      </c>
      <c r="F927" t="s">
        <v>31</v>
      </c>
      <c r="G927" t="s">
        <v>35</v>
      </c>
      <c r="H927" t="s">
        <v>22</v>
      </c>
      <c r="I927">
        <v>4</v>
      </c>
      <c r="J927">
        <v>24.53</v>
      </c>
      <c r="K927">
        <v>12</v>
      </c>
      <c r="L927">
        <v>228</v>
      </c>
      <c r="M927">
        <v>33.26</v>
      </c>
      <c r="N927" t="s">
        <v>47</v>
      </c>
      <c r="O927">
        <v>16</v>
      </c>
      <c r="P927">
        <v>98.12</v>
      </c>
      <c r="Q927">
        <v>110.12</v>
      </c>
      <c r="R927" t="s">
        <v>2054</v>
      </c>
    </row>
    <row r="928" spans="1:18" x14ac:dyDescent="0.25">
      <c r="A928" t="s">
        <v>979</v>
      </c>
      <c r="B928" s="1">
        <v>45448</v>
      </c>
      <c r="C928" s="1">
        <v>45458</v>
      </c>
      <c r="D928" t="s">
        <v>29</v>
      </c>
      <c r="E928" t="s">
        <v>30</v>
      </c>
      <c r="F928" t="s">
        <v>31</v>
      </c>
      <c r="G928" t="s">
        <v>35</v>
      </c>
      <c r="H928" t="s">
        <v>40</v>
      </c>
      <c r="I928">
        <v>3</v>
      </c>
      <c r="J928">
        <v>31.6</v>
      </c>
      <c r="K928">
        <v>18</v>
      </c>
      <c r="L928">
        <v>276</v>
      </c>
      <c r="M928">
        <v>-14.22</v>
      </c>
      <c r="N928" t="s">
        <v>63</v>
      </c>
      <c r="O928">
        <v>10</v>
      </c>
      <c r="P928">
        <v>94.800000000000011</v>
      </c>
      <c r="Q928">
        <v>112.80000000000001</v>
      </c>
      <c r="R928" t="s">
        <v>2054</v>
      </c>
    </row>
    <row r="929" spans="1:18" x14ac:dyDescent="0.25">
      <c r="A929" t="s">
        <v>980</v>
      </c>
      <c r="B929" s="1">
        <v>45449</v>
      </c>
      <c r="C929" s="1">
        <v>45454</v>
      </c>
      <c r="D929" t="s">
        <v>34</v>
      </c>
      <c r="E929" t="s">
        <v>30</v>
      </c>
      <c r="F929" t="s">
        <v>31</v>
      </c>
      <c r="G929" t="s">
        <v>35</v>
      </c>
      <c r="H929" t="s">
        <v>40</v>
      </c>
      <c r="I929">
        <v>4</v>
      </c>
      <c r="J929">
        <v>112.56</v>
      </c>
      <c r="K929">
        <v>18</v>
      </c>
      <c r="L929">
        <v>268</v>
      </c>
      <c r="M929">
        <v>171.1</v>
      </c>
      <c r="N929" t="s">
        <v>23</v>
      </c>
      <c r="O929">
        <v>5</v>
      </c>
      <c r="P929">
        <v>450.24</v>
      </c>
      <c r="Q929">
        <v>468.24</v>
      </c>
      <c r="R929" t="s">
        <v>2054</v>
      </c>
    </row>
    <row r="930" spans="1:18" x14ac:dyDescent="0.25">
      <c r="A930" t="s">
        <v>981</v>
      </c>
      <c r="B930" s="1">
        <v>45450</v>
      </c>
      <c r="C930" s="1">
        <v>45452</v>
      </c>
      <c r="D930" t="s">
        <v>118</v>
      </c>
      <c r="E930" t="s">
        <v>79</v>
      </c>
      <c r="F930" t="s">
        <v>80</v>
      </c>
      <c r="G930" t="s">
        <v>35</v>
      </c>
      <c r="H930" t="s">
        <v>27</v>
      </c>
      <c r="I930">
        <v>4</v>
      </c>
      <c r="J930">
        <v>107.86</v>
      </c>
      <c r="K930">
        <v>12</v>
      </c>
      <c r="L930">
        <v>154</v>
      </c>
      <c r="M930">
        <v>188.14</v>
      </c>
      <c r="N930" t="s">
        <v>23</v>
      </c>
      <c r="O930">
        <v>2</v>
      </c>
      <c r="P930">
        <v>431.44</v>
      </c>
      <c r="Q930">
        <v>443.44</v>
      </c>
      <c r="R930" t="s">
        <v>2054</v>
      </c>
    </row>
    <row r="931" spans="1:18" x14ac:dyDescent="0.25">
      <c r="A931" t="s">
        <v>982</v>
      </c>
      <c r="B931" s="1">
        <v>45450</v>
      </c>
      <c r="C931" s="1">
        <v>45466</v>
      </c>
      <c r="D931" t="s">
        <v>43</v>
      </c>
      <c r="E931" t="s">
        <v>44</v>
      </c>
      <c r="F931" t="s">
        <v>45</v>
      </c>
      <c r="G931" t="s">
        <v>35</v>
      </c>
      <c r="H931" t="s">
        <v>40</v>
      </c>
      <c r="I931">
        <v>3</v>
      </c>
      <c r="J931">
        <v>451.85</v>
      </c>
      <c r="K931">
        <v>37.5</v>
      </c>
      <c r="L931">
        <v>184</v>
      </c>
      <c r="M931">
        <v>455.7</v>
      </c>
      <c r="N931" t="s">
        <v>47</v>
      </c>
      <c r="O931">
        <v>16</v>
      </c>
      <c r="P931">
        <v>1355.5500000000002</v>
      </c>
      <c r="Q931">
        <v>1393.0500000000002</v>
      </c>
      <c r="R931" t="s">
        <v>2054</v>
      </c>
    </row>
    <row r="932" spans="1:18" x14ac:dyDescent="0.25">
      <c r="A932" t="s">
        <v>983</v>
      </c>
      <c r="B932" s="1">
        <v>45450</v>
      </c>
      <c r="C932" s="1">
        <v>45454</v>
      </c>
      <c r="D932" t="s">
        <v>54</v>
      </c>
      <c r="E932" t="s">
        <v>38</v>
      </c>
      <c r="F932" t="s">
        <v>39</v>
      </c>
      <c r="G932" t="s">
        <v>21</v>
      </c>
      <c r="H932" t="s">
        <v>22</v>
      </c>
      <c r="I932">
        <v>2</v>
      </c>
      <c r="J932">
        <v>445.15</v>
      </c>
      <c r="K932">
        <v>75</v>
      </c>
      <c r="L932">
        <v>176</v>
      </c>
      <c r="M932">
        <v>140.56</v>
      </c>
      <c r="N932" t="s">
        <v>23</v>
      </c>
      <c r="O932">
        <v>4</v>
      </c>
      <c r="P932">
        <v>890.3</v>
      </c>
      <c r="Q932">
        <v>965.3</v>
      </c>
      <c r="R932" t="s">
        <v>2054</v>
      </c>
    </row>
    <row r="933" spans="1:18" x14ac:dyDescent="0.25">
      <c r="A933" t="s">
        <v>984</v>
      </c>
      <c r="B933" s="1">
        <v>45451</v>
      </c>
      <c r="C933" s="1">
        <v>45456</v>
      </c>
      <c r="D933" t="s">
        <v>82</v>
      </c>
      <c r="E933" t="s">
        <v>79</v>
      </c>
      <c r="F933" t="s">
        <v>80</v>
      </c>
      <c r="G933" t="s">
        <v>21</v>
      </c>
      <c r="H933" t="s">
        <v>27</v>
      </c>
      <c r="I933">
        <v>4</v>
      </c>
      <c r="J933">
        <v>105.96</v>
      </c>
      <c r="K933">
        <v>12</v>
      </c>
      <c r="L933">
        <v>125</v>
      </c>
      <c r="M933">
        <v>184.74</v>
      </c>
      <c r="N933" t="s">
        <v>23</v>
      </c>
      <c r="O933">
        <v>5</v>
      </c>
      <c r="P933">
        <v>423.84</v>
      </c>
      <c r="Q933">
        <v>435.84</v>
      </c>
      <c r="R933" t="s">
        <v>2054</v>
      </c>
    </row>
    <row r="934" spans="1:18" x14ac:dyDescent="0.25">
      <c r="A934" t="s">
        <v>985</v>
      </c>
      <c r="B934" s="1">
        <v>45451</v>
      </c>
      <c r="C934" s="1">
        <v>45455</v>
      </c>
      <c r="D934" t="s">
        <v>75</v>
      </c>
      <c r="E934" t="s">
        <v>44</v>
      </c>
      <c r="F934" t="s">
        <v>45</v>
      </c>
      <c r="G934" t="s">
        <v>35</v>
      </c>
      <c r="H934" t="s">
        <v>40</v>
      </c>
      <c r="I934">
        <v>3</v>
      </c>
      <c r="J934">
        <v>929.7</v>
      </c>
      <c r="K934">
        <v>37.5</v>
      </c>
      <c r="L934">
        <v>193</v>
      </c>
      <c r="M934">
        <v>957.43</v>
      </c>
      <c r="N934" t="s">
        <v>23</v>
      </c>
      <c r="O934">
        <v>4</v>
      </c>
      <c r="P934">
        <v>2789.1000000000004</v>
      </c>
      <c r="Q934">
        <v>2826.6000000000004</v>
      </c>
      <c r="R934" t="s">
        <v>2054</v>
      </c>
    </row>
    <row r="935" spans="1:18" x14ac:dyDescent="0.25">
      <c r="A935" t="s">
        <v>986</v>
      </c>
      <c r="B935" s="1">
        <v>45452</v>
      </c>
      <c r="C935" s="1">
        <v>45453</v>
      </c>
      <c r="D935" t="s">
        <v>18</v>
      </c>
      <c r="E935" t="s">
        <v>19</v>
      </c>
      <c r="F935" t="s">
        <v>20</v>
      </c>
      <c r="G935" t="s">
        <v>21</v>
      </c>
      <c r="H935" t="s">
        <v>27</v>
      </c>
      <c r="I935">
        <v>11</v>
      </c>
      <c r="J935">
        <v>13.39</v>
      </c>
      <c r="K935">
        <v>8</v>
      </c>
      <c r="L935">
        <v>90</v>
      </c>
      <c r="M935">
        <v>7.78</v>
      </c>
      <c r="N935" t="s">
        <v>23</v>
      </c>
      <c r="O935">
        <v>1</v>
      </c>
      <c r="P935">
        <v>147.29000000000002</v>
      </c>
      <c r="Q935">
        <v>155.29000000000002</v>
      </c>
      <c r="R935" t="s">
        <v>2054</v>
      </c>
    </row>
    <row r="936" spans="1:18" x14ac:dyDescent="0.25">
      <c r="A936" t="s">
        <v>987</v>
      </c>
      <c r="B936" s="1">
        <v>45452</v>
      </c>
      <c r="C936" s="1">
        <v>45463</v>
      </c>
      <c r="D936" t="s">
        <v>78</v>
      </c>
      <c r="E936" t="s">
        <v>79</v>
      </c>
      <c r="F936" t="s">
        <v>80</v>
      </c>
      <c r="G936" t="s">
        <v>35</v>
      </c>
      <c r="H936" t="s">
        <v>40</v>
      </c>
      <c r="I936">
        <v>5</v>
      </c>
      <c r="J936">
        <v>143.44999999999999</v>
      </c>
      <c r="K936">
        <v>18</v>
      </c>
      <c r="L936">
        <v>146</v>
      </c>
      <c r="M936">
        <v>313.75</v>
      </c>
      <c r="N936" t="s">
        <v>47</v>
      </c>
      <c r="O936">
        <v>11</v>
      </c>
      <c r="P936">
        <v>717.25</v>
      </c>
      <c r="Q936">
        <v>735.25</v>
      </c>
      <c r="R936" t="s">
        <v>2054</v>
      </c>
    </row>
    <row r="937" spans="1:18" x14ac:dyDescent="0.25">
      <c r="A937" t="s">
        <v>988</v>
      </c>
      <c r="B937" s="1">
        <v>45452</v>
      </c>
      <c r="C937" s="1">
        <v>45457</v>
      </c>
      <c r="D937" t="s">
        <v>25</v>
      </c>
      <c r="E937" t="s">
        <v>19</v>
      </c>
      <c r="F937" t="s">
        <v>20</v>
      </c>
      <c r="G937" t="s">
        <v>21</v>
      </c>
      <c r="H937" t="s">
        <v>22</v>
      </c>
      <c r="I937">
        <v>11</v>
      </c>
      <c r="J937">
        <v>42.24</v>
      </c>
      <c r="K937">
        <v>8</v>
      </c>
      <c r="L937">
        <v>27</v>
      </c>
      <c r="M937">
        <v>-69.7</v>
      </c>
      <c r="N937" t="s">
        <v>23</v>
      </c>
      <c r="O937">
        <v>5</v>
      </c>
      <c r="P937">
        <v>464.64000000000004</v>
      </c>
      <c r="Q937">
        <v>472.64000000000004</v>
      </c>
      <c r="R937" t="s">
        <v>2055</v>
      </c>
    </row>
    <row r="938" spans="1:18" x14ac:dyDescent="0.25">
      <c r="A938" t="s">
        <v>989</v>
      </c>
      <c r="B938" s="1">
        <v>45452</v>
      </c>
      <c r="C938" s="1">
        <v>45467</v>
      </c>
      <c r="D938" t="s">
        <v>54</v>
      </c>
      <c r="E938" t="s">
        <v>38</v>
      </c>
      <c r="F938" t="s">
        <v>39</v>
      </c>
      <c r="G938" t="s">
        <v>35</v>
      </c>
      <c r="H938" t="s">
        <v>27</v>
      </c>
      <c r="I938">
        <v>2</v>
      </c>
      <c r="J938">
        <v>384.88</v>
      </c>
      <c r="K938">
        <v>75</v>
      </c>
      <c r="L938">
        <v>213</v>
      </c>
      <c r="M938">
        <v>116.45</v>
      </c>
      <c r="N938" t="s">
        <v>47</v>
      </c>
      <c r="O938">
        <v>15</v>
      </c>
      <c r="P938">
        <v>769.76</v>
      </c>
      <c r="Q938">
        <v>844.76</v>
      </c>
      <c r="R938" t="s">
        <v>2054</v>
      </c>
    </row>
    <row r="939" spans="1:18" x14ac:dyDescent="0.25">
      <c r="A939" t="s">
        <v>990</v>
      </c>
      <c r="B939" s="1">
        <v>45453</v>
      </c>
      <c r="C939" s="1">
        <v>45462</v>
      </c>
      <c r="D939" t="s">
        <v>34</v>
      </c>
      <c r="E939" t="s">
        <v>30</v>
      </c>
      <c r="F939" t="s">
        <v>31</v>
      </c>
      <c r="G939" t="s">
        <v>35</v>
      </c>
      <c r="H939" t="s">
        <v>27</v>
      </c>
      <c r="I939">
        <v>2</v>
      </c>
      <c r="J939">
        <v>74.97</v>
      </c>
      <c r="K939">
        <v>12</v>
      </c>
      <c r="L939">
        <v>233</v>
      </c>
      <c r="M939">
        <v>53.98</v>
      </c>
      <c r="N939" t="s">
        <v>63</v>
      </c>
      <c r="O939">
        <v>9</v>
      </c>
      <c r="P939">
        <v>149.94</v>
      </c>
      <c r="Q939">
        <v>161.94</v>
      </c>
      <c r="R939" t="s">
        <v>2054</v>
      </c>
    </row>
    <row r="940" spans="1:18" x14ac:dyDescent="0.25">
      <c r="A940" t="s">
        <v>991</v>
      </c>
      <c r="B940" s="1">
        <v>45456</v>
      </c>
      <c r="C940" s="1">
        <v>45460</v>
      </c>
      <c r="D940" t="s">
        <v>58</v>
      </c>
      <c r="E940" t="s">
        <v>19</v>
      </c>
      <c r="F940" t="s">
        <v>20</v>
      </c>
      <c r="G940" t="s">
        <v>26</v>
      </c>
      <c r="H940" t="s">
        <v>32</v>
      </c>
      <c r="I940">
        <v>12</v>
      </c>
      <c r="J940">
        <v>32.1</v>
      </c>
      <c r="K940">
        <v>8</v>
      </c>
      <c r="L940">
        <v>99</v>
      </c>
      <c r="M940">
        <v>26.82</v>
      </c>
      <c r="N940" t="s">
        <v>23</v>
      </c>
      <c r="O940">
        <v>4</v>
      </c>
      <c r="P940">
        <v>385.20000000000005</v>
      </c>
      <c r="Q940">
        <v>393.20000000000005</v>
      </c>
      <c r="R940" t="s">
        <v>2054</v>
      </c>
    </row>
    <row r="941" spans="1:18" x14ac:dyDescent="0.25">
      <c r="A941" t="s">
        <v>992</v>
      </c>
      <c r="B941" s="1">
        <v>45457</v>
      </c>
      <c r="C941" s="1">
        <v>45460</v>
      </c>
      <c r="D941" t="s">
        <v>43</v>
      </c>
      <c r="E941" t="s">
        <v>44</v>
      </c>
      <c r="F941" t="s">
        <v>45</v>
      </c>
      <c r="G941" t="s">
        <v>21</v>
      </c>
      <c r="H941" t="s">
        <v>27</v>
      </c>
      <c r="I941">
        <v>1</v>
      </c>
      <c r="J941">
        <v>1030.92</v>
      </c>
      <c r="K941">
        <v>25</v>
      </c>
      <c r="L941">
        <v>28</v>
      </c>
      <c r="M941">
        <v>348.32</v>
      </c>
      <c r="N941" t="s">
        <v>23</v>
      </c>
      <c r="O941">
        <v>3</v>
      </c>
      <c r="P941">
        <v>1030.92</v>
      </c>
      <c r="Q941">
        <v>1055.92</v>
      </c>
      <c r="R941" t="s">
        <v>2055</v>
      </c>
    </row>
    <row r="942" spans="1:18" x14ac:dyDescent="0.25">
      <c r="A942" t="s">
        <v>993</v>
      </c>
      <c r="B942" s="1">
        <v>45458</v>
      </c>
      <c r="C942" s="1">
        <v>45472</v>
      </c>
      <c r="D942" t="s">
        <v>52</v>
      </c>
      <c r="E942" t="s">
        <v>30</v>
      </c>
      <c r="F942" t="s">
        <v>31</v>
      </c>
      <c r="G942" t="s">
        <v>35</v>
      </c>
      <c r="H942" t="s">
        <v>32</v>
      </c>
      <c r="I942">
        <v>4</v>
      </c>
      <c r="J942">
        <v>129.84</v>
      </c>
      <c r="K942">
        <v>12</v>
      </c>
      <c r="L942">
        <v>103</v>
      </c>
      <c r="M942">
        <v>201.75</v>
      </c>
      <c r="N942" t="s">
        <v>47</v>
      </c>
      <c r="O942">
        <v>14</v>
      </c>
      <c r="P942">
        <v>519.36</v>
      </c>
      <c r="Q942">
        <v>531.36</v>
      </c>
      <c r="R942" t="s">
        <v>2054</v>
      </c>
    </row>
    <row r="943" spans="1:18" x14ac:dyDescent="0.25">
      <c r="A943" t="s">
        <v>994</v>
      </c>
      <c r="B943" s="1">
        <v>45458</v>
      </c>
      <c r="C943" s="1">
        <v>45463</v>
      </c>
      <c r="D943" t="s">
        <v>25</v>
      </c>
      <c r="E943" t="s">
        <v>19</v>
      </c>
      <c r="F943" t="s">
        <v>20</v>
      </c>
      <c r="G943" t="s">
        <v>35</v>
      </c>
      <c r="H943" t="s">
        <v>22</v>
      </c>
      <c r="I943">
        <v>5</v>
      </c>
      <c r="J943">
        <v>14.9</v>
      </c>
      <c r="K943">
        <v>8</v>
      </c>
      <c r="L943">
        <v>323</v>
      </c>
      <c r="M943">
        <v>1.96</v>
      </c>
      <c r="N943" t="s">
        <v>23</v>
      </c>
      <c r="O943">
        <v>5</v>
      </c>
      <c r="P943">
        <v>74.5</v>
      </c>
      <c r="Q943">
        <v>82.5</v>
      </c>
      <c r="R943" t="s">
        <v>2054</v>
      </c>
    </row>
    <row r="944" spans="1:18" x14ac:dyDescent="0.25">
      <c r="A944" t="s">
        <v>995</v>
      </c>
      <c r="B944" s="1">
        <v>45460</v>
      </c>
      <c r="C944" s="1">
        <v>45468</v>
      </c>
      <c r="D944" t="s">
        <v>58</v>
      </c>
      <c r="E944" t="s">
        <v>19</v>
      </c>
      <c r="F944" t="s">
        <v>20</v>
      </c>
      <c r="G944" t="s">
        <v>35</v>
      </c>
      <c r="H944" t="s">
        <v>27</v>
      </c>
      <c r="I944">
        <v>6</v>
      </c>
      <c r="J944">
        <v>13.67</v>
      </c>
      <c r="K944">
        <v>8</v>
      </c>
      <c r="L944">
        <v>127</v>
      </c>
      <c r="M944">
        <v>2.56</v>
      </c>
      <c r="N944" t="s">
        <v>63</v>
      </c>
      <c r="O944">
        <v>8</v>
      </c>
      <c r="P944">
        <v>82.02</v>
      </c>
      <c r="Q944">
        <v>90.02</v>
      </c>
      <c r="R944" t="s">
        <v>2054</v>
      </c>
    </row>
    <row r="945" spans="1:18" x14ac:dyDescent="0.25">
      <c r="A945" t="s">
        <v>996</v>
      </c>
      <c r="B945" s="1">
        <v>45460</v>
      </c>
      <c r="C945" s="1">
        <v>45474</v>
      </c>
      <c r="D945" t="s">
        <v>43</v>
      </c>
      <c r="E945" t="s">
        <v>44</v>
      </c>
      <c r="F945" t="s">
        <v>45</v>
      </c>
      <c r="G945" t="s">
        <v>35</v>
      </c>
      <c r="H945" t="s">
        <v>40</v>
      </c>
      <c r="I945">
        <v>3</v>
      </c>
      <c r="J945">
        <v>819.9</v>
      </c>
      <c r="K945">
        <v>37.5</v>
      </c>
      <c r="L945">
        <v>97</v>
      </c>
      <c r="M945">
        <v>842.14</v>
      </c>
      <c r="N945" t="s">
        <v>47</v>
      </c>
      <c r="O945">
        <v>14</v>
      </c>
      <c r="P945">
        <v>2459.6999999999998</v>
      </c>
      <c r="Q945">
        <v>2497.1999999999998</v>
      </c>
      <c r="R945" t="s">
        <v>2054</v>
      </c>
    </row>
    <row r="946" spans="1:18" x14ac:dyDescent="0.25">
      <c r="A946" t="s">
        <v>997</v>
      </c>
      <c r="B946" s="1">
        <v>45461</v>
      </c>
      <c r="C946" s="1">
        <v>45463</v>
      </c>
      <c r="D946" t="s">
        <v>18</v>
      </c>
      <c r="E946" t="s">
        <v>19</v>
      </c>
      <c r="F946" t="s">
        <v>20</v>
      </c>
      <c r="G946" t="s">
        <v>35</v>
      </c>
      <c r="H946" t="s">
        <v>40</v>
      </c>
      <c r="I946">
        <v>6</v>
      </c>
      <c r="J946">
        <v>15.39</v>
      </c>
      <c r="K946">
        <v>12</v>
      </c>
      <c r="L946">
        <v>130</v>
      </c>
      <c r="M946">
        <v>1.39</v>
      </c>
      <c r="N946" t="s">
        <v>23</v>
      </c>
      <c r="O946">
        <v>2</v>
      </c>
      <c r="P946">
        <v>92.34</v>
      </c>
      <c r="Q946">
        <v>104.34</v>
      </c>
      <c r="R946" t="s">
        <v>2054</v>
      </c>
    </row>
    <row r="947" spans="1:18" x14ac:dyDescent="0.25">
      <c r="A947" t="s">
        <v>998</v>
      </c>
      <c r="B947" s="1">
        <v>45463</v>
      </c>
      <c r="C947" s="1">
        <v>45466</v>
      </c>
      <c r="D947" t="s">
        <v>54</v>
      </c>
      <c r="E947" t="s">
        <v>38</v>
      </c>
      <c r="F947" t="s">
        <v>39</v>
      </c>
      <c r="G947" t="s">
        <v>26</v>
      </c>
      <c r="H947" t="s">
        <v>27</v>
      </c>
      <c r="I947">
        <v>1</v>
      </c>
      <c r="J947">
        <v>389.29</v>
      </c>
      <c r="K947">
        <v>75</v>
      </c>
      <c r="L947">
        <v>327</v>
      </c>
      <c r="M947">
        <v>40.36</v>
      </c>
      <c r="N947" t="s">
        <v>23</v>
      </c>
      <c r="O947">
        <v>3</v>
      </c>
      <c r="P947">
        <v>389.29</v>
      </c>
      <c r="Q947">
        <v>464.29</v>
      </c>
      <c r="R947" t="s">
        <v>2054</v>
      </c>
    </row>
    <row r="948" spans="1:18" x14ac:dyDescent="0.25">
      <c r="A948" t="s">
        <v>999</v>
      </c>
      <c r="B948" s="1">
        <v>45463</v>
      </c>
      <c r="C948" s="1">
        <v>45465</v>
      </c>
      <c r="D948" t="s">
        <v>34</v>
      </c>
      <c r="E948" t="s">
        <v>30</v>
      </c>
      <c r="F948" t="s">
        <v>31</v>
      </c>
      <c r="G948" t="s">
        <v>35</v>
      </c>
      <c r="H948" t="s">
        <v>27</v>
      </c>
      <c r="I948">
        <v>4</v>
      </c>
      <c r="J948">
        <v>91.5</v>
      </c>
      <c r="K948">
        <v>12</v>
      </c>
      <c r="L948">
        <v>389</v>
      </c>
      <c r="M948">
        <v>140.4</v>
      </c>
      <c r="N948" t="s">
        <v>23</v>
      </c>
      <c r="O948">
        <v>2</v>
      </c>
      <c r="P948">
        <v>366</v>
      </c>
      <c r="Q948">
        <v>378</v>
      </c>
      <c r="R948" t="s">
        <v>2054</v>
      </c>
    </row>
    <row r="949" spans="1:18" x14ac:dyDescent="0.25">
      <c r="A949" t="s">
        <v>1000</v>
      </c>
      <c r="B949" s="1">
        <v>45463</v>
      </c>
      <c r="C949" s="1">
        <v>45466</v>
      </c>
      <c r="D949" t="s">
        <v>43</v>
      </c>
      <c r="E949" t="s">
        <v>44</v>
      </c>
      <c r="F949" t="s">
        <v>45</v>
      </c>
      <c r="G949" t="s">
        <v>21</v>
      </c>
      <c r="H949" t="s">
        <v>40</v>
      </c>
      <c r="I949">
        <v>1</v>
      </c>
      <c r="J949">
        <v>1132.49</v>
      </c>
      <c r="K949">
        <v>37.5</v>
      </c>
      <c r="L949">
        <v>373</v>
      </c>
      <c r="M949">
        <v>377.62</v>
      </c>
      <c r="N949" t="s">
        <v>23</v>
      </c>
      <c r="O949">
        <v>3</v>
      </c>
      <c r="P949">
        <v>1132.49</v>
      </c>
      <c r="Q949">
        <v>1169.99</v>
      </c>
      <c r="R949" t="s">
        <v>2054</v>
      </c>
    </row>
    <row r="950" spans="1:18" x14ac:dyDescent="0.25">
      <c r="A950" t="s">
        <v>1001</v>
      </c>
      <c r="B950" s="1">
        <v>45464</v>
      </c>
      <c r="C950" s="1">
        <v>45465</v>
      </c>
      <c r="D950" t="s">
        <v>37</v>
      </c>
      <c r="E950" t="s">
        <v>38</v>
      </c>
      <c r="F950" t="s">
        <v>39</v>
      </c>
      <c r="G950" t="s">
        <v>26</v>
      </c>
      <c r="H950" t="s">
        <v>22</v>
      </c>
      <c r="I950">
        <v>2</v>
      </c>
      <c r="J950">
        <v>149.69</v>
      </c>
      <c r="K950">
        <v>75</v>
      </c>
      <c r="L950">
        <v>367</v>
      </c>
      <c r="M950">
        <v>22.38</v>
      </c>
      <c r="N950" t="s">
        <v>23</v>
      </c>
      <c r="O950">
        <v>1</v>
      </c>
      <c r="P950">
        <v>299.38</v>
      </c>
      <c r="Q950">
        <v>374.38</v>
      </c>
      <c r="R950" t="s">
        <v>2054</v>
      </c>
    </row>
    <row r="951" spans="1:18" x14ac:dyDescent="0.25">
      <c r="A951" t="s">
        <v>1002</v>
      </c>
      <c r="B951" s="1">
        <v>45466</v>
      </c>
      <c r="C951" s="1">
        <v>45468</v>
      </c>
      <c r="D951" t="s">
        <v>118</v>
      </c>
      <c r="E951" t="s">
        <v>79</v>
      </c>
      <c r="F951" t="s">
        <v>80</v>
      </c>
      <c r="G951" t="s">
        <v>26</v>
      </c>
      <c r="H951" t="s">
        <v>27</v>
      </c>
      <c r="I951">
        <v>1</v>
      </c>
      <c r="J951">
        <v>107.8</v>
      </c>
      <c r="K951">
        <v>12</v>
      </c>
      <c r="L951">
        <v>164</v>
      </c>
      <c r="M951">
        <v>42.51</v>
      </c>
      <c r="N951" t="s">
        <v>23</v>
      </c>
      <c r="O951">
        <v>2</v>
      </c>
      <c r="P951">
        <v>107.8</v>
      </c>
      <c r="Q951">
        <v>119.8</v>
      </c>
      <c r="R951" t="s">
        <v>2054</v>
      </c>
    </row>
    <row r="952" spans="1:18" x14ac:dyDescent="0.25">
      <c r="A952" t="s">
        <v>1003</v>
      </c>
      <c r="B952" s="1">
        <v>45466</v>
      </c>
      <c r="C952" s="1">
        <v>45470</v>
      </c>
      <c r="D952" t="s">
        <v>29</v>
      </c>
      <c r="E952" t="s">
        <v>30</v>
      </c>
      <c r="F952" t="s">
        <v>31</v>
      </c>
      <c r="G952" t="s">
        <v>21</v>
      </c>
      <c r="H952" t="s">
        <v>32</v>
      </c>
      <c r="I952">
        <v>1</v>
      </c>
      <c r="J952">
        <v>39.159999999999997</v>
      </c>
      <c r="K952">
        <v>12</v>
      </c>
      <c r="L952">
        <v>208</v>
      </c>
      <c r="M952">
        <v>9.66</v>
      </c>
      <c r="N952" t="s">
        <v>23</v>
      </c>
      <c r="O952">
        <v>4</v>
      </c>
      <c r="P952">
        <v>39.159999999999997</v>
      </c>
      <c r="Q952">
        <v>51.16</v>
      </c>
      <c r="R952" t="s">
        <v>2054</v>
      </c>
    </row>
    <row r="953" spans="1:18" x14ac:dyDescent="0.25">
      <c r="A953" t="s">
        <v>1004</v>
      </c>
      <c r="B953" s="1">
        <v>45467</v>
      </c>
      <c r="C953" s="1">
        <v>45470</v>
      </c>
      <c r="D953" t="s">
        <v>50</v>
      </c>
      <c r="E953" t="s">
        <v>44</v>
      </c>
      <c r="F953" t="s">
        <v>45</v>
      </c>
      <c r="G953" t="s">
        <v>26</v>
      </c>
      <c r="H953" t="s">
        <v>32</v>
      </c>
      <c r="I953">
        <v>2</v>
      </c>
      <c r="J953">
        <v>1133.3800000000001</v>
      </c>
      <c r="K953">
        <v>25</v>
      </c>
      <c r="L953">
        <v>356</v>
      </c>
      <c r="M953">
        <v>-340.01</v>
      </c>
      <c r="N953" t="s">
        <v>23</v>
      </c>
      <c r="O953">
        <v>3</v>
      </c>
      <c r="P953">
        <v>2266.7600000000002</v>
      </c>
      <c r="Q953">
        <v>2291.7600000000002</v>
      </c>
      <c r="R953" t="s">
        <v>2054</v>
      </c>
    </row>
    <row r="954" spans="1:18" x14ac:dyDescent="0.25">
      <c r="A954" t="s">
        <v>1005</v>
      </c>
      <c r="B954" s="1">
        <v>45467</v>
      </c>
      <c r="C954" s="1">
        <v>45472</v>
      </c>
      <c r="D954" t="s">
        <v>25</v>
      </c>
      <c r="E954" t="s">
        <v>19</v>
      </c>
      <c r="F954" t="s">
        <v>20</v>
      </c>
      <c r="G954" t="s">
        <v>26</v>
      </c>
      <c r="H954" t="s">
        <v>27</v>
      </c>
      <c r="I954">
        <v>12</v>
      </c>
      <c r="J954">
        <v>39.159999999999997</v>
      </c>
      <c r="K954">
        <v>8</v>
      </c>
      <c r="L954">
        <v>7</v>
      </c>
      <c r="M954">
        <v>33.6</v>
      </c>
      <c r="N954" t="s">
        <v>23</v>
      </c>
      <c r="O954">
        <v>5</v>
      </c>
      <c r="P954">
        <v>469.91999999999996</v>
      </c>
      <c r="Q954">
        <v>477.91999999999996</v>
      </c>
      <c r="R954" t="s">
        <v>2056</v>
      </c>
    </row>
    <row r="955" spans="1:18" x14ac:dyDescent="0.25">
      <c r="A955" t="s">
        <v>1006</v>
      </c>
      <c r="B955" s="1">
        <v>45468</v>
      </c>
      <c r="C955" s="1">
        <v>45473</v>
      </c>
      <c r="D955" t="s">
        <v>72</v>
      </c>
      <c r="E955" t="s">
        <v>44</v>
      </c>
      <c r="F955" t="s">
        <v>45</v>
      </c>
      <c r="G955" t="s">
        <v>35</v>
      </c>
      <c r="H955" t="s">
        <v>40</v>
      </c>
      <c r="I955">
        <v>3</v>
      </c>
      <c r="J955">
        <v>1136.3499999999999</v>
      </c>
      <c r="K955">
        <v>37.5</v>
      </c>
      <c r="L955">
        <v>380</v>
      </c>
      <c r="M955">
        <v>1174.4100000000001</v>
      </c>
      <c r="N955" t="s">
        <v>23</v>
      </c>
      <c r="O955">
        <v>5</v>
      </c>
      <c r="P955">
        <v>3409.0499999999997</v>
      </c>
      <c r="Q955">
        <v>3446.5499999999997</v>
      </c>
      <c r="R955" t="s">
        <v>2054</v>
      </c>
    </row>
    <row r="956" spans="1:18" x14ac:dyDescent="0.25">
      <c r="A956" t="s">
        <v>1007</v>
      </c>
      <c r="B956" s="1">
        <v>45469</v>
      </c>
      <c r="C956" s="1">
        <v>45472</v>
      </c>
      <c r="D956" t="s">
        <v>18</v>
      </c>
      <c r="E956" t="s">
        <v>19</v>
      </c>
      <c r="F956" t="s">
        <v>20</v>
      </c>
      <c r="G956" t="s">
        <v>21</v>
      </c>
      <c r="H956" t="s">
        <v>27</v>
      </c>
      <c r="I956">
        <v>6</v>
      </c>
      <c r="J956">
        <v>49.39</v>
      </c>
      <c r="K956">
        <v>8</v>
      </c>
      <c r="L956">
        <v>239</v>
      </c>
      <c r="M956">
        <v>19.71</v>
      </c>
      <c r="N956" t="s">
        <v>23</v>
      </c>
      <c r="O956">
        <v>3</v>
      </c>
      <c r="P956">
        <v>296.34000000000003</v>
      </c>
      <c r="Q956">
        <v>304.34000000000003</v>
      </c>
      <c r="R956" t="s">
        <v>2054</v>
      </c>
    </row>
    <row r="957" spans="1:18" x14ac:dyDescent="0.25">
      <c r="A957" t="s">
        <v>1008</v>
      </c>
      <c r="B957" s="1">
        <v>45469</v>
      </c>
      <c r="C957" s="1">
        <v>45471</v>
      </c>
      <c r="D957" t="s">
        <v>118</v>
      </c>
      <c r="E957" t="s">
        <v>79</v>
      </c>
      <c r="F957" t="s">
        <v>80</v>
      </c>
      <c r="G957" t="s">
        <v>35</v>
      </c>
      <c r="H957" t="s">
        <v>40</v>
      </c>
      <c r="I957">
        <v>4</v>
      </c>
      <c r="J957">
        <v>139.85</v>
      </c>
      <c r="K957">
        <v>18</v>
      </c>
      <c r="L957">
        <v>193</v>
      </c>
      <c r="M957">
        <v>-83.91</v>
      </c>
      <c r="N957" t="s">
        <v>23</v>
      </c>
      <c r="O957">
        <v>2</v>
      </c>
      <c r="P957">
        <v>559.4</v>
      </c>
      <c r="Q957">
        <v>577.4</v>
      </c>
      <c r="R957" t="s">
        <v>2054</v>
      </c>
    </row>
    <row r="958" spans="1:18" x14ac:dyDescent="0.25">
      <c r="A958" t="s">
        <v>1009</v>
      </c>
      <c r="B958" s="1">
        <v>45472</v>
      </c>
      <c r="C958" s="1">
        <v>45476</v>
      </c>
      <c r="D958" t="s">
        <v>52</v>
      </c>
      <c r="E958" t="s">
        <v>30</v>
      </c>
      <c r="F958" t="s">
        <v>31</v>
      </c>
      <c r="G958" t="s">
        <v>35</v>
      </c>
      <c r="H958" t="s">
        <v>40</v>
      </c>
      <c r="I958">
        <v>4</v>
      </c>
      <c r="J958">
        <v>118.43</v>
      </c>
      <c r="K958">
        <v>18</v>
      </c>
      <c r="L958">
        <v>96</v>
      </c>
      <c r="M958">
        <v>180.49</v>
      </c>
      <c r="N958" t="s">
        <v>23</v>
      </c>
      <c r="O958">
        <v>4</v>
      </c>
      <c r="P958">
        <v>473.72</v>
      </c>
      <c r="Q958">
        <v>491.72</v>
      </c>
      <c r="R958" t="s">
        <v>2054</v>
      </c>
    </row>
    <row r="959" spans="1:18" x14ac:dyDescent="0.25">
      <c r="A959" t="s">
        <v>1010</v>
      </c>
      <c r="B959" s="1">
        <v>45472</v>
      </c>
      <c r="C959" s="1">
        <v>45483</v>
      </c>
      <c r="D959" t="s">
        <v>34</v>
      </c>
      <c r="E959" t="s">
        <v>30</v>
      </c>
      <c r="F959" t="s">
        <v>31</v>
      </c>
      <c r="G959" t="s">
        <v>35</v>
      </c>
      <c r="H959" t="s">
        <v>22</v>
      </c>
      <c r="I959">
        <v>2</v>
      </c>
      <c r="J959">
        <v>78.19</v>
      </c>
      <c r="K959">
        <v>12</v>
      </c>
      <c r="L959">
        <v>364</v>
      </c>
      <c r="M959">
        <v>56.55</v>
      </c>
      <c r="N959" t="s">
        <v>47</v>
      </c>
      <c r="O959">
        <v>11</v>
      </c>
      <c r="P959">
        <v>156.38</v>
      </c>
      <c r="Q959">
        <v>168.38</v>
      </c>
      <c r="R959" t="s">
        <v>2054</v>
      </c>
    </row>
    <row r="960" spans="1:18" x14ac:dyDescent="0.25">
      <c r="A960" t="s">
        <v>1011</v>
      </c>
      <c r="B960" s="1">
        <v>45472</v>
      </c>
      <c r="C960" s="1">
        <v>45475</v>
      </c>
      <c r="D960" t="s">
        <v>18</v>
      </c>
      <c r="E960" t="s">
        <v>19</v>
      </c>
      <c r="F960" t="s">
        <v>20</v>
      </c>
      <c r="G960" t="s">
        <v>21</v>
      </c>
      <c r="H960" t="s">
        <v>27</v>
      </c>
      <c r="I960">
        <v>8</v>
      </c>
      <c r="J960">
        <v>19.73</v>
      </c>
      <c r="K960">
        <v>8</v>
      </c>
      <c r="L960">
        <v>322</v>
      </c>
      <c r="M960">
        <v>8.6300000000000008</v>
      </c>
      <c r="N960" t="s">
        <v>23</v>
      </c>
      <c r="O960">
        <v>3</v>
      </c>
      <c r="P960">
        <v>157.84</v>
      </c>
      <c r="Q960">
        <v>165.84</v>
      </c>
      <c r="R960" t="s">
        <v>2054</v>
      </c>
    </row>
    <row r="961" spans="1:18" x14ac:dyDescent="0.25">
      <c r="A961" t="s">
        <v>1012</v>
      </c>
      <c r="B961" s="1">
        <v>45472</v>
      </c>
      <c r="C961" s="1">
        <v>45480</v>
      </c>
      <c r="D961" t="s">
        <v>118</v>
      </c>
      <c r="E961" t="s">
        <v>79</v>
      </c>
      <c r="F961" t="s">
        <v>80</v>
      </c>
      <c r="G961" t="s">
        <v>35</v>
      </c>
      <c r="H961" t="s">
        <v>40</v>
      </c>
      <c r="I961">
        <v>4</v>
      </c>
      <c r="J961">
        <v>36.770000000000003</v>
      </c>
      <c r="K961">
        <v>18</v>
      </c>
      <c r="L961">
        <v>282</v>
      </c>
      <c r="M961">
        <v>57.19</v>
      </c>
      <c r="N961" t="s">
        <v>63</v>
      </c>
      <c r="O961">
        <v>8</v>
      </c>
      <c r="P961">
        <v>147.08000000000001</v>
      </c>
      <c r="Q961">
        <v>165.08</v>
      </c>
      <c r="R961" t="s">
        <v>2054</v>
      </c>
    </row>
    <row r="962" spans="1:18" x14ac:dyDescent="0.25">
      <c r="A962" t="s">
        <v>1013</v>
      </c>
      <c r="B962" s="1">
        <v>45473</v>
      </c>
      <c r="C962" s="1">
        <v>45474</v>
      </c>
      <c r="D962" t="s">
        <v>52</v>
      </c>
      <c r="E962" t="s">
        <v>30</v>
      </c>
      <c r="F962" t="s">
        <v>31</v>
      </c>
      <c r="G962" t="s">
        <v>26</v>
      </c>
      <c r="H962" t="s">
        <v>27</v>
      </c>
      <c r="I962">
        <v>1</v>
      </c>
      <c r="J962">
        <v>119.7</v>
      </c>
      <c r="K962">
        <v>12</v>
      </c>
      <c r="L962">
        <v>390</v>
      </c>
      <c r="M962">
        <v>41.88</v>
      </c>
      <c r="N962" t="s">
        <v>23</v>
      </c>
      <c r="O962">
        <v>1</v>
      </c>
      <c r="P962">
        <v>119.7</v>
      </c>
      <c r="Q962">
        <v>131.69999999999999</v>
      </c>
      <c r="R962" t="s">
        <v>2054</v>
      </c>
    </row>
    <row r="963" spans="1:18" x14ac:dyDescent="0.25">
      <c r="A963" t="s">
        <v>1014</v>
      </c>
      <c r="B963" s="1">
        <v>45474</v>
      </c>
      <c r="C963" s="1">
        <v>45481</v>
      </c>
      <c r="D963" t="s">
        <v>18</v>
      </c>
      <c r="E963" t="s">
        <v>19</v>
      </c>
      <c r="F963" t="s">
        <v>20</v>
      </c>
      <c r="G963" t="s">
        <v>35</v>
      </c>
      <c r="H963" t="s">
        <v>40</v>
      </c>
      <c r="I963">
        <v>8</v>
      </c>
      <c r="J963">
        <v>49.14</v>
      </c>
      <c r="K963">
        <v>12</v>
      </c>
      <c r="L963">
        <v>292</v>
      </c>
      <c r="M963">
        <v>25.45</v>
      </c>
      <c r="N963" t="s">
        <v>63</v>
      </c>
      <c r="O963">
        <v>7</v>
      </c>
      <c r="P963">
        <v>393.12</v>
      </c>
      <c r="Q963">
        <v>405.12</v>
      </c>
      <c r="R963" t="s">
        <v>2054</v>
      </c>
    </row>
    <row r="964" spans="1:18" x14ac:dyDescent="0.25">
      <c r="A964" t="s">
        <v>1015</v>
      </c>
      <c r="B964" s="1">
        <v>45475</v>
      </c>
      <c r="C964" s="1">
        <v>45476</v>
      </c>
      <c r="D964" t="s">
        <v>52</v>
      </c>
      <c r="E964" t="s">
        <v>30</v>
      </c>
      <c r="F964" t="s">
        <v>31</v>
      </c>
      <c r="G964" t="s">
        <v>21</v>
      </c>
      <c r="H964" t="s">
        <v>27</v>
      </c>
      <c r="I964">
        <v>4</v>
      </c>
      <c r="J964">
        <v>63.91</v>
      </c>
      <c r="K964">
        <v>12</v>
      </c>
      <c r="L964">
        <v>42</v>
      </c>
      <c r="M964">
        <v>96.25</v>
      </c>
      <c r="N964" t="s">
        <v>23</v>
      </c>
      <c r="O964">
        <v>1</v>
      </c>
      <c r="P964">
        <v>255.64</v>
      </c>
      <c r="Q964">
        <v>267.64</v>
      </c>
      <c r="R964" t="s">
        <v>2055</v>
      </c>
    </row>
    <row r="965" spans="1:18" x14ac:dyDescent="0.25">
      <c r="A965" t="s">
        <v>1016</v>
      </c>
      <c r="B965" s="1">
        <v>45476</v>
      </c>
      <c r="C965" s="1">
        <v>45488</v>
      </c>
      <c r="D965" t="s">
        <v>18</v>
      </c>
      <c r="E965" t="s">
        <v>19</v>
      </c>
      <c r="F965" t="s">
        <v>20</v>
      </c>
      <c r="G965" t="s">
        <v>35</v>
      </c>
      <c r="H965" t="s">
        <v>27</v>
      </c>
      <c r="I965">
        <v>11</v>
      </c>
      <c r="J965">
        <v>32.24</v>
      </c>
      <c r="K965">
        <v>8</v>
      </c>
      <c r="L965">
        <v>341</v>
      </c>
      <c r="M965">
        <v>-53.2</v>
      </c>
      <c r="N965" t="s">
        <v>47</v>
      </c>
      <c r="O965">
        <v>12</v>
      </c>
      <c r="P965">
        <v>354.64000000000004</v>
      </c>
      <c r="Q965">
        <v>362.64000000000004</v>
      </c>
      <c r="R965" t="s">
        <v>2054</v>
      </c>
    </row>
    <row r="966" spans="1:18" x14ac:dyDescent="0.25">
      <c r="A966" t="s">
        <v>1017</v>
      </c>
      <c r="B966" s="1">
        <v>45476</v>
      </c>
      <c r="C966" s="1">
        <v>45478</v>
      </c>
      <c r="D966" t="s">
        <v>118</v>
      </c>
      <c r="E966" t="s">
        <v>79</v>
      </c>
      <c r="F966" t="s">
        <v>80</v>
      </c>
      <c r="G966" t="s">
        <v>26</v>
      </c>
      <c r="H966" t="s">
        <v>32</v>
      </c>
      <c r="I966">
        <v>3</v>
      </c>
      <c r="J966">
        <v>52.42</v>
      </c>
      <c r="K966">
        <v>12</v>
      </c>
      <c r="L966">
        <v>32</v>
      </c>
      <c r="M966">
        <v>64.77</v>
      </c>
      <c r="N966" t="s">
        <v>23</v>
      </c>
      <c r="O966">
        <v>2</v>
      </c>
      <c r="P966">
        <v>157.26</v>
      </c>
      <c r="Q966">
        <v>169.26</v>
      </c>
      <c r="R966" t="s">
        <v>2055</v>
      </c>
    </row>
    <row r="967" spans="1:18" x14ac:dyDescent="0.25">
      <c r="A967" t="s">
        <v>1018</v>
      </c>
      <c r="B967" s="1">
        <v>45477</v>
      </c>
      <c r="C967" s="1">
        <v>45478</v>
      </c>
      <c r="D967" t="s">
        <v>25</v>
      </c>
      <c r="E967" t="s">
        <v>19</v>
      </c>
      <c r="F967" t="s">
        <v>20</v>
      </c>
      <c r="G967" t="s">
        <v>26</v>
      </c>
      <c r="H967" t="s">
        <v>27</v>
      </c>
      <c r="I967">
        <v>13</v>
      </c>
      <c r="J967">
        <v>19.29</v>
      </c>
      <c r="K967">
        <v>8</v>
      </c>
      <c r="L967">
        <v>3</v>
      </c>
      <c r="M967">
        <v>16.059999999999999</v>
      </c>
      <c r="N967" t="s">
        <v>23</v>
      </c>
      <c r="O967">
        <v>1</v>
      </c>
      <c r="P967">
        <v>250.76999999999998</v>
      </c>
      <c r="Q967">
        <v>258.77</v>
      </c>
      <c r="R967" t="s">
        <v>2056</v>
      </c>
    </row>
    <row r="968" spans="1:18" x14ac:dyDescent="0.25">
      <c r="A968" t="s">
        <v>1019</v>
      </c>
      <c r="B968" s="1">
        <v>45477</v>
      </c>
      <c r="C968" s="1">
        <v>45482</v>
      </c>
      <c r="D968" t="s">
        <v>72</v>
      </c>
      <c r="E968" t="s">
        <v>44</v>
      </c>
      <c r="F968" t="s">
        <v>45</v>
      </c>
      <c r="G968" t="s">
        <v>26</v>
      </c>
      <c r="H968" t="s">
        <v>27</v>
      </c>
      <c r="I968">
        <v>1</v>
      </c>
      <c r="J968">
        <v>507.43</v>
      </c>
      <c r="K968">
        <v>25</v>
      </c>
      <c r="L968">
        <v>202</v>
      </c>
      <c r="M968">
        <v>165.1</v>
      </c>
      <c r="N968" t="s">
        <v>23</v>
      </c>
      <c r="O968">
        <v>5</v>
      </c>
      <c r="P968">
        <v>507.43</v>
      </c>
      <c r="Q968">
        <v>532.43000000000006</v>
      </c>
      <c r="R968" t="s">
        <v>2054</v>
      </c>
    </row>
    <row r="969" spans="1:18" x14ac:dyDescent="0.25">
      <c r="A969" t="s">
        <v>1020</v>
      </c>
      <c r="B969" s="1">
        <v>45478</v>
      </c>
      <c r="C969" s="1">
        <v>45489</v>
      </c>
      <c r="D969" t="s">
        <v>54</v>
      </c>
      <c r="E969" t="s">
        <v>38</v>
      </c>
      <c r="F969" t="s">
        <v>39</v>
      </c>
      <c r="G969" t="s">
        <v>35</v>
      </c>
      <c r="H969" t="s">
        <v>27</v>
      </c>
      <c r="I969">
        <v>1</v>
      </c>
      <c r="J969">
        <v>307.70999999999998</v>
      </c>
      <c r="K969">
        <v>75</v>
      </c>
      <c r="L969">
        <v>296</v>
      </c>
      <c r="M969">
        <v>24.04</v>
      </c>
      <c r="N969" t="s">
        <v>47</v>
      </c>
      <c r="O969">
        <v>11</v>
      </c>
      <c r="P969">
        <v>307.70999999999998</v>
      </c>
      <c r="Q969">
        <v>382.71</v>
      </c>
      <c r="R969" t="s">
        <v>2054</v>
      </c>
    </row>
    <row r="970" spans="1:18" x14ac:dyDescent="0.25">
      <c r="A970" t="s">
        <v>1021</v>
      </c>
      <c r="B970" s="1">
        <v>45479</v>
      </c>
      <c r="C970" s="1">
        <v>45480</v>
      </c>
      <c r="D970" t="s">
        <v>56</v>
      </c>
      <c r="E970" t="s">
        <v>38</v>
      </c>
      <c r="F970" t="s">
        <v>39</v>
      </c>
      <c r="G970" t="s">
        <v>35</v>
      </c>
      <c r="H970" t="s">
        <v>40</v>
      </c>
      <c r="I970">
        <v>2</v>
      </c>
      <c r="J970">
        <v>203.06</v>
      </c>
      <c r="K970">
        <v>112.5</v>
      </c>
      <c r="L970">
        <v>220</v>
      </c>
      <c r="M970">
        <v>24.98</v>
      </c>
      <c r="N970" t="s">
        <v>23</v>
      </c>
      <c r="O970">
        <v>1</v>
      </c>
      <c r="P970">
        <v>406.12</v>
      </c>
      <c r="Q970">
        <v>518.62</v>
      </c>
      <c r="R970" t="s">
        <v>2054</v>
      </c>
    </row>
    <row r="971" spans="1:18" x14ac:dyDescent="0.25">
      <c r="A971" t="s">
        <v>1022</v>
      </c>
      <c r="B971" s="1">
        <v>45479</v>
      </c>
      <c r="C971" s="1">
        <v>45480</v>
      </c>
      <c r="D971" t="s">
        <v>25</v>
      </c>
      <c r="E971" t="s">
        <v>19</v>
      </c>
      <c r="F971" t="s">
        <v>20</v>
      </c>
      <c r="G971" t="s">
        <v>26</v>
      </c>
      <c r="H971" t="s">
        <v>32</v>
      </c>
      <c r="I971">
        <v>5</v>
      </c>
      <c r="J971">
        <v>46.62</v>
      </c>
      <c r="K971">
        <v>8</v>
      </c>
      <c r="L971">
        <v>83</v>
      </c>
      <c r="M971">
        <v>14.65</v>
      </c>
      <c r="N971" t="s">
        <v>23</v>
      </c>
      <c r="O971">
        <v>1</v>
      </c>
      <c r="P971">
        <v>233.1</v>
      </c>
      <c r="Q971">
        <v>241.1</v>
      </c>
      <c r="R971" t="s">
        <v>2054</v>
      </c>
    </row>
    <row r="972" spans="1:18" x14ac:dyDescent="0.25">
      <c r="A972" t="s">
        <v>1023</v>
      </c>
      <c r="B972" s="1">
        <v>45480</v>
      </c>
      <c r="C972" s="1">
        <v>45482</v>
      </c>
      <c r="D972" t="s">
        <v>34</v>
      </c>
      <c r="E972" t="s">
        <v>30</v>
      </c>
      <c r="F972" t="s">
        <v>31</v>
      </c>
      <c r="G972" t="s">
        <v>35</v>
      </c>
      <c r="H972" t="s">
        <v>40</v>
      </c>
      <c r="I972">
        <v>3</v>
      </c>
      <c r="J972">
        <v>75.17</v>
      </c>
      <c r="K972">
        <v>18</v>
      </c>
      <c r="L972">
        <v>197</v>
      </c>
      <c r="M972">
        <v>81.2</v>
      </c>
      <c r="N972" t="s">
        <v>23</v>
      </c>
      <c r="O972">
        <v>2</v>
      </c>
      <c r="P972">
        <v>225.51</v>
      </c>
      <c r="Q972">
        <v>243.51</v>
      </c>
      <c r="R972" t="s">
        <v>2054</v>
      </c>
    </row>
    <row r="973" spans="1:18" x14ac:dyDescent="0.25">
      <c r="A973" t="s">
        <v>1024</v>
      </c>
      <c r="B973" s="1">
        <v>45480</v>
      </c>
      <c r="C973" s="1">
        <v>45484</v>
      </c>
      <c r="D973" t="s">
        <v>34</v>
      </c>
      <c r="E973" t="s">
        <v>30</v>
      </c>
      <c r="F973" t="s">
        <v>31</v>
      </c>
      <c r="G973" t="s">
        <v>26</v>
      </c>
      <c r="H973" t="s">
        <v>22</v>
      </c>
      <c r="I973">
        <v>4</v>
      </c>
      <c r="J973">
        <v>70.430000000000007</v>
      </c>
      <c r="K973">
        <v>12</v>
      </c>
      <c r="L973">
        <v>66</v>
      </c>
      <c r="M973">
        <v>106.68</v>
      </c>
      <c r="N973" t="s">
        <v>23</v>
      </c>
      <c r="O973">
        <v>4</v>
      </c>
      <c r="P973">
        <v>281.72000000000003</v>
      </c>
      <c r="Q973">
        <v>293.72000000000003</v>
      </c>
      <c r="R973" t="s">
        <v>2054</v>
      </c>
    </row>
    <row r="974" spans="1:18" x14ac:dyDescent="0.25">
      <c r="A974" t="s">
        <v>1025</v>
      </c>
      <c r="B974" s="1">
        <v>45480</v>
      </c>
      <c r="C974" s="1">
        <v>45484</v>
      </c>
      <c r="D974" t="s">
        <v>43</v>
      </c>
      <c r="E974" t="s">
        <v>44</v>
      </c>
      <c r="F974" t="s">
        <v>45</v>
      </c>
      <c r="G974" t="s">
        <v>21</v>
      </c>
      <c r="H974" t="s">
        <v>22</v>
      </c>
      <c r="I974">
        <v>1</v>
      </c>
      <c r="J974">
        <v>221.65</v>
      </c>
      <c r="K974">
        <v>25</v>
      </c>
      <c r="L974">
        <v>27</v>
      </c>
      <c r="M974">
        <v>-33.25</v>
      </c>
      <c r="N974" t="s">
        <v>23</v>
      </c>
      <c r="O974">
        <v>4</v>
      </c>
      <c r="P974">
        <v>221.65</v>
      </c>
      <c r="Q974">
        <v>246.65</v>
      </c>
      <c r="R974" t="s">
        <v>2055</v>
      </c>
    </row>
    <row r="975" spans="1:18" x14ac:dyDescent="0.25">
      <c r="A975" t="s">
        <v>1026</v>
      </c>
      <c r="B975" s="1">
        <v>45480</v>
      </c>
      <c r="C975" s="1">
        <v>45483</v>
      </c>
      <c r="D975" t="s">
        <v>75</v>
      </c>
      <c r="E975" t="s">
        <v>44</v>
      </c>
      <c r="F975" t="s">
        <v>45</v>
      </c>
      <c r="G975" t="s">
        <v>21</v>
      </c>
      <c r="H975" t="s">
        <v>32</v>
      </c>
      <c r="I975">
        <v>3</v>
      </c>
      <c r="J975">
        <v>962.65</v>
      </c>
      <c r="K975">
        <v>25</v>
      </c>
      <c r="L975">
        <v>325</v>
      </c>
      <c r="M975">
        <v>998.29</v>
      </c>
      <c r="N975" t="s">
        <v>23</v>
      </c>
      <c r="O975">
        <v>3</v>
      </c>
      <c r="P975">
        <v>2887.95</v>
      </c>
      <c r="Q975">
        <v>2912.95</v>
      </c>
      <c r="R975" t="s">
        <v>2054</v>
      </c>
    </row>
    <row r="976" spans="1:18" x14ac:dyDescent="0.25">
      <c r="A976" t="s">
        <v>1027</v>
      </c>
      <c r="B976" s="1">
        <v>45483</v>
      </c>
      <c r="C976" s="1">
        <v>45488</v>
      </c>
      <c r="D976" t="s">
        <v>29</v>
      </c>
      <c r="E976" t="s">
        <v>30</v>
      </c>
      <c r="F976" t="s">
        <v>31</v>
      </c>
      <c r="G976" t="s">
        <v>21</v>
      </c>
      <c r="H976" t="s">
        <v>40</v>
      </c>
      <c r="I976">
        <v>3</v>
      </c>
      <c r="J976">
        <v>145.06</v>
      </c>
      <c r="K976">
        <v>18</v>
      </c>
      <c r="L976">
        <v>258</v>
      </c>
      <c r="M976">
        <v>165.07</v>
      </c>
      <c r="N976" t="s">
        <v>23</v>
      </c>
      <c r="O976">
        <v>5</v>
      </c>
      <c r="P976">
        <v>435.18</v>
      </c>
      <c r="Q976">
        <v>453.18</v>
      </c>
      <c r="R976" t="s">
        <v>2054</v>
      </c>
    </row>
    <row r="977" spans="1:18" x14ac:dyDescent="0.25">
      <c r="A977" t="s">
        <v>1028</v>
      </c>
      <c r="B977" s="1">
        <v>45483</v>
      </c>
      <c r="C977" s="1">
        <v>45490</v>
      </c>
      <c r="D977" t="s">
        <v>58</v>
      </c>
      <c r="E977" t="s">
        <v>19</v>
      </c>
      <c r="F977" t="s">
        <v>20</v>
      </c>
      <c r="G977" t="s">
        <v>35</v>
      </c>
      <c r="H977" t="s">
        <v>32</v>
      </c>
      <c r="I977">
        <v>6</v>
      </c>
      <c r="J977">
        <v>14.75</v>
      </c>
      <c r="K977">
        <v>8</v>
      </c>
      <c r="L977">
        <v>176</v>
      </c>
      <c r="M977">
        <v>3.08</v>
      </c>
      <c r="N977" t="s">
        <v>63</v>
      </c>
      <c r="O977">
        <v>7</v>
      </c>
      <c r="P977">
        <v>88.5</v>
      </c>
      <c r="Q977">
        <v>96.5</v>
      </c>
      <c r="R977" t="s">
        <v>2054</v>
      </c>
    </row>
    <row r="978" spans="1:18" x14ac:dyDescent="0.25">
      <c r="A978" t="s">
        <v>1029</v>
      </c>
      <c r="B978" s="1">
        <v>45483</v>
      </c>
      <c r="C978" s="1">
        <v>45484</v>
      </c>
      <c r="D978" t="s">
        <v>18</v>
      </c>
      <c r="E978" t="s">
        <v>19</v>
      </c>
      <c r="F978" t="s">
        <v>20</v>
      </c>
      <c r="G978" t="s">
        <v>35</v>
      </c>
      <c r="H978" t="s">
        <v>40</v>
      </c>
      <c r="I978">
        <v>12</v>
      </c>
      <c r="J978">
        <v>48.6</v>
      </c>
      <c r="K978">
        <v>12</v>
      </c>
      <c r="L978">
        <v>252</v>
      </c>
      <c r="M978">
        <v>-87.48</v>
      </c>
      <c r="N978" t="s">
        <v>23</v>
      </c>
      <c r="O978">
        <v>1</v>
      </c>
      <c r="P978">
        <v>583.20000000000005</v>
      </c>
      <c r="Q978">
        <v>595.20000000000005</v>
      </c>
      <c r="R978" t="s">
        <v>2054</v>
      </c>
    </row>
    <row r="979" spans="1:18" x14ac:dyDescent="0.25">
      <c r="A979" t="s">
        <v>1030</v>
      </c>
      <c r="B979" s="1">
        <v>45485</v>
      </c>
      <c r="C979" s="1">
        <v>45489</v>
      </c>
      <c r="D979" t="s">
        <v>75</v>
      </c>
      <c r="E979" t="s">
        <v>44</v>
      </c>
      <c r="F979" t="s">
        <v>45</v>
      </c>
      <c r="G979" t="s">
        <v>35</v>
      </c>
      <c r="H979" t="s">
        <v>40</v>
      </c>
      <c r="I979">
        <v>3</v>
      </c>
      <c r="J979">
        <v>789.13</v>
      </c>
      <c r="K979">
        <v>37.5</v>
      </c>
      <c r="L979">
        <v>320</v>
      </c>
      <c r="M979">
        <v>809.84</v>
      </c>
      <c r="N979" t="s">
        <v>23</v>
      </c>
      <c r="O979">
        <v>4</v>
      </c>
      <c r="P979">
        <v>2367.39</v>
      </c>
      <c r="Q979">
        <v>2404.89</v>
      </c>
      <c r="R979" t="s">
        <v>2054</v>
      </c>
    </row>
    <row r="980" spans="1:18" x14ac:dyDescent="0.25">
      <c r="A980" t="s">
        <v>1031</v>
      </c>
      <c r="B980" s="1">
        <v>45485</v>
      </c>
      <c r="C980" s="1">
        <v>45489</v>
      </c>
      <c r="D980" t="s">
        <v>37</v>
      </c>
      <c r="E980" t="s">
        <v>38</v>
      </c>
      <c r="F980" t="s">
        <v>39</v>
      </c>
      <c r="G980" t="s">
        <v>26</v>
      </c>
      <c r="H980" t="s">
        <v>32</v>
      </c>
      <c r="I980">
        <v>1</v>
      </c>
      <c r="J980">
        <v>318.44</v>
      </c>
      <c r="K980">
        <v>75</v>
      </c>
      <c r="L980">
        <v>126</v>
      </c>
      <c r="M980">
        <v>26.19</v>
      </c>
      <c r="N980" t="s">
        <v>23</v>
      </c>
      <c r="O980">
        <v>4</v>
      </c>
      <c r="P980">
        <v>318.44</v>
      </c>
      <c r="Q980">
        <v>393.44</v>
      </c>
      <c r="R980" t="s">
        <v>2054</v>
      </c>
    </row>
    <row r="981" spans="1:18" x14ac:dyDescent="0.25">
      <c r="A981" t="s">
        <v>1032</v>
      </c>
      <c r="B981" s="1">
        <v>45486</v>
      </c>
      <c r="C981" s="1">
        <v>45491</v>
      </c>
      <c r="D981" t="s">
        <v>25</v>
      </c>
      <c r="E981" t="s">
        <v>19</v>
      </c>
      <c r="F981" t="s">
        <v>20</v>
      </c>
      <c r="G981" t="s">
        <v>21</v>
      </c>
      <c r="H981" t="s">
        <v>22</v>
      </c>
      <c r="I981">
        <v>13</v>
      </c>
      <c r="J981">
        <v>41.49</v>
      </c>
      <c r="K981">
        <v>8</v>
      </c>
      <c r="L981">
        <v>299</v>
      </c>
      <c r="M981">
        <v>-80.91</v>
      </c>
      <c r="N981" t="s">
        <v>23</v>
      </c>
      <c r="O981">
        <v>5</v>
      </c>
      <c r="P981">
        <v>539.37</v>
      </c>
      <c r="Q981">
        <v>547.37</v>
      </c>
      <c r="R981" t="s">
        <v>2054</v>
      </c>
    </row>
    <row r="982" spans="1:18" x14ac:dyDescent="0.25">
      <c r="A982" t="s">
        <v>1033</v>
      </c>
      <c r="B982" s="1">
        <v>45487</v>
      </c>
      <c r="C982" s="1">
        <v>45491</v>
      </c>
      <c r="D982" t="s">
        <v>25</v>
      </c>
      <c r="E982" t="s">
        <v>19</v>
      </c>
      <c r="F982" t="s">
        <v>20</v>
      </c>
      <c r="G982" t="s">
        <v>21</v>
      </c>
      <c r="H982" t="s">
        <v>32</v>
      </c>
      <c r="I982">
        <v>10</v>
      </c>
      <c r="J982">
        <v>19.43</v>
      </c>
      <c r="K982">
        <v>8</v>
      </c>
      <c r="L982">
        <v>100</v>
      </c>
      <c r="M982">
        <v>11.54</v>
      </c>
      <c r="N982" t="s">
        <v>23</v>
      </c>
      <c r="O982">
        <v>4</v>
      </c>
      <c r="P982">
        <v>194.3</v>
      </c>
      <c r="Q982">
        <v>202.3</v>
      </c>
      <c r="R982" t="s">
        <v>2054</v>
      </c>
    </row>
    <row r="983" spans="1:18" x14ac:dyDescent="0.25">
      <c r="A983" t="s">
        <v>1034</v>
      </c>
      <c r="B983" s="1">
        <v>45487</v>
      </c>
      <c r="C983" s="1">
        <v>45492</v>
      </c>
      <c r="D983" t="s">
        <v>56</v>
      </c>
      <c r="E983" t="s">
        <v>38</v>
      </c>
      <c r="F983" t="s">
        <v>39</v>
      </c>
      <c r="G983" t="s">
        <v>21</v>
      </c>
      <c r="H983" t="s">
        <v>22</v>
      </c>
      <c r="I983">
        <v>2</v>
      </c>
      <c r="J983">
        <v>470.48</v>
      </c>
      <c r="K983">
        <v>75</v>
      </c>
      <c r="L983">
        <v>210</v>
      </c>
      <c r="M983">
        <v>150.69</v>
      </c>
      <c r="N983" t="s">
        <v>23</v>
      </c>
      <c r="O983">
        <v>5</v>
      </c>
      <c r="P983">
        <v>940.96</v>
      </c>
      <c r="Q983">
        <v>1015.96</v>
      </c>
      <c r="R983" t="s">
        <v>2054</v>
      </c>
    </row>
    <row r="984" spans="1:18" x14ac:dyDescent="0.25">
      <c r="A984" t="s">
        <v>1035</v>
      </c>
      <c r="B984" s="1">
        <v>45487</v>
      </c>
      <c r="C984" s="1">
        <v>45504</v>
      </c>
      <c r="D984" t="s">
        <v>37</v>
      </c>
      <c r="E984" t="s">
        <v>38</v>
      </c>
      <c r="F984" t="s">
        <v>39</v>
      </c>
      <c r="G984" t="s">
        <v>35</v>
      </c>
      <c r="H984" t="s">
        <v>40</v>
      </c>
      <c r="I984">
        <v>1</v>
      </c>
      <c r="J984">
        <v>272.93</v>
      </c>
      <c r="K984">
        <v>112.5</v>
      </c>
      <c r="L984">
        <v>380</v>
      </c>
      <c r="M984">
        <v>-1.66</v>
      </c>
      <c r="N984" t="s">
        <v>47</v>
      </c>
      <c r="O984">
        <v>17</v>
      </c>
      <c r="P984">
        <v>272.93</v>
      </c>
      <c r="Q984">
        <v>385.43</v>
      </c>
      <c r="R984" t="s">
        <v>2054</v>
      </c>
    </row>
    <row r="985" spans="1:18" x14ac:dyDescent="0.25">
      <c r="A985" t="s">
        <v>1036</v>
      </c>
      <c r="B985" s="1">
        <v>45489</v>
      </c>
      <c r="C985" s="1">
        <v>45493</v>
      </c>
      <c r="D985" t="s">
        <v>25</v>
      </c>
      <c r="E985" t="s">
        <v>19</v>
      </c>
      <c r="F985" t="s">
        <v>20</v>
      </c>
      <c r="G985" t="s">
        <v>21</v>
      </c>
      <c r="H985" t="s">
        <v>32</v>
      </c>
      <c r="I985">
        <v>14</v>
      </c>
      <c r="J985">
        <v>27.22</v>
      </c>
      <c r="K985">
        <v>8</v>
      </c>
      <c r="L985">
        <v>45</v>
      </c>
      <c r="M985">
        <v>26.48</v>
      </c>
      <c r="N985" t="s">
        <v>23</v>
      </c>
      <c r="O985">
        <v>4</v>
      </c>
      <c r="P985">
        <v>381.08</v>
      </c>
      <c r="Q985">
        <v>389.08</v>
      </c>
      <c r="R985" t="s">
        <v>2055</v>
      </c>
    </row>
    <row r="986" spans="1:18" x14ac:dyDescent="0.25">
      <c r="A986" t="s">
        <v>1037</v>
      </c>
      <c r="B986" s="1">
        <v>45489</v>
      </c>
      <c r="C986" s="1">
        <v>45494</v>
      </c>
      <c r="D986" t="s">
        <v>25</v>
      </c>
      <c r="E986" t="s">
        <v>19</v>
      </c>
      <c r="F986" t="s">
        <v>20</v>
      </c>
      <c r="G986" t="s">
        <v>21</v>
      </c>
      <c r="H986" t="s">
        <v>32</v>
      </c>
      <c r="I986">
        <v>10</v>
      </c>
      <c r="J986">
        <v>13.95</v>
      </c>
      <c r="K986">
        <v>8</v>
      </c>
      <c r="L986">
        <v>286</v>
      </c>
      <c r="M986">
        <v>7.16</v>
      </c>
      <c r="N986" t="s">
        <v>23</v>
      </c>
      <c r="O986">
        <v>5</v>
      </c>
      <c r="P986">
        <v>139.5</v>
      </c>
      <c r="Q986">
        <v>147.5</v>
      </c>
      <c r="R986" t="s">
        <v>2054</v>
      </c>
    </row>
    <row r="987" spans="1:18" x14ac:dyDescent="0.25">
      <c r="A987" t="s">
        <v>1038</v>
      </c>
      <c r="B987" s="1">
        <v>45489</v>
      </c>
      <c r="C987" s="1">
        <v>45492</v>
      </c>
      <c r="D987" t="s">
        <v>52</v>
      </c>
      <c r="E987" t="s">
        <v>30</v>
      </c>
      <c r="F987" t="s">
        <v>31</v>
      </c>
      <c r="G987" t="s">
        <v>21</v>
      </c>
      <c r="H987" t="s">
        <v>22</v>
      </c>
      <c r="I987">
        <v>1</v>
      </c>
      <c r="J987">
        <v>121.73</v>
      </c>
      <c r="K987">
        <v>12</v>
      </c>
      <c r="L987">
        <v>121</v>
      </c>
      <c r="M987">
        <v>42.69</v>
      </c>
      <c r="N987" t="s">
        <v>23</v>
      </c>
      <c r="O987">
        <v>3</v>
      </c>
      <c r="P987">
        <v>121.73</v>
      </c>
      <c r="Q987">
        <v>133.73000000000002</v>
      </c>
      <c r="R987" t="s">
        <v>2054</v>
      </c>
    </row>
    <row r="988" spans="1:18" x14ac:dyDescent="0.25">
      <c r="A988" t="s">
        <v>1039</v>
      </c>
      <c r="B988" s="1">
        <v>45490</v>
      </c>
      <c r="C988" s="1">
        <v>45492</v>
      </c>
      <c r="D988" t="s">
        <v>25</v>
      </c>
      <c r="E988" t="s">
        <v>19</v>
      </c>
      <c r="F988" t="s">
        <v>20</v>
      </c>
      <c r="G988" t="s">
        <v>21</v>
      </c>
      <c r="H988" t="s">
        <v>40</v>
      </c>
      <c r="I988">
        <v>13</v>
      </c>
      <c r="J988">
        <v>38.54</v>
      </c>
      <c r="K988">
        <v>12</v>
      </c>
      <c r="L988">
        <v>32</v>
      </c>
      <c r="M988">
        <v>34.08</v>
      </c>
      <c r="N988" t="s">
        <v>23</v>
      </c>
      <c r="O988">
        <v>2</v>
      </c>
      <c r="P988">
        <v>501.02</v>
      </c>
      <c r="Q988">
        <v>513.02</v>
      </c>
      <c r="R988" t="s">
        <v>2055</v>
      </c>
    </row>
    <row r="989" spans="1:18" x14ac:dyDescent="0.25">
      <c r="A989" t="s">
        <v>1040</v>
      </c>
      <c r="B989" s="1">
        <v>45490</v>
      </c>
      <c r="C989" s="1">
        <v>45495</v>
      </c>
      <c r="D989" t="s">
        <v>29</v>
      </c>
      <c r="E989" t="s">
        <v>30</v>
      </c>
      <c r="F989" t="s">
        <v>31</v>
      </c>
      <c r="G989" t="s">
        <v>21</v>
      </c>
      <c r="H989" t="s">
        <v>40</v>
      </c>
      <c r="I989">
        <v>3</v>
      </c>
      <c r="J989">
        <v>70.62</v>
      </c>
      <c r="K989">
        <v>18</v>
      </c>
      <c r="L989">
        <v>127</v>
      </c>
      <c r="M989">
        <v>75.739999999999995</v>
      </c>
      <c r="N989" t="s">
        <v>23</v>
      </c>
      <c r="O989">
        <v>5</v>
      </c>
      <c r="P989">
        <v>211.86</v>
      </c>
      <c r="Q989">
        <v>229.86</v>
      </c>
      <c r="R989" t="s">
        <v>2054</v>
      </c>
    </row>
    <row r="990" spans="1:18" x14ac:dyDescent="0.25">
      <c r="A990" t="s">
        <v>1041</v>
      </c>
      <c r="B990" s="1">
        <v>45490</v>
      </c>
      <c r="C990" s="1">
        <v>45492</v>
      </c>
      <c r="D990" t="s">
        <v>18</v>
      </c>
      <c r="E990" t="s">
        <v>19</v>
      </c>
      <c r="F990" t="s">
        <v>20</v>
      </c>
      <c r="G990" t="s">
        <v>35</v>
      </c>
      <c r="H990" t="s">
        <v>40</v>
      </c>
      <c r="I990">
        <v>5</v>
      </c>
      <c r="J990">
        <v>20.149999999999999</v>
      </c>
      <c r="K990">
        <v>12</v>
      </c>
      <c r="L990">
        <v>109</v>
      </c>
      <c r="M990">
        <v>2.06</v>
      </c>
      <c r="N990" t="s">
        <v>23</v>
      </c>
      <c r="O990">
        <v>2</v>
      </c>
      <c r="P990">
        <v>100.75</v>
      </c>
      <c r="Q990">
        <v>112.75</v>
      </c>
      <c r="R990" t="s">
        <v>2054</v>
      </c>
    </row>
    <row r="991" spans="1:18" x14ac:dyDescent="0.25">
      <c r="A991" t="s">
        <v>1042</v>
      </c>
      <c r="B991" s="1">
        <v>45491</v>
      </c>
      <c r="C991" s="1">
        <v>45495</v>
      </c>
      <c r="D991" t="s">
        <v>54</v>
      </c>
      <c r="E991" t="s">
        <v>38</v>
      </c>
      <c r="F991" t="s">
        <v>39</v>
      </c>
      <c r="G991" t="s">
        <v>35</v>
      </c>
      <c r="H991" t="s">
        <v>27</v>
      </c>
      <c r="I991">
        <v>1</v>
      </c>
      <c r="J991">
        <v>345.38</v>
      </c>
      <c r="K991">
        <v>75</v>
      </c>
      <c r="L991">
        <v>358</v>
      </c>
      <c r="M991">
        <v>31.58</v>
      </c>
      <c r="N991" t="s">
        <v>23</v>
      </c>
      <c r="O991">
        <v>4</v>
      </c>
      <c r="P991">
        <v>345.38</v>
      </c>
      <c r="Q991">
        <v>420.38</v>
      </c>
      <c r="R991" t="s">
        <v>2054</v>
      </c>
    </row>
    <row r="992" spans="1:18" x14ac:dyDescent="0.25">
      <c r="A992" t="s">
        <v>1043</v>
      </c>
      <c r="B992" s="1">
        <v>45492</v>
      </c>
      <c r="C992" s="1">
        <v>45493</v>
      </c>
      <c r="D992" t="s">
        <v>54</v>
      </c>
      <c r="E992" t="s">
        <v>38</v>
      </c>
      <c r="F992" t="s">
        <v>39</v>
      </c>
      <c r="G992" t="s">
        <v>26</v>
      </c>
      <c r="H992" t="s">
        <v>22</v>
      </c>
      <c r="I992">
        <v>2</v>
      </c>
      <c r="J992">
        <v>260.98</v>
      </c>
      <c r="K992">
        <v>75</v>
      </c>
      <c r="L992">
        <v>113</v>
      </c>
      <c r="M992">
        <v>66.89</v>
      </c>
      <c r="N992" t="s">
        <v>23</v>
      </c>
      <c r="O992">
        <v>1</v>
      </c>
      <c r="P992">
        <v>521.96</v>
      </c>
      <c r="Q992">
        <v>596.96</v>
      </c>
      <c r="R992" t="s">
        <v>2054</v>
      </c>
    </row>
    <row r="993" spans="1:18" x14ac:dyDescent="0.25">
      <c r="A993" t="s">
        <v>1044</v>
      </c>
      <c r="B993" s="1">
        <v>45492</v>
      </c>
      <c r="C993" s="1">
        <v>45493</v>
      </c>
      <c r="D993" t="s">
        <v>25</v>
      </c>
      <c r="E993" t="s">
        <v>19</v>
      </c>
      <c r="F993" t="s">
        <v>20</v>
      </c>
      <c r="G993" t="s">
        <v>35</v>
      </c>
      <c r="H993" t="s">
        <v>32</v>
      </c>
      <c r="I993">
        <v>6</v>
      </c>
      <c r="J993">
        <v>47.1</v>
      </c>
      <c r="K993">
        <v>8</v>
      </c>
      <c r="L993">
        <v>398</v>
      </c>
      <c r="M993">
        <v>18.61</v>
      </c>
      <c r="N993" t="s">
        <v>23</v>
      </c>
      <c r="O993">
        <v>1</v>
      </c>
      <c r="P993">
        <v>282.60000000000002</v>
      </c>
      <c r="Q993">
        <v>290.60000000000002</v>
      </c>
      <c r="R993" t="s">
        <v>2054</v>
      </c>
    </row>
    <row r="994" spans="1:18" x14ac:dyDescent="0.25">
      <c r="A994" t="s">
        <v>1045</v>
      </c>
      <c r="B994" s="1">
        <v>45493</v>
      </c>
      <c r="C994" s="1">
        <v>45496</v>
      </c>
      <c r="D994" t="s">
        <v>72</v>
      </c>
      <c r="E994" t="s">
        <v>44</v>
      </c>
      <c r="F994" t="s">
        <v>45</v>
      </c>
      <c r="G994" t="s">
        <v>35</v>
      </c>
      <c r="H994" t="s">
        <v>27</v>
      </c>
      <c r="I994">
        <v>3</v>
      </c>
      <c r="J994">
        <v>300.37</v>
      </c>
      <c r="K994">
        <v>25</v>
      </c>
      <c r="L994">
        <v>139</v>
      </c>
      <c r="M994">
        <v>302.88</v>
      </c>
      <c r="N994" t="s">
        <v>23</v>
      </c>
      <c r="O994">
        <v>3</v>
      </c>
      <c r="P994">
        <v>901.11</v>
      </c>
      <c r="Q994">
        <v>926.11</v>
      </c>
      <c r="R994" t="s">
        <v>2054</v>
      </c>
    </row>
    <row r="995" spans="1:18" x14ac:dyDescent="0.25">
      <c r="A995" t="s">
        <v>1046</v>
      </c>
      <c r="B995" s="1">
        <v>45495</v>
      </c>
      <c r="C995" s="1">
        <v>45502</v>
      </c>
      <c r="D995" t="s">
        <v>82</v>
      </c>
      <c r="E995" t="s">
        <v>79</v>
      </c>
      <c r="F995" t="s">
        <v>80</v>
      </c>
      <c r="G995" t="s">
        <v>35</v>
      </c>
      <c r="H995" t="s">
        <v>40</v>
      </c>
      <c r="I995">
        <v>4</v>
      </c>
      <c r="J995">
        <v>65</v>
      </c>
      <c r="K995">
        <v>18</v>
      </c>
      <c r="L995">
        <v>143</v>
      </c>
      <c r="M995">
        <v>108</v>
      </c>
      <c r="N995" t="s">
        <v>63</v>
      </c>
      <c r="O995">
        <v>7</v>
      </c>
      <c r="P995">
        <v>260</v>
      </c>
      <c r="Q995">
        <v>278</v>
      </c>
      <c r="R995" t="s">
        <v>2054</v>
      </c>
    </row>
    <row r="996" spans="1:18" x14ac:dyDescent="0.25">
      <c r="A996" t="s">
        <v>1047</v>
      </c>
      <c r="B996" s="1">
        <v>45496</v>
      </c>
      <c r="C996" s="1">
        <v>45499</v>
      </c>
      <c r="D996" t="s">
        <v>52</v>
      </c>
      <c r="E996" t="s">
        <v>30</v>
      </c>
      <c r="F996" t="s">
        <v>31</v>
      </c>
      <c r="G996" t="s">
        <v>35</v>
      </c>
      <c r="H996" t="s">
        <v>40</v>
      </c>
      <c r="I996">
        <v>2</v>
      </c>
      <c r="J996">
        <v>84.16</v>
      </c>
      <c r="K996">
        <v>18</v>
      </c>
      <c r="L996">
        <v>173</v>
      </c>
      <c r="M996">
        <v>58.32</v>
      </c>
      <c r="N996" t="s">
        <v>23</v>
      </c>
      <c r="O996">
        <v>3</v>
      </c>
      <c r="P996">
        <v>168.32</v>
      </c>
      <c r="Q996">
        <v>186.32</v>
      </c>
      <c r="R996" t="s">
        <v>2054</v>
      </c>
    </row>
    <row r="997" spans="1:18" x14ac:dyDescent="0.25">
      <c r="A997" t="s">
        <v>1048</v>
      </c>
      <c r="B997" s="1">
        <v>45496</v>
      </c>
      <c r="C997" s="1">
        <v>45500</v>
      </c>
      <c r="D997" t="s">
        <v>18</v>
      </c>
      <c r="E997" t="s">
        <v>19</v>
      </c>
      <c r="F997" t="s">
        <v>20</v>
      </c>
      <c r="G997" t="s">
        <v>35</v>
      </c>
      <c r="H997" t="s">
        <v>27</v>
      </c>
      <c r="I997">
        <v>7</v>
      </c>
      <c r="J997">
        <v>23.86</v>
      </c>
      <c r="K997">
        <v>8</v>
      </c>
      <c r="L997">
        <v>4</v>
      </c>
      <c r="M997">
        <v>9.36</v>
      </c>
      <c r="N997" t="s">
        <v>23</v>
      </c>
      <c r="O997">
        <v>4</v>
      </c>
      <c r="P997">
        <v>167.01999999999998</v>
      </c>
      <c r="Q997">
        <v>175.01999999999998</v>
      </c>
      <c r="R997" t="s">
        <v>2056</v>
      </c>
    </row>
    <row r="998" spans="1:18" x14ac:dyDescent="0.25">
      <c r="A998" t="s">
        <v>1049</v>
      </c>
      <c r="B998" s="1">
        <v>45496</v>
      </c>
      <c r="C998" s="1">
        <v>45497</v>
      </c>
      <c r="D998" t="s">
        <v>43</v>
      </c>
      <c r="E998" t="s">
        <v>44</v>
      </c>
      <c r="F998" t="s">
        <v>45</v>
      </c>
      <c r="G998" t="s">
        <v>21</v>
      </c>
      <c r="H998" t="s">
        <v>22</v>
      </c>
      <c r="I998">
        <v>2</v>
      </c>
      <c r="J998">
        <v>670.54</v>
      </c>
      <c r="K998">
        <v>25</v>
      </c>
      <c r="L998">
        <v>188</v>
      </c>
      <c r="M998">
        <v>456.88</v>
      </c>
      <c r="N998" t="s">
        <v>23</v>
      </c>
      <c r="O998">
        <v>1</v>
      </c>
      <c r="P998">
        <v>1341.08</v>
      </c>
      <c r="Q998">
        <v>1366.08</v>
      </c>
      <c r="R998" t="s">
        <v>2054</v>
      </c>
    </row>
    <row r="999" spans="1:18" x14ac:dyDescent="0.25">
      <c r="A999" t="s">
        <v>1050</v>
      </c>
      <c r="B999" s="1">
        <v>45496</v>
      </c>
      <c r="C999" s="1">
        <v>45498</v>
      </c>
      <c r="D999" t="s">
        <v>25</v>
      </c>
      <c r="E999" t="s">
        <v>19</v>
      </c>
      <c r="F999" t="s">
        <v>20</v>
      </c>
      <c r="G999" t="s">
        <v>21</v>
      </c>
      <c r="H999" t="s">
        <v>22</v>
      </c>
      <c r="I999">
        <v>12</v>
      </c>
      <c r="J999">
        <v>21.15</v>
      </c>
      <c r="K999">
        <v>8</v>
      </c>
      <c r="L999">
        <v>350</v>
      </c>
      <c r="M999">
        <v>16.3</v>
      </c>
      <c r="N999" t="s">
        <v>23</v>
      </c>
      <c r="O999">
        <v>2</v>
      </c>
      <c r="P999">
        <v>253.79999999999998</v>
      </c>
      <c r="Q999">
        <v>261.79999999999995</v>
      </c>
      <c r="R999" t="s">
        <v>2054</v>
      </c>
    </row>
    <row r="1000" spans="1:18" x14ac:dyDescent="0.25">
      <c r="A1000" t="s">
        <v>1051</v>
      </c>
      <c r="B1000" s="1">
        <v>45497</v>
      </c>
      <c r="C1000" s="1">
        <v>45511</v>
      </c>
      <c r="D1000" t="s">
        <v>37</v>
      </c>
      <c r="E1000" t="s">
        <v>38</v>
      </c>
      <c r="F1000" t="s">
        <v>39</v>
      </c>
      <c r="G1000" t="s">
        <v>35</v>
      </c>
      <c r="H1000" t="s">
        <v>27</v>
      </c>
      <c r="I1000">
        <v>1</v>
      </c>
      <c r="J1000">
        <v>446</v>
      </c>
      <c r="K1000">
        <v>75</v>
      </c>
      <c r="L1000">
        <v>128</v>
      </c>
      <c r="M1000">
        <v>51.7</v>
      </c>
      <c r="N1000" t="s">
        <v>47</v>
      </c>
      <c r="O1000">
        <v>14</v>
      </c>
      <c r="P1000">
        <v>446</v>
      </c>
      <c r="Q1000">
        <v>521</v>
      </c>
      <c r="R1000" t="s">
        <v>2054</v>
      </c>
    </row>
    <row r="1001" spans="1:18" x14ac:dyDescent="0.25">
      <c r="A1001" t="s">
        <v>1052</v>
      </c>
      <c r="B1001" s="1">
        <v>45498</v>
      </c>
      <c r="C1001" s="1">
        <v>45501</v>
      </c>
      <c r="D1001" t="s">
        <v>50</v>
      </c>
      <c r="E1001" t="s">
        <v>44</v>
      </c>
      <c r="F1001" t="s">
        <v>45</v>
      </c>
      <c r="G1001" t="s">
        <v>35</v>
      </c>
      <c r="H1001" t="s">
        <v>27</v>
      </c>
      <c r="I1001">
        <v>3</v>
      </c>
      <c r="J1001">
        <v>618.26</v>
      </c>
      <c r="K1001">
        <v>25</v>
      </c>
      <c r="L1001">
        <v>378</v>
      </c>
      <c r="M1001">
        <v>636.67999999999995</v>
      </c>
      <c r="N1001" t="s">
        <v>23</v>
      </c>
      <c r="O1001">
        <v>3</v>
      </c>
      <c r="P1001">
        <v>1854.78</v>
      </c>
      <c r="Q1001">
        <v>1879.78</v>
      </c>
      <c r="R1001" t="s">
        <v>2054</v>
      </c>
    </row>
    <row r="1002" spans="1:18" x14ac:dyDescent="0.25">
      <c r="A1002" t="s">
        <v>1053</v>
      </c>
      <c r="B1002" s="1">
        <v>45498</v>
      </c>
      <c r="C1002" s="1">
        <v>45515</v>
      </c>
      <c r="D1002" t="s">
        <v>56</v>
      </c>
      <c r="E1002" t="s">
        <v>38</v>
      </c>
      <c r="F1002" t="s">
        <v>39</v>
      </c>
      <c r="G1002" t="s">
        <v>35</v>
      </c>
      <c r="H1002" t="s">
        <v>27</v>
      </c>
      <c r="I1002">
        <v>1</v>
      </c>
      <c r="J1002">
        <v>229.44</v>
      </c>
      <c r="K1002">
        <v>75</v>
      </c>
      <c r="L1002">
        <v>279</v>
      </c>
      <c r="M1002">
        <v>8.39</v>
      </c>
      <c r="N1002" t="s">
        <v>47</v>
      </c>
      <c r="O1002">
        <v>17</v>
      </c>
      <c r="P1002">
        <v>229.44</v>
      </c>
      <c r="Q1002">
        <v>304.44</v>
      </c>
      <c r="R1002" t="s">
        <v>2054</v>
      </c>
    </row>
    <row r="1003" spans="1:18" x14ac:dyDescent="0.25">
      <c r="A1003" t="s">
        <v>1054</v>
      </c>
      <c r="B1003" s="1">
        <v>45500</v>
      </c>
      <c r="C1003" s="1">
        <v>45503</v>
      </c>
      <c r="D1003" t="s">
        <v>75</v>
      </c>
      <c r="E1003" t="s">
        <v>44</v>
      </c>
      <c r="F1003" t="s">
        <v>45</v>
      </c>
      <c r="G1003" t="s">
        <v>26</v>
      </c>
      <c r="H1003" t="s">
        <v>27</v>
      </c>
      <c r="I1003">
        <v>2</v>
      </c>
      <c r="J1003">
        <v>1107.8900000000001</v>
      </c>
      <c r="K1003">
        <v>25</v>
      </c>
      <c r="L1003">
        <v>45</v>
      </c>
      <c r="M1003">
        <v>763.02</v>
      </c>
      <c r="N1003" t="s">
        <v>23</v>
      </c>
      <c r="O1003">
        <v>3</v>
      </c>
      <c r="P1003">
        <v>2215.7800000000002</v>
      </c>
      <c r="Q1003">
        <v>2240.7800000000002</v>
      </c>
      <c r="R1003" t="s">
        <v>2055</v>
      </c>
    </row>
    <row r="1004" spans="1:18" x14ac:dyDescent="0.25">
      <c r="A1004" t="s">
        <v>1055</v>
      </c>
      <c r="B1004" s="1">
        <v>45500</v>
      </c>
      <c r="C1004" s="1">
        <v>45515</v>
      </c>
      <c r="D1004" t="s">
        <v>43</v>
      </c>
      <c r="E1004" t="s">
        <v>44</v>
      </c>
      <c r="F1004" t="s">
        <v>45</v>
      </c>
      <c r="G1004" t="s">
        <v>35</v>
      </c>
      <c r="H1004" t="s">
        <v>32</v>
      </c>
      <c r="I1004">
        <v>2</v>
      </c>
      <c r="J1004">
        <v>823.44</v>
      </c>
      <c r="K1004">
        <v>25</v>
      </c>
      <c r="L1004">
        <v>155</v>
      </c>
      <c r="M1004">
        <v>563.91</v>
      </c>
      <c r="N1004" t="s">
        <v>47</v>
      </c>
      <c r="O1004">
        <v>15</v>
      </c>
      <c r="P1004">
        <v>1646.88</v>
      </c>
      <c r="Q1004">
        <v>1671.88</v>
      </c>
      <c r="R1004" t="s">
        <v>2054</v>
      </c>
    </row>
    <row r="1005" spans="1:18" x14ac:dyDescent="0.25">
      <c r="A1005" t="s">
        <v>1056</v>
      </c>
      <c r="B1005" s="1">
        <v>45501</v>
      </c>
      <c r="C1005" s="1">
        <v>45503</v>
      </c>
      <c r="D1005" t="s">
        <v>25</v>
      </c>
      <c r="E1005" t="s">
        <v>19</v>
      </c>
      <c r="F1005" t="s">
        <v>20</v>
      </c>
      <c r="G1005" t="s">
        <v>21</v>
      </c>
      <c r="H1005" t="s">
        <v>22</v>
      </c>
      <c r="I1005">
        <v>11</v>
      </c>
      <c r="J1005">
        <v>39.159999999999997</v>
      </c>
      <c r="K1005">
        <v>8</v>
      </c>
      <c r="L1005">
        <v>285</v>
      </c>
      <c r="M1005">
        <v>30.46</v>
      </c>
      <c r="N1005" t="s">
        <v>23</v>
      </c>
      <c r="O1005">
        <v>2</v>
      </c>
      <c r="P1005">
        <v>430.76</v>
      </c>
      <c r="Q1005">
        <v>438.76</v>
      </c>
      <c r="R1005" t="s">
        <v>2054</v>
      </c>
    </row>
    <row r="1006" spans="1:18" x14ac:dyDescent="0.25">
      <c r="A1006" t="s">
        <v>1057</v>
      </c>
      <c r="B1006" s="1">
        <v>45501</v>
      </c>
      <c r="C1006" s="1">
        <v>45515</v>
      </c>
      <c r="D1006" t="s">
        <v>29</v>
      </c>
      <c r="E1006" t="s">
        <v>30</v>
      </c>
      <c r="F1006" t="s">
        <v>31</v>
      </c>
      <c r="G1006" t="s">
        <v>35</v>
      </c>
      <c r="H1006" t="s">
        <v>40</v>
      </c>
      <c r="I1006">
        <v>5</v>
      </c>
      <c r="J1006">
        <v>41.87</v>
      </c>
      <c r="K1006">
        <v>18</v>
      </c>
      <c r="L1006">
        <v>376</v>
      </c>
      <c r="M1006">
        <v>74.739999999999995</v>
      </c>
      <c r="N1006" t="s">
        <v>47</v>
      </c>
      <c r="O1006">
        <v>14</v>
      </c>
      <c r="P1006">
        <v>209.35</v>
      </c>
      <c r="Q1006">
        <v>227.35</v>
      </c>
      <c r="R1006" t="s">
        <v>2054</v>
      </c>
    </row>
    <row r="1007" spans="1:18" x14ac:dyDescent="0.25">
      <c r="A1007" t="s">
        <v>1058</v>
      </c>
      <c r="B1007" s="1">
        <v>45501</v>
      </c>
      <c r="C1007" s="1">
        <v>45502</v>
      </c>
      <c r="D1007" t="s">
        <v>72</v>
      </c>
      <c r="E1007" t="s">
        <v>44</v>
      </c>
      <c r="F1007" t="s">
        <v>45</v>
      </c>
      <c r="G1007" t="s">
        <v>26</v>
      </c>
      <c r="H1007" t="s">
        <v>22</v>
      </c>
      <c r="I1007">
        <v>3</v>
      </c>
      <c r="J1007">
        <v>560.53</v>
      </c>
      <c r="K1007">
        <v>25</v>
      </c>
      <c r="L1007">
        <v>69</v>
      </c>
      <c r="M1007">
        <v>576.05999999999995</v>
      </c>
      <c r="N1007" t="s">
        <v>23</v>
      </c>
      <c r="O1007">
        <v>1</v>
      </c>
      <c r="P1007">
        <v>1681.59</v>
      </c>
      <c r="Q1007">
        <v>1706.59</v>
      </c>
      <c r="R1007" t="s">
        <v>2054</v>
      </c>
    </row>
    <row r="1008" spans="1:18" x14ac:dyDescent="0.25">
      <c r="A1008" t="s">
        <v>1059</v>
      </c>
      <c r="B1008" s="1">
        <v>45501</v>
      </c>
      <c r="C1008" s="1">
        <v>45504</v>
      </c>
      <c r="D1008" t="s">
        <v>43</v>
      </c>
      <c r="E1008" t="s">
        <v>44</v>
      </c>
      <c r="F1008" t="s">
        <v>45</v>
      </c>
      <c r="G1008" t="s">
        <v>26</v>
      </c>
      <c r="H1008" t="s">
        <v>27</v>
      </c>
      <c r="I1008">
        <v>3</v>
      </c>
      <c r="J1008">
        <v>494.65</v>
      </c>
      <c r="K1008">
        <v>25</v>
      </c>
      <c r="L1008">
        <v>268</v>
      </c>
      <c r="M1008">
        <v>506.88</v>
      </c>
      <c r="N1008" t="s">
        <v>23</v>
      </c>
      <c r="O1008">
        <v>3</v>
      </c>
      <c r="P1008">
        <v>1483.9499999999998</v>
      </c>
      <c r="Q1008">
        <v>1508.9499999999998</v>
      </c>
      <c r="R1008" t="s">
        <v>2054</v>
      </c>
    </row>
    <row r="1009" spans="1:18" x14ac:dyDescent="0.25">
      <c r="A1009" t="s">
        <v>1060</v>
      </c>
      <c r="B1009" s="1">
        <v>45502</v>
      </c>
      <c r="C1009" s="1">
        <v>45518</v>
      </c>
      <c r="D1009" t="s">
        <v>18</v>
      </c>
      <c r="E1009" t="s">
        <v>19</v>
      </c>
      <c r="F1009" t="s">
        <v>20</v>
      </c>
      <c r="G1009" t="s">
        <v>35</v>
      </c>
      <c r="H1009" t="s">
        <v>40</v>
      </c>
      <c r="I1009">
        <v>12</v>
      </c>
      <c r="J1009">
        <v>11.98</v>
      </c>
      <c r="K1009">
        <v>12</v>
      </c>
      <c r="L1009">
        <v>61</v>
      </c>
      <c r="M1009">
        <v>-21.56</v>
      </c>
      <c r="N1009" t="s">
        <v>47</v>
      </c>
      <c r="O1009">
        <v>16</v>
      </c>
      <c r="P1009">
        <v>143.76</v>
      </c>
      <c r="Q1009">
        <v>155.76</v>
      </c>
      <c r="R1009" t="s">
        <v>2054</v>
      </c>
    </row>
    <row r="1010" spans="1:18" x14ac:dyDescent="0.25">
      <c r="A1010" t="s">
        <v>1061</v>
      </c>
      <c r="B1010" s="1">
        <v>45503</v>
      </c>
      <c r="C1010" s="1">
        <v>45508</v>
      </c>
      <c r="D1010" t="s">
        <v>50</v>
      </c>
      <c r="E1010" t="s">
        <v>44</v>
      </c>
      <c r="F1010" t="s">
        <v>45</v>
      </c>
      <c r="G1010" t="s">
        <v>21</v>
      </c>
      <c r="H1010" t="s">
        <v>27</v>
      </c>
      <c r="I1010">
        <v>3</v>
      </c>
      <c r="J1010">
        <v>812.17</v>
      </c>
      <c r="K1010">
        <v>25</v>
      </c>
      <c r="L1010">
        <v>117</v>
      </c>
      <c r="M1010">
        <v>840.27</v>
      </c>
      <c r="N1010" t="s">
        <v>23</v>
      </c>
      <c r="O1010">
        <v>5</v>
      </c>
      <c r="P1010">
        <v>2436.5099999999998</v>
      </c>
      <c r="Q1010">
        <v>2461.5099999999998</v>
      </c>
      <c r="R1010" t="s">
        <v>2054</v>
      </c>
    </row>
    <row r="1011" spans="1:18" x14ac:dyDescent="0.25">
      <c r="A1011" t="s">
        <v>1062</v>
      </c>
      <c r="B1011" s="1">
        <v>45504</v>
      </c>
      <c r="C1011" s="1">
        <v>45508</v>
      </c>
      <c r="D1011" t="s">
        <v>29</v>
      </c>
      <c r="E1011" t="s">
        <v>30</v>
      </c>
      <c r="F1011" t="s">
        <v>31</v>
      </c>
      <c r="G1011" t="s">
        <v>35</v>
      </c>
      <c r="H1011" t="s">
        <v>27</v>
      </c>
      <c r="I1011">
        <v>1</v>
      </c>
      <c r="J1011">
        <v>47.98</v>
      </c>
      <c r="K1011">
        <v>12</v>
      </c>
      <c r="L1011">
        <v>386</v>
      </c>
      <c r="M1011">
        <v>13.19</v>
      </c>
      <c r="N1011" t="s">
        <v>23</v>
      </c>
      <c r="O1011">
        <v>4</v>
      </c>
      <c r="P1011">
        <v>47.98</v>
      </c>
      <c r="Q1011">
        <v>59.98</v>
      </c>
      <c r="R1011" t="s">
        <v>2054</v>
      </c>
    </row>
    <row r="1012" spans="1:18" x14ac:dyDescent="0.25">
      <c r="A1012" t="s">
        <v>1063</v>
      </c>
      <c r="B1012" s="1">
        <v>45504</v>
      </c>
      <c r="C1012" s="1">
        <v>45505</v>
      </c>
      <c r="D1012" t="s">
        <v>58</v>
      </c>
      <c r="E1012" t="s">
        <v>19</v>
      </c>
      <c r="F1012" t="s">
        <v>20</v>
      </c>
      <c r="G1012" t="s">
        <v>21</v>
      </c>
      <c r="H1012" t="s">
        <v>32</v>
      </c>
      <c r="I1012">
        <v>11</v>
      </c>
      <c r="J1012">
        <v>20.94</v>
      </c>
      <c r="K1012">
        <v>8</v>
      </c>
      <c r="L1012">
        <v>8</v>
      </c>
      <c r="M1012">
        <v>14.43</v>
      </c>
      <c r="N1012" t="s">
        <v>23</v>
      </c>
      <c r="O1012">
        <v>1</v>
      </c>
      <c r="P1012">
        <v>230.34</v>
      </c>
      <c r="Q1012">
        <v>238.34</v>
      </c>
      <c r="R1012" t="s">
        <v>2056</v>
      </c>
    </row>
    <row r="1013" spans="1:18" x14ac:dyDescent="0.25">
      <c r="A1013" t="s">
        <v>1064</v>
      </c>
      <c r="B1013" s="1">
        <v>45504</v>
      </c>
      <c r="C1013" s="1">
        <v>45509</v>
      </c>
      <c r="D1013" t="s">
        <v>29</v>
      </c>
      <c r="E1013" t="s">
        <v>30</v>
      </c>
      <c r="F1013" t="s">
        <v>31</v>
      </c>
      <c r="G1013" t="s">
        <v>35</v>
      </c>
      <c r="H1013" t="s">
        <v>27</v>
      </c>
      <c r="I1013">
        <v>3</v>
      </c>
      <c r="J1013">
        <v>111.77</v>
      </c>
      <c r="K1013">
        <v>12</v>
      </c>
      <c r="L1013">
        <v>222</v>
      </c>
      <c r="M1013">
        <v>128.13</v>
      </c>
      <c r="N1013" t="s">
        <v>23</v>
      </c>
      <c r="O1013">
        <v>5</v>
      </c>
      <c r="P1013">
        <v>335.31</v>
      </c>
      <c r="Q1013">
        <v>347.31</v>
      </c>
      <c r="R1013" t="s">
        <v>2054</v>
      </c>
    </row>
    <row r="1014" spans="1:18" x14ac:dyDescent="0.25">
      <c r="A1014" t="s">
        <v>1065</v>
      </c>
      <c r="B1014" s="1">
        <v>45504</v>
      </c>
      <c r="C1014" s="1">
        <v>45506</v>
      </c>
      <c r="D1014" t="s">
        <v>18</v>
      </c>
      <c r="E1014" t="s">
        <v>19</v>
      </c>
      <c r="F1014" t="s">
        <v>20</v>
      </c>
      <c r="G1014" t="s">
        <v>26</v>
      </c>
      <c r="H1014" t="s">
        <v>27</v>
      </c>
      <c r="I1014">
        <v>10</v>
      </c>
      <c r="J1014">
        <v>44.7</v>
      </c>
      <c r="K1014">
        <v>8</v>
      </c>
      <c r="L1014">
        <v>162</v>
      </c>
      <c r="M1014">
        <v>31.76</v>
      </c>
      <c r="N1014" t="s">
        <v>23</v>
      </c>
      <c r="O1014">
        <v>2</v>
      </c>
      <c r="P1014">
        <v>447</v>
      </c>
      <c r="Q1014">
        <v>455</v>
      </c>
      <c r="R1014" t="s">
        <v>2054</v>
      </c>
    </row>
    <row r="1015" spans="1:18" x14ac:dyDescent="0.25">
      <c r="A1015" t="s">
        <v>1066</v>
      </c>
      <c r="B1015" s="1">
        <v>45505</v>
      </c>
      <c r="C1015" s="1">
        <v>45509</v>
      </c>
      <c r="D1015" t="s">
        <v>75</v>
      </c>
      <c r="E1015" t="s">
        <v>44</v>
      </c>
      <c r="F1015" t="s">
        <v>45</v>
      </c>
      <c r="G1015" t="s">
        <v>21</v>
      </c>
      <c r="H1015" t="s">
        <v>27</v>
      </c>
      <c r="I1015">
        <v>2</v>
      </c>
      <c r="J1015">
        <v>203.17</v>
      </c>
      <c r="K1015">
        <v>25</v>
      </c>
      <c r="L1015">
        <v>335</v>
      </c>
      <c r="M1015">
        <v>129.72</v>
      </c>
      <c r="N1015" t="s">
        <v>23</v>
      </c>
      <c r="O1015">
        <v>4</v>
      </c>
      <c r="P1015">
        <v>406.34</v>
      </c>
      <c r="Q1015">
        <v>431.34</v>
      </c>
      <c r="R1015" t="s">
        <v>2054</v>
      </c>
    </row>
    <row r="1016" spans="1:18" x14ac:dyDescent="0.25">
      <c r="A1016" t="s">
        <v>1067</v>
      </c>
      <c r="B1016" s="1">
        <v>45505</v>
      </c>
      <c r="C1016" s="1">
        <v>45509</v>
      </c>
      <c r="D1016" t="s">
        <v>18</v>
      </c>
      <c r="E1016" t="s">
        <v>19</v>
      </c>
      <c r="F1016" t="s">
        <v>20</v>
      </c>
      <c r="G1016" t="s">
        <v>21</v>
      </c>
      <c r="H1016" t="s">
        <v>27</v>
      </c>
      <c r="I1016">
        <v>9</v>
      </c>
      <c r="J1016">
        <v>22.83</v>
      </c>
      <c r="K1016">
        <v>8</v>
      </c>
      <c r="L1016">
        <v>330</v>
      </c>
      <c r="M1016">
        <v>12.44</v>
      </c>
      <c r="N1016" t="s">
        <v>23</v>
      </c>
      <c r="O1016">
        <v>4</v>
      </c>
      <c r="P1016">
        <v>205.46999999999997</v>
      </c>
      <c r="Q1016">
        <v>213.46999999999997</v>
      </c>
      <c r="R1016" t="s">
        <v>2054</v>
      </c>
    </row>
    <row r="1017" spans="1:18" x14ac:dyDescent="0.25">
      <c r="A1017" t="s">
        <v>1068</v>
      </c>
      <c r="B1017" s="1">
        <v>45506</v>
      </c>
      <c r="C1017" s="1">
        <v>45515</v>
      </c>
      <c r="D1017" t="s">
        <v>52</v>
      </c>
      <c r="E1017" t="s">
        <v>30</v>
      </c>
      <c r="F1017" t="s">
        <v>31</v>
      </c>
      <c r="G1017" t="s">
        <v>35</v>
      </c>
      <c r="H1017" t="s">
        <v>40</v>
      </c>
      <c r="I1017">
        <v>2</v>
      </c>
      <c r="J1017">
        <v>33.630000000000003</v>
      </c>
      <c r="K1017">
        <v>18</v>
      </c>
      <c r="L1017">
        <v>242</v>
      </c>
      <c r="M1017">
        <v>-10.09</v>
      </c>
      <c r="N1017" t="s">
        <v>63</v>
      </c>
      <c r="O1017">
        <v>9</v>
      </c>
      <c r="P1017">
        <v>67.260000000000005</v>
      </c>
      <c r="Q1017">
        <v>85.26</v>
      </c>
      <c r="R1017" t="s">
        <v>2054</v>
      </c>
    </row>
    <row r="1018" spans="1:18" x14ac:dyDescent="0.25">
      <c r="A1018" t="s">
        <v>1069</v>
      </c>
      <c r="B1018" s="1">
        <v>45507</v>
      </c>
      <c r="C1018" s="1">
        <v>45524</v>
      </c>
      <c r="D1018" t="s">
        <v>75</v>
      </c>
      <c r="E1018" t="s">
        <v>44</v>
      </c>
      <c r="F1018" t="s">
        <v>45</v>
      </c>
      <c r="G1018" t="s">
        <v>35</v>
      </c>
      <c r="H1018" t="s">
        <v>32</v>
      </c>
      <c r="I1018">
        <v>1</v>
      </c>
      <c r="J1018">
        <v>1197.23</v>
      </c>
      <c r="K1018">
        <v>25</v>
      </c>
      <c r="L1018">
        <v>224</v>
      </c>
      <c r="M1018">
        <v>406.53</v>
      </c>
      <c r="N1018" t="s">
        <v>47</v>
      </c>
      <c r="O1018">
        <v>17</v>
      </c>
      <c r="P1018">
        <v>1197.23</v>
      </c>
      <c r="Q1018">
        <v>1222.23</v>
      </c>
      <c r="R1018" t="s">
        <v>2054</v>
      </c>
    </row>
    <row r="1019" spans="1:18" x14ac:dyDescent="0.25">
      <c r="A1019" t="s">
        <v>1070</v>
      </c>
      <c r="B1019" s="1">
        <v>45507</v>
      </c>
      <c r="C1019" s="1">
        <v>45511</v>
      </c>
      <c r="D1019" t="s">
        <v>54</v>
      </c>
      <c r="E1019" t="s">
        <v>38</v>
      </c>
      <c r="F1019" t="s">
        <v>39</v>
      </c>
      <c r="G1019" t="s">
        <v>21</v>
      </c>
      <c r="H1019" t="s">
        <v>22</v>
      </c>
      <c r="I1019">
        <v>2</v>
      </c>
      <c r="J1019">
        <v>279.7</v>
      </c>
      <c r="K1019">
        <v>75</v>
      </c>
      <c r="L1019">
        <v>67</v>
      </c>
      <c r="M1019">
        <v>74.38</v>
      </c>
      <c r="N1019" t="s">
        <v>23</v>
      </c>
      <c r="O1019">
        <v>4</v>
      </c>
      <c r="P1019">
        <v>559.4</v>
      </c>
      <c r="Q1019">
        <v>634.4</v>
      </c>
      <c r="R1019" t="s">
        <v>2054</v>
      </c>
    </row>
    <row r="1020" spans="1:18" x14ac:dyDescent="0.25">
      <c r="A1020" t="s">
        <v>1071</v>
      </c>
      <c r="B1020" s="1">
        <v>45507</v>
      </c>
      <c r="C1020" s="1">
        <v>45508</v>
      </c>
      <c r="D1020" t="s">
        <v>43</v>
      </c>
      <c r="E1020" t="s">
        <v>44</v>
      </c>
      <c r="F1020" t="s">
        <v>45</v>
      </c>
      <c r="G1020" t="s">
        <v>21</v>
      </c>
      <c r="H1020" t="s">
        <v>22</v>
      </c>
      <c r="I1020">
        <v>1</v>
      </c>
      <c r="J1020">
        <v>753.84</v>
      </c>
      <c r="K1020">
        <v>25</v>
      </c>
      <c r="L1020">
        <v>319</v>
      </c>
      <c r="M1020">
        <v>251.34</v>
      </c>
      <c r="N1020" t="s">
        <v>23</v>
      </c>
      <c r="O1020">
        <v>1</v>
      </c>
      <c r="P1020">
        <v>753.84</v>
      </c>
      <c r="Q1020">
        <v>778.84</v>
      </c>
      <c r="R1020" t="s">
        <v>2054</v>
      </c>
    </row>
    <row r="1021" spans="1:18" x14ac:dyDescent="0.25">
      <c r="A1021" t="s">
        <v>1072</v>
      </c>
      <c r="B1021" s="1">
        <v>45510</v>
      </c>
      <c r="C1021" s="1">
        <v>45511</v>
      </c>
      <c r="D1021" t="s">
        <v>54</v>
      </c>
      <c r="E1021" t="s">
        <v>38</v>
      </c>
      <c r="F1021" t="s">
        <v>39</v>
      </c>
      <c r="G1021" t="s">
        <v>21</v>
      </c>
      <c r="H1021" t="s">
        <v>40</v>
      </c>
      <c r="I1021">
        <v>1</v>
      </c>
      <c r="J1021">
        <v>410.71</v>
      </c>
      <c r="K1021">
        <v>112.5</v>
      </c>
      <c r="L1021">
        <v>205</v>
      </c>
      <c r="M1021">
        <v>25.89</v>
      </c>
      <c r="N1021" t="s">
        <v>23</v>
      </c>
      <c r="O1021">
        <v>1</v>
      </c>
      <c r="P1021">
        <v>410.71</v>
      </c>
      <c r="Q1021">
        <v>523.21</v>
      </c>
      <c r="R1021" t="s">
        <v>2054</v>
      </c>
    </row>
    <row r="1022" spans="1:18" x14ac:dyDescent="0.25">
      <c r="A1022" t="s">
        <v>1073</v>
      </c>
      <c r="B1022" s="1">
        <v>45510</v>
      </c>
      <c r="C1022" s="1">
        <v>45525</v>
      </c>
      <c r="D1022" t="s">
        <v>34</v>
      </c>
      <c r="E1022" t="s">
        <v>30</v>
      </c>
      <c r="F1022" t="s">
        <v>31</v>
      </c>
      <c r="G1022" t="s">
        <v>35</v>
      </c>
      <c r="H1022" t="s">
        <v>40</v>
      </c>
      <c r="I1022">
        <v>2</v>
      </c>
      <c r="J1022">
        <v>99.24</v>
      </c>
      <c r="K1022">
        <v>18</v>
      </c>
      <c r="L1022">
        <v>347</v>
      </c>
      <c r="M1022">
        <v>70.400000000000006</v>
      </c>
      <c r="N1022" t="s">
        <v>47</v>
      </c>
      <c r="O1022">
        <v>15</v>
      </c>
      <c r="P1022">
        <v>198.48</v>
      </c>
      <c r="Q1022">
        <v>216.48</v>
      </c>
      <c r="R1022" t="s">
        <v>2054</v>
      </c>
    </row>
    <row r="1023" spans="1:18" x14ac:dyDescent="0.25">
      <c r="A1023" t="s">
        <v>1074</v>
      </c>
      <c r="B1023" s="1">
        <v>45511</v>
      </c>
      <c r="C1023" s="1">
        <v>45514</v>
      </c>
      <c r="D1023" t="s">
        <v>25</v>
      </c>
      <c r="E1023" t="s">
        <v>19</v>
      </c>
      <c r="F1023" t="s">
        <v>20</v>
      </c>
      <c r="G1023" t="s">
        <v>26</v>
      </c>
      <c r="H1023" t="s">
        <v>32</v>
      </c>
      <c r="I1023">
        <v>10</v>
      </c>
      <c r="J1023">
        <v>26.69</v>
      </c>
      <c r="K1023">
        <v>8</v>
      </c>
      <c r="L1023">
        <v>82</v>
      </c>
      <c r="M1023">
        <v>17.36</v>
      </c>
      <c r="N1023" t="s">
        <v>23</v>
      </c>
      <c r="O1023">
        <v>3</v>
      </c>
      <c r="P1023">
        <v>266.90000000000003</v>
      </c>
      <c r="Q1023">
        <v>274.90000000000003</v>
      </c>
      <c r="R1023" t="s">
        <v>2054</v>
      </c>
    </row>
    <row r="1024" spans="1:18" x14ac:dyDescent="0.25">
      <c r="A1024" t="s">
        <v>1075</v>
      </c>
      <c r="B1024" s="1">
        <v>45511</v>
      </c>
      <c r="C1024" s="1">
        <v>45513</v>
      </c>
      <c r="D1024" t="s">
        <v>72</v>
      </c>
      <c r="E1024" t="s">
        <v>44</v>
      </c>
      <c r="F1024" t="s">
        <v>45</v>
      </c>
      <c r="G1024" t="s">
        <v>35</v>
      </c>
      <c r="H1024" t="s">
        <v>40</v>
      </c>
      <c r="I1024">
        <v>2</v>
      </c>
      <c r="J1024">
        <v>597.21</v>
      </c>
      <c r="K1024">
        <v>37.5</v>
      </c>
      <c r="L1024">
        <v>215</v>
      </c>
      <c r="M1024">
        <v>399.29</v>
      </c>
      <c r="N1024" t="s">
        <v>23</v>
      </c>
      <c r="O1024">
        <v>2</v>
      </c>
      <c r="P1024">
        <v>1194.42</v>
      </c>
      <c r="Q1024">
        <v>1231.92</v>
      </c>
      <c r="R1024" t="s">
        <v>2054</v>
      </c>
    </row>
    <row r="1025" spans="1:18" x14ac:dyDescent="0.25">
      <c r="A1025" t="s">
        <v>1076</v>
      </c>
      <c r="B1025" s="1">
        <v>45512</v>
      </c>
      <c r="C1025" s="1">
        <v>45520</v>
      </c>
      <c r="D1025" t="s">
        <v>82</v>
      </c>
      <c r="E1025" t="s">
        <v>79</v>
      </c>
      <c r="F1025" t="s">
        <v>80</v>
      </c>
      <c r="G1025" t="s">
        <v>35</v>
      </c>
      <c r="H1025" t="s">
        <v>32</v>
      </c>
      <c r="I1025">
        <v>4</v>
      </c>
      <c r="J1025">
        <v>128.96</v>
      </c>
      <c r="K1025">
        <v>12</v>
      </c>
      <c r="L1025">
        <v>193</v>
      </c>
      <c r="M1025">
        <v>226.13</v>
      </c>
      <c r="N1025" t="s">
        <v>63</v>
      </c>
      <c r="O1025">
        <v>8</v>
      </c>
      <c r="P1025">
        <v>515.84</v>
      </c>
      <c r="Q1025">
        <v>527.84</v>
      </c>
      <c r="R1025" t="s">
        <v>2054</v>
      </c>
    </row>
    <row r="1026" spans="1:18" x14ac:dyDescent="0.25">
      <c r="A1026" t="s">
        <v>1077</v>
      </c>
      <c r="B1026" s="1">
        <v>45513</v>
      </c>
      <c r="C1026" s="1">
        <v>45514</v>
      </c>
      <c r="D1026" t="s">
        <v>54</v>
      </c>
      <c r="E1026" t="s">
        <v>38</v>
      </c>
      <c r="F1026" t="s">
        <v>39</v>
      </c>
      <c r="G1026" t="s">
        <v>21</v>
      </c>
      <c r="H1026" t="s">
        <v>32</v>
      </c>
      <c r="I1026">
        <v>1</v>
      </c>
      <c r="J1026">
        <v>402.04</v>
      </c>
      <c r="K1026">
        <v>75</v>
      </c>
      <c r="L1026">
        <v>62</v>
      </c>
      <c r="M1026">
        <v>42.91</v>
      </c>
      <c r="N1026" t="s">
        <v>23</v>
      </c>
      <c r="O1026">
        <v>1</v>
      </c>
      <c r="P1026">
        <v>402.04</v>
      </c>
      <c r="Q1026">
        <v>477.04</v>
      </c>
      <c r="R1026" t="s">
        <v>2054</v>
      </c>
    </row>
    <row r="1027" spans="1:18" x14ac:dyDescent="0.25">
      <c r="A1027" t="s">
        <v>1078</v>
      </c>
      <c r="B1027" s="1">
        <v>45514</v>
      </c>
      <c r="C1027" s="1">
        <v>45517</v>
      </c>
      <c r="D1027" t="s">
        <v>34</v>
      </c>
      <c r="E1027" t="s">
        <v>30</v>
      </c>
      <c r="F1027" t="s">
        <v>31</v>
      </c>
      <c r="G1027" t="s">
        <v>21</v>
      </c>
      <c r="H1027" t="s">
        <v>22</v>
      </c>
      <c r="I1027">
        <v>2</v>
      </c>
      <c r="J1027">
        <v>47.88</v>
      </c>
      <c r="K1027">
        <v>12</v>
      </c>
      <c r="L1027">
        <v>351</v>
      </c>
      <c r="M1027">
        <v>32.299999999999997</v>
      </c>
      <c r="N1027" t="s">
        <v>23</v>
      </c>
      <c r="O1027">
        <v>3</v>
      </c>
      <c r="P1027">
        <v>95.76</v>
      </c>
      <c r="Q1027">
        <v>107.76</v>
      </c>
      <c r="R1027" t="s">
        <v>2054</v>
      </c>
    </row>
    <row r="1028" spans="1:18" x14ac:dyDescent="0.25">
      <c r="A1028" t="s">
        <v>1079</v>
      </c>
      <c r="B1028" s="1">
        <v>45514</v>
      </c>
      <c r="C1028" s="1">
        <v>45518</v>
      </c>
      <c r="D1028" t="s">
        <v>34</v>
      </c>
      <c r="E1028" t="s">
        <v>30</v>
      </c>
      <c r="F1028" t="s">
        <v>31</v>
      </c>
      <c r="G1028" t="s">
        <v>26</v>
      </c>
      <c r="H1028" t="s">
        <v>32</v>
      </c>
      <c r="I1028">
        <v>2</v>
      </c>
      <c r="J1028">
        <v>67.099999999999994</v>
      </c>
      <c r="K1028">
        <v>12</v>
      </c>
      <c r="L1028">
        <v>282</v>
      </c>
      <c r="M1028">
        <v>47.68</v>
      </c>
      <c r="N1028" t="s">
        <v>23</v>
      </c>
      <c r="O1028">
        <v>4</v>
      </c>
      <c r="P1028">
        <v>134.19999999999999</v>
      </c>
      <c r="Q1028">
        <v>146.19999999999999</v>
      </c>
      <c r="R1028" t="s">
        <v>2054</v>
      </c>
    </row>
    <row r="1029" spans="1:18" x14ac:dyDescent="0.25">
      <c r="A1029" t="s">
        <v>1080</v>
      </c>
      <c r="B1029" s="1">
        <v>45514</v>
      </c>
      <c r="C1029" s="1">
        <v>45516</v>
      </c>
      <c r="D1029" t="s">
        <v>54</v>
      </c>
      <c r="E1029" t="s">
        <v>38</v>
      </c>
      <c r="F1029" t="s">
        <v>39</v>
      </c>
      <c r="G1029" t="s">
        <v>26</v>
      </c>
      <c r="H1029" t="s">
        <v>32</v>
      </c>
      <c r="I1029">
        <v>1</v>
      </c>
      <c r="J1029">
        <v>209.86</v>
      </c>
      <c r="K1029">
        <v>75</v>
      </c>
      <c r="L1029">
        <v>365</v>
      </c>
      <c r="M1029">
        <v>4.47</v>
      </c>
      <c r="N1029" t="s">
        <v>23</v>
      </c>
      <c r="O1029">
        <v>2</v>
      </c>
      <c r="P1029">
        <v>209.86</v>
      </c>
      <c r="Q1029">
        <v>284.86</v>
      </c>
      <c r="R1029" t="s">
        <v>2054</v>
      </c>
    </row>
    <row r="1030" spans="1:18" x14ac:dyDescent="0.25">
      <c r="A1030" t="s">
        <v>1081</v>
      </c>
      <c r="B1030" s="1">
        <v>45514</v>
      </c>
      <c r="C1030" s="1">
        <v>45515</v>
      </c>
      <c r="D1030" t="s">
        <v>72</v>
      </c>
      <c r="E1030" t="s">
        <v>44</v>
      </c>
      <c r="F1030" t="s">
        <v>45</v>
      </c>
      <c r="G1030" t="s">
        <v>35</v>
      </c>
      <c r="H1030" t="s">
        <v>32</v>
      </c>
      <c r="I1030">
        <v>1</v>
      </c>
      <c r="J1030">
        <v>788.94</v>
      </c>
      <c r="K1030">
        <v>25</v>
      </c>
      <c r="L1030">
        <v>221</v>
      </c>
      <c r="M1030">
        <v>263.63</v>
      </c>
      <c r="N1030" t="s">
        <v>23</v>
      </c>
      <c r="O1030">
        <v>1</v>
      </c>
      <c r="P1030">
        <v>788.94</v>
      </c>
      <c r="Q1030">
        <v>813.94</v>
      </c>
      <c r="R1030" t="s">
        <v>2054</v>
      </c>
    </row>
    <row r="1031" spans="1:18" x14ac:dyDescent="0.25">
      <c r="A1031" t="s">
        <v>1082</v>
      </c>
      <c r="B1031" s="1">
        <v>45514</v>
      </c>
      <c r="C1031" s="1">
        <v>45517</v>
      </c>
      <c r="D1031" t="s">
        <v>29</v>
      </c>
      <c r="E1031" t="s">
        <v>30</v>
      </c>
      <c r="F1031" t="s">
        <v>31</v>
      </c>
      <c r="G1031" t="s">
        <v>35</v>
      </c>
      <c r="H1031" t="s">
        <v>40</v>
      </c>
      <c r="I1031">
        <v>3</v>
      </c>
      <c r="J1031">
        <v>43.6</v>
      </c>
      <c r="K1031">
        <v>18</v>
      </c>
      <c r="L1031">
        <v>111</v>
      </c>
      <c r="M1031">
        <v>43.32</v>
      </c>
      <c r="N1031" t="s">
        <v>23</v>
      </c>
      <c r="O1031">
        <v>3</v>
      </c>
      <c r="P1031">
        <v>130.80000000000001</v>
      </c>
      <c r="Q1031">
        <v>148.80000000000001</v>
      </c>
      <c r="R1031" t="s">
        <v>2054</v>
      </c>
    </row>
    <row r="1032" spans="1:18" x14ac:dyDescent="0.25">
      <c r="A1032" t="s">
        <v>1083</v>
      </c>
      <c r="B1032" s="1">
        <v>45515</v>
      </c>
      <c r="C1032" s="1">
        <v>45516</v>
      </c>
      <c r="D1032" t="s">
        <v>29</v>
      </c>
      <c r="E1032" t="s">
        <v>30</v>
      </c>
      <c r="F1032" t="s">
        <v>31</v>
      </c>
      <c r="G1032" t="s">
        <v>35</v>
      </c>
      <c r="H1032" t="s">
        <v>32</v>
      </c>
      <c r="I1032">
        <v>5</v>
      </c>
      <c r="J1032">
        <v>21.93</v>
      </c>
      <c r="K1032">
        <v>12</v>
      </c>
      <c r="L1032">
        <v>361</v>
      </c>
      <c r="M1032">
        <v>37.86</v>
      </c>
      <c r="N1032" t="s">
        <v>23</v>
      </c>
      <c r="O1032">
        <v>1</v>
      </c>
      <c r="P1032">
        <v>109.65</v>
      </c>
      <c r="Q1032">
        <v>121.65</v>
      </c>
      <c r="R1032" t="s">
        <v>2054</v>
      </c>
    </row>
    <row r="1033" spans="1:18" x14ac:dyDescent="0.25">
      <c r="A1033" t="s">
        <v>1084</v>
      </c>
      <c r="B1033" s="1">
        <v>45515</v>
      </c>
      <c r="C1033" s="1">
        <v>45517</v>
      </c>
      <c r="D1033" t="s">
        <v>56</v>
      </c>
      <c r="E1033" t="s">
        <v>38</v>
      </c>
      <c r="F1033" t="s">
        <v>39</v>
      </c>
      <c r="G1033" t="s">
        <v>21</v>
      </c>
      <c r="H1033" t="s">
        <v>22</v>
      </c>
      <c r="I1033">
        <v>2</v>
      </c>
      <c r="J1033">
        <v>419.47</v>
      </c>
      <c r="K1033">
        <v>75</v>
      </c>
      <c r="L1033">
        <v>335</v>
      </c>
      <c r="M1033">
        <v>130.29</v>
      </c>
      <c r="N1033" t="s">
        <v>23</v>
      </c>
      <c r="O1033">
        <v>2</v>
      </c>
      <c r="P1033">
        <v>838.94</v>
      </c>
      <c r="Q1033">
        <v>913.94</v>
      </c>
      <c r="R1033" t="s">
        <v>2054</v>
      </c>
    </row>
    <row r="1034" spans="1:18" x14ac:dyDescent="0.25">
      <c r="A1034" t="s">
        <v>1085</v>
      </c>
      <c r="B1034" s="1">
        <v>45515</v>
      </c>
      <c r="C1034" s="1">
        <v>45523</v>
      </c>
      <c r="D1034" t="s">
        <v>75</v>
      </c>
      <c r="E1034" t="s">
        <v>44</v>
      </c>
      <c r="F1034" t="s">
        <v>45</v>
      </c>
      <c r="G1034" t="s">
        <v>35</v>
      </c>
      <c r="H1034" t="s">
        <v>40</v>
      </c>
      <c r="I1034">
        <v>3</v>
      </c>
      <c r="J1034">
        <v>1009.47</v>
      </c>
      <c r="K1034">
        <v>37.5</v>
      </c>
      <c r="L1034">
        <v>236</v>
      </c>
      <c r="M1034">
        <v>1041.2</v>
      </c>
      <c r="N1034" t="s">
        <v>63</v>
      </c>
      <c r="O1034">
        <v>8</v>
      </c>
      <c r="P1034">
        <v>3028.41</v>
      </c>
      <c r="Q1034">
        <v>3065.91</v>
      </c>
      <c r="R1034" t="s">
        <v>2054</v>
      </c>
    </row>
    <row r="1035" spans="1:18" x14ac:dyDescent="0.25">
      <c r="A1035" t="s">
        <v>1086</v>
      </c>
      <c r="B1035" s="1">
        <v>45515</v>
      </c>
      <c r="C1035" s="1">
        <v>45523</v>
      </c>
      <c r="D1035" t="s">
        <v>43</v>
      </c>
      <c r="E1035" t="s">
        <v>44</v>
      </c>
      <c r="F1035" t="s">
        <v>45</v>
      </c>
      <c r="G1035" t="s">
        <v>35</v>
      </c>
      <c r="H1035" t="s">
        <v>40</v>
      </c>
      <c r="I1035">
        <v>3</v>
      </c>
      <c r="J1035">
        <v>789.21</v>
      </c>
      <c r="K1035">
        <v>37.5</v>
      </c>
      <c r="L1035">
        <v>246</v>
      </c>
      <c r="M1035">
        <v>809.92</v>
      </c>
      <c r="N1035" t="s">
        <v>63</v>
      </c>
      <c r="O1035">
        <v>8</v>
      </c>
      <c r="P1035">
        <v>2367.63</v>
      </c>
      <c r="Q1035">
        <v>2405.13</v>
      </c>
      <c r="R1035" t="s">
        <v>2054</v>
      </c>
    </row>
    <row r="1036" spans="1:18" x14ac:dyDescent="0.25">
      <c r="A1036" t="s">
        <v>1087</v>
      </c>
      <c r="B1036" s="1">
        <v>45516</v>
      </c>
      <c r="C1036" s="1">
        <v>45518</v>
      </c>
      <c r="D1036" t="s">
        <v>34</v>
      </c>
      <c r="E1036" t="s">
        <v>30</v>
      </c>
      <c r="F1036" t="s">
        <v>31</v>
      </c>
      <c r="G1036" t="s">
        <v>21</v>
      </c>
      <c r="H1036" t="s">
        <v>40</v>
      </c>
      <c r="I1036">
        <v>1</v>
      </c>
      <c r="J1036">
        <v>136.72</v>
      </c>
      <c r="K1036">
        <v>18</v>
      </c>
      <c r="L1036">
        <v>258</v>
      </c>
      <c r="M1036">
        <v>45.69</v>
      </c>
      <c r="N1036" t="s">
        <v>23</v>
      </c>
      <c r="O1036">
        <v>2</v>
      </c>
      <c r="P1036">
        <v>136.72</v>
      </c>
      <c r="Q1036">
        <v>154.72</v>
      </c>
      <c r="R1036" t="s">
        <v>2054</v>
      </c>
    </row>
    <row r="1037" spans="1:18" x14ac:dyDescent="0.25">
      <c r="A1037" t="s">
        <v>1088</v>
      </c>
      <c r="B1037" s="1">
        <v>45516</v>
      </c>
      <c r="C1037" s="1">
        <v>45526</v>
      </c>
      <c r="D1037" t="s">
        <v>25</v>
      </c>
      <c r="E1037" t="s">
        <v>19</v>
      </c>
      <c r="F1037" t="s">
        <v>20</v>
      </c>
      <c r="G1037" t="s">
        <v>35</v>
      </c>
      <c r="H1037" t="s">
        <v>40</v>
      </c>
      <c r="I1037">
        <v>12</v>
      </c>
      <c r="J1037">
        <v>20.71</v>
      </c>
      <c r="K1037">
        <v>12</v>
      </c>
      <c r="L1037">
        <v>59</v>
      </c>
      <c r="M1037">
        <v>13.89</v>
      </c>
      <c r="N1037" t="s">
        <v>63</v>
      </c>
      <c r="O1037">
        <v>10</v>
      </c>
      <c r="P1037">
        <v>248.52</v>
      </c>
      <c r="Q1037">
        <v>260.52</v>
      </c>
      <c r="R1037" t="s">
        <v>2054</v>
      </c>
    </row>
    <row r="1038" spans="1:18" x14ac:dyDescent="0.25">
      <c r="A1038" t="s">
        <v>1089</v>
      </c>
      <c r="B1038" s="1">
        <v>45517</v>
      </c>
      <c r="C1038" s="1">
        <v>45524</v>
      </c>
      <c r="D1038" t="s">
        <v>52</v>
      </c>
      <c r="E1038" t="s">
        <v>30</v>
      </c>
      <c r="F1038" t="s">
        <v>31</v>
      </c>
      <c r="G1038" t="s">
        <v>35</v>
      </c>
      <c r="H1038" t="s">
        <v>40</v>
      </c>
      <c r="I1038">
        <v>1</v>
      </c>
      <c r="J1038">
        <v>99.37</v>
      </c>
      <c r="K1038">
        <v>18</v>
      </c>
      <c r="L1038">
        <v>288</v>
      </c>
      <c r="M1038">
        <v>30.75</v>
      </c>
      <c r="N1038" t="s">
        <v>63</v>
      </c>
      <c r="O1038">
        <v>7</v>
      </c>
      <c r="P1038">
        <v>99.37</v>
      </c>
      <c r="Q1038">
        <v>117.37</v>
      </c>
      <c r="R1038" t="s">
        <v>2054</v>
      </c>
    </row>
    <row r="1039" spans="1:18" x14ac:dyDescent="0.25">
      <c r="A1039" t="s">
        <v>1090</v>
      </c>
      <c r="B1039" s="1">
        <v>45518</v>
      </c>
      <c r="C1039" s="1">
        <v>45522</v>
      </c>
      <c r="D1039" t="s">
        <v>43</v>
      </c>
      <c r="E1039" t="s">
        <v>44</v>
      </c>
      <c r="F1039" t="s">
        <v>45</v>
      </c>
      <c r="G1039" t="s">
        <v>35</v>
      </c>
      <c r="H1039" t="s">
        <v>40</v>
      </c>
      <c r="I1039">
        <v>1</v>
      </c>
      <c r="J1039">
        <v>952.12</v>
      </c>
      <c r="K1039">
        <v>37.5</v>
      </c>
      <c r="L1039">
        <v>217</v>
      </c>
      <c r="M1039">
        <v>314.49</v>
      </c>
      <c r="N1039" t="s">
        <v>23</v>
      </c>
      <c r="O1039">
        <v>4</v>
      </c>
      <c r="P1039">
        <v>952.12</v>
      </c>
      <c r="Q1039">
        <v>989.62</v>
      </c>
      <c r="R1039" t="s">
        <v>2054</v>
      </c>
    </row>
    <row r="1040" spans="1:18" x14ac:dyDescent="0.25">
      <c r="A1040" t="s">
        <v>1091</v>
      </c>
      <c r="B1040" s="1">
        <v>45518</v>
      </c>
      <c r="C1040" s="1">
        <v>45527</v>
      </c>
      <c r="D1040" t="s">
        <v>43</v>
      </c>
      <c r="E1040" t="s">
        <v>44</v>
      </c>
      <c r="F1040" t="s">
        <v>45</v>
      </c>
      <c r="G1040" t="s">
        <v>35</v>
      </c>
      <c r="H1040" t="s">
        <v>22</v>
      </c>
      <c r="I1040">
        <v>2</v>
      </c>
      <c r="J1040">
        <v>806.19</v>
      </c>
      <c r="K1040">
        <v>25</v>
      </c>
      <c r="L1040">
        <v>305</v>
      </c>
      <c r="M1040">
        <v>551.84</v>
      </c>
      <c r="N1040" t="s">
        <v>63</v>
      </c>
      <c r="O1040">
        <v>9</v>
      </c>
      <c r="P1040">
        <v>1612.38</v>
      </c>
      <c r="Q1040">
        <v>1637.38</v>
      </c>
      <c r="R1040" t="s">
        <v>2054</v>
      </c>
    </row>
    <row r="1041" spans="1:18" x14ac:dyDescent="0.25">
      <c r="A1041" t="s">
        <v>1092</v>
      </c>
      <c r="B1041" s="1">
        <v>45519</v>
      </c>
      <c r="C1041" s="1">
        <v>45523</v>
      </c>
      <c r="D1041" t="s">
        <v>56</v>
      </c>
      <c r="E1041" t="s">
        <v>38</v>
      </c>
      <c r="F1041" t="s">
        <v>39</v>
      </c>
      <c r="G1041" t="s">
        <v>21</v>
      </c>
      <c r="H1041" t="s">
        <v>27</v>
      </c>
      <c r="I1041">
        <v>2</v>
      </c>
      <c r="J1041">
        <v>490.73</v>
      </c>
      <c r="K1041">
        <v>75</v>
      </c>
      <c r="L1041">
        <v>166</v>
      </c>
      <c r="M1041">
        <v>158.79</v>
      </c>
      <c r="N1041" t="s">
        <v>23</v>
      </c>
      <c r="O1041">
        <v>4</v>
      </c>
      <c r="P1041">
        <v>981.46</v>
      </c>
      <c r="Q1041">
        <v>1056.46</v>
      </c>
      <c r="R1041" t="s">
        <v>2054</v>
      </c>
    </row>
    <row r="1042" spans="1:18" x14ac:dyDescent="0.25">
      <c r="A1042" t="s">
        <v>1093</v>
      </c>
      <c r="B1042" s="1">
        <v>45519</v>
      </c>
      <c r="C1042" s="1">
        <v>45523</v>
      </c>
      <c r="D1042" t="s">
        <v>25</v>
      </c>
      <c r="E1042" t="s">
        <v>19</v>
      </c>
      <c r="F1042" t="s">
        <v>20</v>
      </c>
      <c r="G1042" t="s">
        <v>21</v>
      </c>
      <c r="H1042" t="s">
        <v>27</v>
      </c>
      <c r="I1042">
        <v>13</v>
      </c>
      <c r="J1042">
        <v>29.3</v>
      </c>
      <c r="K1042">
        <v>8</v>
      </c>
      <c r="L1042">
        <v>306</v>
      </c>
      <c r="M1042">
        <v>26.47</v>
      </c>
      <c r="N1042" t="s">
        <v>23</v>
      </c>
      <c r="O1042">
        <v>4</v>
      </c>
      <c r="P1042">
        <v>380.90000000000003</v>
      </c>
      <c r="Q1042">
        <v>388.90000000000003</v>
      </c>
      <c r="R1042" t="s">
        <v>2054</v>
      </c>
    </row>
    <row r="1043" spans="1:18" x14ac:dyDescent="0.25">
      <c r="A1043" t="s">
        <v>1094</v>
      </c>
      <c r="B1043" s="1">
        <v>45519</v>
      </c>
      <c r="C1043" s="1">
        <v>45521</v>
      </c>
      <c r="D1043" t="s">
        <v>82</v>
      </c>
      <c r="E1043" t="s">
        <v>79</v>
      </c>
      <c r="F1043" t="s">
        <v>80</v>
      </c>
      <c r="G1043" t="s">
        <v>35</v>
      </c>
      <c r="H1043" t="s">
        <v>40</v>
      </c>
      <c r="I1043">
        <v>5</v>
      </c>
      <c r="J1043">
        <v>117.36</v>
      </c>
      <c r="K1043">
        <v>18</v>
      </c>
      <c r="L1043">
        <v>65</v>
      </c>
      <c r="M1043">
        <v>255.06</v>
      </c>
      <c r="N1043" t="s">
        <v>23</v>
      </c>
      <c r="O1043">
        <v>2</v>
      </c>
      <c r="P1043">
        <v>586.79999999999995</v>
      </c>
      <c r="Q1043">
        <v>604.79999999999995</v>
      </c>
      <c r="R1043" t="s">
        <v>2054</v>
      </c>
    </row>
    <row r="1044" spans="1:18" x14ac:dyDescent="0.25">
      <c r="A1044" t="s">
        <v>1095</v>
      </c>
      <c r="B1044" s="1">
        <v>45520</v>
      </c>
      <c r="C1044" s="1">
        <v>45522</v>
      </c>
      <c r="D1044" t="s">
        <v>118</v>
      </c>
      <c r="E1044" t="s">
        <v>79</v>
      </c>
      <c r="F1044" t="s">
        <v>80</v>
      </c>
      <c r="G1044" t="s">
        <v>21</v>
      </c>
      <c r="H1044" t="s">
        <v>27</v>
      </c>
      <c r="I1044">
        <v>1</v>
      </c>
      <c r="J1044">
        <v>31.06</v>
      </c>
      <c r="K1044">
        <v>12</v>
      </c>
      <c r="L1044">
        <v>40</v>
      </c>
      <c r="M1044">
        <v>-4.66</v>
      </c>
      <c r="N1044" t="s">
        <v>23</v>
      </c>
      <c r="O1044">
        <v>2</v>
      </c>
      <c r="P1044">
        <v>31.06</v>
      </c>
      <c r="Q1044">
        <v>43.06</v>
      </c>
      <c r="R1044" t="s">
        <v>2055</v>
      </c>
    </row>
    <row r="1045" spans="1:18" x14ac:dyDescent="0.25">
      <c r="A1045" t="s">
        <v>1096</v>
      </c>
      <c r="B1045" s="1">
        <v>45520</v>
      </c>
      <c r="C1045" s="1">
        <v>45522</v>
      </c>
      <c r="D1045" t="s">
        <v>56</v>
      </c>
      <c r="E1045" t="s">
        <v>38</v>
      </c>
      <c r="F1045" t="s">
        <v>39</v>
      </c>
      <c r="G1045" t="s">
        <v>21</v>
      </c>
      <c r="H1045" t="s">
        <v>27</v>
      </c>
      <c r="I1045">
        <v>1</v>
      </c>
      <c r="J1045">
        <v>382.91</v>
      </c>
      <c r="K1045">
        <v>75</v>
      </c>
      <c r="L1045">
        <v>340</v>
      </c>
      <c r="M1045">
        <v>39.08</v>
      </c>
      <c r="N1045" t="s">
        <v>23</v>
      </c>
      <c r="O1045">
        <v>2</v>
      </c>
      <c r="P1045">
        <v>382.91</v>
      </c>
      <c r="Q1045">
        <v>457.91</v>
      </c>
      <c r="R1045" t="s">
        <v>2054</v>
      </c>
    </row>
    <row r="1046" spans="1:18" x14ac:dyDescent="0.25">
      <c r="A1046" t="s">
        <v>1097</v>
      </c>
      <c r="B1046" s="1">
        <v>45520</v>
      </c>
      <c r="C1046" s="1">
        <v>45523</v>
      </c>
      <c r="D1046" t="s">
        <v>29</v>
      </c>
      <c r="E1046" t="s">
        <v>30</v>
      </c>
      <c r="F1046" t="s">
        <v>31</v>
      </c>
      <c r="G1046" t="s">
        <v>35</v>
      </c>
      <c r="H1046" t="s">
        <v>40</v>
      </c>
      <c r="I1046">
        <v>5</v>
      </c>
      <c r="J1046">
        <v>103.82</v>
      </c>
      <c r="K1046">
        <v>18</v>
      </c>
      <c r="L1046">
        <v>259</v>
      </c>
      <c r="M1046">
        <v>198.65</v>
      </c>
      <c r="N1046" t="s">
        <v>23</v>
      </c>
      <c r="O1046">
        <v>3</v>
      </c>
      <c r="P1046">
        <v>519.09999999999991</v>
      </c>
      <c r="Q1046">
        <v>537.09999999999991</v>
      </c>
      <c r="R1046" t="s">
        <v>2054</v>
      </c>
    </row>
    <row r="1047" spans="1:18" x14ac:dyDescent="0.25">
      <c r="A1047" t="s">
        <v>1098</v>
      </c>
      <c r="B1047" s="1">
        <v>45521</v>
      </c>
      <c r="C1047" s="1">
        <v>45532</v>
      </c>
      <c r="D1047" t="s">
        <v>118</v>
      </c>
      <c r="E1047" t="s">
        <v>79</v>
      </c>
      <c r="F1047" t="s">
        <v>80</v>
      </c>
      <c r="G1047" t="s">
        <v>35</v>
      </c>
      <c r="H1047" t="s">
        <v>40</v>
      </c>
      <c r="I1047">
        <v>4</v>
      </c>
      <c r="J1047">
        <v>90.12</v>
      </c>
      <c r="K1047">
        <v>18</v>
      </c>
      <c r="L1047">
        <v>300</v>
      </c>
      <c r="M1047">
        <v>153.22</v>
      </c>
      <c r="N1047" t="s">
        <v>47</v>
      </c>
      <c r="O1047">
        <v>11</v>
      </c>
      <c r="P1047">
        <v>360.48</v>
      </c>
      <c r="Q1047">
        <v>378.48</v>
      </c>
      <c r="R1047" t="s">
        <v>2054</v>
      </c>
    </row>
    <row r="1048" spans="1:18" x14ac:dyDescent="0.25">
      <c r="A1048" t="s">
        <v>1099</v>
      </c>
      <c r="B1048" s="1">
        <v>45522</v>
      </c>
      <c r="C1048" s="1">
        <v>45524</v>
      </c>
      <c r="D1048" t="s">
        <v>58</v>
      </c>
      <c r="E1048" t="s">
        <v>19</v>
      </c>
      <c r="F1048" t="s">
        <v>20</v>
      </c>
      <c r="G1048" t="s">
        <v>26</v>
      </c>
      <c r="H1048" t="s">
        <v>27</v>
      </c>
      <c r="I1048">
        <v>12</v>
      </c>
      <c r="J1048">
        <v>38.01</v>
      </c>
      <c r="K1048">
        <v>8</v>
      </c>
      <c r="L1048">
        <v>23</v>
      </c>
      <c r="M1048">
        <v>32.49</v>
      </c>
      <c r="N1048" t="s">
        <v>23</v>
      </c>
      <c r="O1048">
        <v>2</v>
      </c>
      <c r="P1048">
        <v>456.12</v>
      </c>
      <c r="Q1048">
        <v>464.12</v>
      </c>
      <c r="R1048" t="s">
        <v>2055</v>
      </c>
    </row>
    <row r="1049" spans="1:18" x14ac:dyDescent="0.25">
      <c r="A1049" t="s">
        <v>1100</v>
      </c>
      <c r="B1049" s="1">
        <v>45524</v>
      </c>
      <c r="C1049" s="1">
        <v>45533</v>
      </c>
      <c r="D1049" t="s">
        <v>34</v>
      </c>
      <c r="E1049" t="s">
        <v>30</v>
      </c>
      <c r="F1049" t="s">
        <v>31</v>
      </c>
      <c r="G1049" t="s">
        <v>35</v>
      </c>
      <c r="H1049" t="s">
        <v>40</v>
      </c>
      <c r="I1049">
        <v>4</v>
      </c>
      <c r="J1049">
        <v>85.81</v>
      </c>
      <c r="K1049">
        <v>18</v>
      </c>
      <c r="L1049">
        <v>320</v>
      </c>
      <c r="M1049">
        <v>128.30000000000001</v>
      </c>
      <c r="N1049" t="s">
        <v>63</v>
      </c>
      <c r="O1049">
        <v>9</v>
      </c>
      <c r="P1049">
        <v>343.24</v>
      </c>
      <c r="Q1049">
        <v>361.24</v>
      </c>
      <c r="R1049" t="s">
        <v>2054</v>
      </c>
    </row>
    <row r="1050" spans="1:18" x14ac:dyDescent="0.25">
      <c r="A1050" t="s">
        <v>1101</v>
      </c>
      <c r="B1050" s="1">
        <v>45524</v>
      </c>
      <c r="C1050" s="1">
        <v>45529</v>
      </c>
      <c r="D1050" t="s">
        <v>75</v>
      </c>
      <c r="E1050" t="s">
        <v>44</v>
      </c>
      <c r="F1050" t="s">
        <v>45</v>
      </c>
      <c r="G1050" t="s">
        <v>35</v>
      </c>
      <c r="H1050" t="s">
        <v>40</v>
      </c>
      <c r="I1050">
        <v>2</v>
      </c>
      <c r="J1050">
        <v>748.95</v>
      </c>
      <c r="K1050">
        <v>37.5</v>
      </c>
      <c r="L1050">
        <v>282</v>
      </c>
      <c r="M1050">
        <v>505.51</v>
      </c>
      <c r="N1050" t="s">
        <v>23</v>
      </c>
      <c r="O1050">
        <v>5</v>
      </c>
      <c r="P1050">
        <v>1497.9</v>
      </c>
      <c r="Q1050">
        <v>1535.4</v>
      </c>
      <c r="R1050" t="s">
        <v>2054</v>
      </c>
    </row>
    <row r="1051" spans="1:18" x14ac:dyDescent="0.25">
      <c r="A1051" t="s">
        <v>1102</v>
      </c>
      <c r="B1051" s="1">
        <v>45524</v>
      </c>
      <c r="C1051" s="1">
        <v>45526</v>
      </c>
      <c r="D1051" t="s">
        <v>75</v>
      </c>
      <c r="E1051" t="s">
        <v>44</v>
      </c>
      <c r="F1051" t="s">
        <v>45</v>
      </c>
      <c r="G1051" t="s">
        <v>35</v>
      </c>
      <c r="H1051" t="s">
        <v>22</v>
      </c>
      <c r="I1051">
        <v>2</v>
      </c>
      <c r="J1051">
        <v>491.58</v>
      </c>
      <c r="K1051">
        <v>25</v>
      </c>
      <c r="L1051">
        <v>99</v>
      </c>
      <c r="M1051">
        <v>331.6</v>
      </c>
      <c r="N1051" t="s">
        <v>23</v>
      </c>
      <c r="O1051">
        <v>2</v>
      </c>
      <c r="P1051">
        <v>983.16</v>
      </c>
      <c r="Q1051">
        <v>1008.16</v>
      </c>
      <c r="R1051" t="s">
        <v>2054</v>
      </c>
    </row>
    <row r="1052" spans="1:18" x14ac:dyDescent="0.25">
      <c r="A1052" t="s">
        <v>1103</v>
      </c>
      <c r="B1052" s="1">
        <v>45527</v>
      </c>
      <c r="C1052" s="1">
        <v>45532</v>
      </c>
      <c r="D1052" t="s">
        <v>82</v>
      </c>
      <c r="E1052" t="s">
        <v>79</v>
      </c>
      <c r="F1052" t="s">
        <v>80</v>
      </c>
      <c r="G1052" t="s">
        <v>21</v>
      </c>
      <c r="H1052" t="s">
        <v>27</v>
      </c>
      <c r="I1052">
        <v>3</v>
      </c>
      <c r="J1052">
        <v>131.44999999999999</v>
      </c>
      <c r="K1052">
        <v>12</v>
      </c>
      <c r="L1052">
        <v>211</v>
      </c>
      <c r="M1052">
        <v>171.46</v>
      </c>
      <c r="N1052" t="s">
        <v>23</v>
      </c>
      <c r="O1052">
        <v>5</v>
      </c>
      <c r="P1052">
        <v>394.34999999999997</v>
      </c>
      <c r="Q1052">
        <v>406.34999999999997</v>
      </c>
      <c r="R1052" t="s">
        <v>2054</v>
      </c>
    </row>
    <row r="1053" spans="1:18" x14ac:dyDescent="0.25">
      <c r="A1053" t="s">
        <v>1104</v>
      </c>
      <c r="B1053" s="1">
        <v>45527</v>
      </c>
      <c r="C1053" s="1">
        <v>45528</v>
      </c>
      <c r="D1053" t="s">
        <v>52</v>
      </c>
      <c r="E1053" t="s">
        <v>30</v>
      </c>
      <c r="F1053" t="s">
        <v>31</v>
      </c>
      <c r="G1053" t="s">
        <v>26</v>
      </c>
      <c r="H1053" t="s">
        <v>27</v>
      </c>
      <c r="I1053">
        <v>2</v>
      </c>
      <c r="J1053">
        <v>98.79</v>
      </c>
      <c r="K1053">
        <v>12</v>
      </c>
      <c r="L1053">
        <v>223</v>
      </c>
      <c r="M1053">
        <v>73.040000000000006</v>
      </c>
      <c r="N1053" t="s">
        <v>23</v>
      </c>
      <c r="O1053">
        <v>1</v>
      </c>
      <c r="P1053">
        <v>197.58</v>
      </c>
      <c r="Q1053">
        <v>209.58</v>
      </c>
      <c r="R1053" t="s">
        <v>2054</v>
      </c>
    </row>
    <row r="1054" spans="1:18" x14ac:dyDescent="0.25">
      <c r="A1054" t="s">
        <v>1105</v>
      </c>
      <c r="B1054" s="1">
        <v>45530</v>
      </c>
      <c r="C1054" s="1">
        <v>45532</v>
      </c>
      <c r="D1054" t="s">
        <v>18</v>
      </c>
      <c r="E1054" t="s">
        <v>19</v>
      </c>
      <c r="F1054" t="s">
        <v>20</v>
      </c>
      <c r="G1054" t="s">
        <v>26</v>
      </c>
      <c r="H1054" t="s">
        <v>22</v>
      </c>
      <c r="I1054">
        <v>6</v>
      </c>
      <c r="J1054">
        <v>17.850000000000001</v>
      </c>
      <c r="K1054">
        <v>8</v>
      </c>
      <c r="L1054">
        <v>99</v>
      </c>
      <c r="M1054">
        <v>4.57</v>
      </c>
      <c r="N1054" t="s">
        <v>23</v>
      </c>
      <c r="O1054">
        <v>2</v>
      </c>
      <c r="P1054">
        <v>107.10000000000001</v>
      </c>
      <c r="Q1054">
        <v>115.10000000000001</v>
      </c>
      <c r="R1054" t="s">
        <v>2054</v>
      </c>
    </row>
    <row r="1055" spans="1:18" x14ac:dyDescent="0.25">
      <c r="A1055" t="s">
        <v>1106</v>
      </c>
      <c r="B1055" s="1">
        <v>45530</v>
      </c>
      <c r="C1055" s="1">
        <v>45535</v>
      </c>
      <c r="D1055" t="s">
        <v>50</v>
      </c>
      <c r="E1055" t="s">
        <v>44</v>
      </c>
      <c r="F1055" t="s">
        <v>45</v>
      </c>
      <c r="G1055" t="s">
        <v>21</v>
      </c>
      <c r="H1055" t="s">
        <v>27</v>
      </c>
      <c r="I1055">
        <v>2</v>
      </c>
      <c r="J1055">
        <v>480.88</v>
      </c>
      <c r="K1055">
        <v>25</v>
      </c>
      <c r="L1055">
        <v>102</v>
      </c>
      <c r="M1055">
        <v>324.12</v>
      </c>
      <c r="N1055" t="s">
        <v>23</v>
      </c>
      <c r="O1055">
        <v>5</v>
      </c>
      <c r="P1055">
        <v>961.76</v>
      </c>
      <c r="Q1055">
        <v>986.76</v>
      </c>
      <c r="R1055" t="s">
        <v>2054</v>
      </c>
    </row>
    <row r="1056" spans="1:18" x14ac:dyDescent="0.25">
      <c r="A1056" t="s">
        <v>1107</v>
      </c>
      <c r="B1056" s="1">
        <v>45531</v>
      </c>
      <c r="C1056" s="1">
        <v>45534</v>
      </c>
      <c r="D1056" t="s">
        <v>52</v>
      </c>
      <c r="E1056" t="s">
        <v>30</v>
      </c>
      <c r="F1056" t="s">
        <v>31</v>
      </c>
      <c r="G1056" t="s">
        <v>21</v>
      </c>
      <c r="H1056" t="s">
        <v>40</v>
      </c>
      <c r="I1056">
        <v>3</v>
      </c>
      <c r="J1056">
        <v>76.66</v>
      </c>
      <c r="K1056">
        <v>18</v>
      </c>
      <c r="L1056">
        <v>167</v>
      </c>
      <c r="M1056">
        <v>82.99</v>
      </c>
      <c r="N1056" t="s">
        <v>23</v>
      </c>
      <c r="O1056">
        <v>3</v>
      </c>
      <c r="P1056">
        <v>229.98</v>
      </c>
      <c r="Q1056">
        <v>247.98</v>
      </c>
      <c r="R1056" t="s">
        <v>2054</v>
      </c>
    </row>
    <row r="1057" spans="1:18" x14ac:dyDescent="0.25">
      <c r="A1057" t="s">
        <v>1108</v>
      </c>
      <c r="B1057" s="1">
        <v>45531</v>
      </c>
      <c r="C1057" s="1">
        <v>45538</v>
      </c>
      <c r="D1057" t="s">
        <v>25</v>
      </c>
      <c r="E1057" t="s">
        <v>19</v>
      </c>
      <c r="F1057" t="s">
        <v>20</v>
      </c>
      <c r="G1057" t="s">
        <v>35</v>
      </c>
      <c r="H1057" t="s">
        <v>40</v>
      </c>
      <c r="I1057">
        <v>14</v>
      </c>
      <c r="J1057">
        <v>39.26</v>
      </c>
      <c r="K1057">
        <v>12</v>
      </c>
      <c r="L1057">
        <v>2</v>
      </c>
      <c r="M1057">
        <v>37.979999999999997</v>
      </c>
      <c r="N1057" t="s">
        <v>63</v>
      </c>
      <c r="O1057">
        <v>7</v>
      </c>
      <c r="P1057">
        <v>549.64</v>
      </c>
      <c r="Q1057">
        <v>561.64</v>
      </c>
      <c r="R1057" t="s">
        <v>2056</v>
      </c>
    </row>
    <row r="1058" spans="1:18" x14ac:dyDescent="0.25">
      <c r="A1058" t="s">
        <v>1109</v>
      </c>
      <c r="B1058" s="1">
        <v>45533</v>
      </c>
      <c r="C1058" s="1">
        <v>45537</v>
      </c>
      <c r="D1058" t="s">
        <v>52</v>
      </c>
      <c r="E1058" t="s">
        <v>30</v>
      </c>
      <c r="F1058" t="s">
        <v>31</v>
      </c>
      <c r="G1058" t="s">
        <v>21</v>
      </c>
      <c r="H1058" t="s">
        <v>40</v>
      </c>
      <c r="I1058">
        <v>1</v>
      </c>
      <c r="J1058">
        <v>86.87</v>
      </c>
      <c r="K1058">
        <v>18</v>
      </c>
      <c r="L1058">
        <v>199</v>
      </c>
      <c r="M1058">
        <v>25.75</v>
      </c>
      <c r="N1058" t="s">
        <v>23</v>
      </c>
      <c r="O1058">
        <v>4</v>
      </c>
      <c r="P1058">
        <v>86.87</v>
      </c>
      <c r="Q1058">
        <v>104.87</v>
      </c>
      <c r="R1058" t="s">
        <v>2054</v>
      </c>
    </row>
    <row r="1059" spans="1:18" x14ac:dyDescent="0.25">
      <c r="A1059" t="s">
        <v>1110</v>
      </c>
      <c r="B1059" s="1">
        <v>45533</v>
      </c>
      <c r="C1059" s="1">
        <v>45538</v>
      </c>
      <c r="D1059" t="s">
        <v>52</v>
      </c>
      <c r="E1059" t="s">
        <v>30</v>
      </c>
      <c r="F1059" t="s">
        <v>31</v>
      </c>
      <c r="G1059" t="s">
        <v>35</v>
      </c>
      <c r="H1059" t="s">
        <v>40</v>
      </c>
      <c r="I1059">
        <v>5</v>
      </c>
      <c r="J1059">
        <v>73.89</v>
      </c>
      <c r="K1059">
        <v>18</v>
      </c>
      <c r="L1059">
        <v>350</v>
      </c>
      <c r="M1059">
        <v>138.78</v>
      </c>
      <c r="N1059" t="s">
        <v>23</v>
      </c>
      <c r="O1059">
        <v>5</v>
      </c>
      <c r="P1059">
        <v>369.45</v>
      </c>
      <c r="Q1059">
        <v>387.45</v>
      </c>
      <c r="R1059" t="s">
        <v>2054</v>
      </c>
    </row>
    <row r="1060" spans="1:18" x14ac:dyDescent="0.25">
      <c r="A1060" t="s">
        <v>1111</v>
      </c>
      <c r="B1060" s="1">
        <v>45534</v>
      </c>
      <c r="C1060" s="1">
        <v>45536</v>
      </c>
      <c r="D1060" t="s">
        <v>50</v>
      </c>
      <c r="E1060" t="s">
        <v>44</v>
      </c>
      <c r="F1060" t="s">
        <v>45</v>
      </c>
      <c r="G1060" t="s">
        <v>35</v>
      </c>
      <c r="H1060" t="s">
        <v>32</v>
      </c>
      <c r="I1060">
        <v>2</v>
      </c>
      <c r="J1060">
        <v>276.73</v>
      </c>
      <c r="K1060">
        <v>25</v>
      </c>
      <c r="L1060">
        <v>271</v>
      </c>
      <c r="M1060">
        <v>181.21</v>
      </c>
      <c r="N1060" t="s">
        <v>23</v>
      </c>
      <c r="O1060">
        <v>2</v>
      </c>
      <c r="P1060">
        <v>553.46</v>
      </c>
      <c r="Q1060">
        <v>578.46</v>
      </c>
      <c r="R1060" t="s">
        <v>2054</v>
      </c>
    </row>
    <row r="1061" spans="1:18" x14ac:dyDescent="0.25">
      <c r="A1061" t="s">
        <v>1112</v>
      </c>
      <c r="B1061" s="1">
        <v>45535</v>
      </c>
      <c r="C1061" s="1">
        <v>45538</v>
      </c>
      <c r="D1061" t="s">
        <v>34</v>
      </c>
      <c r="E1061" t="s">
        <v>30</v>
      </c>
      <c r="F1061" t="s">
        <v>31</v>
      </c>
      <c r="G1061" t="s">
        <v>35</v>
      </c>
      <c r="H1061" t="s">
        <v>32</v>
      </c>
      <c r="I1061">
        <v>5</v>
      </c>
      <c r="J1061">
        <v>21.31</v>
      </c>
      <c r="K1061">
        <v>12</v>
      </c>
      <c r="L1061">
        <v>389</v>
      </c>
      <c r="M1061">
        <v>36.619999999999997</v>
      </c>
      <c r="N1061" t="s">
        <v>23</v>
      </c>
      <c r="O1061">
        <v>3</v>
      </c>
      <c r="P1061">
        <v>106.55</v>
      </c>
      <c r="Q1061">
        <v>118.55</v>
      </c>
      <c r="R1061" t="s">
        <v>2054</v>
      </c>
    </row>
    <row r="1062" spans="1:18" x14ac:dyDescent="0.25">
      <c r="A1062" t="s">
        <v>1113</v>
      </c>
      <c r="B1062" s="1">
        <v>45535</v>
      </c>
      <c r="C1062" s="1">
        <v>45537</v>
      </c>
      <c r="D1062" t="s">
        <v>58</v>
      </c>
      <c r="E1062" t="s">
        <v>19</v>
      </c>
      <c r="F1062" t="s">
        <v>20</v>
      </c>
      <c r="G1062" t="s">
        <v>35</v>
      </c>
      <c r="H1062" t="s">
        <v>40</v>
      </c>
      <c r="I1062">
        <v>12</v>
      </c>
      <c r="J1062">
        <v>21.87</v>
      </c>
      <c r="K1062">
        <v>12</v>
      </c>
      <c r="L1062">
        <v>26</v>
      </c>
      <c r="M1062">
        <v>14.99</v>
      </c>
      <c r="N1062" t="s">
        <v>23</v>
      </c>
      <c r="O1062">
        <v>2</v>
      </c>
      <c r="P1062">
        <v>262.44</v>
      </c>
      <c r="Q1062">
        <v>274.44</v>
      </c>
      <c r="R1062" t="s">
        <v>2055</v>
      </c>
    </row>
    <row r="1063" spans="1:18" x14ac:dyDescent="0.25">
      <c r="A1063" t="s">
        <v>1114</v>
      </c>
      <c r="B1063" s="1">
        <v>45536</v>
      </c>
      <c r="C1063" s="1">
        <v>45545</v>
      </c>
      <c r="D1063" t="s">
        <v>43</v>
      </c>
      <c r="E1063" t="s">
        <v>44</v>
      </c>
      <c r="F1063" t="s">
        <v>45</v>
      </c>
      <c r="G1063" t="s">
        <v>35</v>
      </c>
      <c r="H1063" t="s">
        <v>40</v>
      </c>
      <c r="I1063">
        <v>1</v>
      </c>
      <c r="J1063">
        <v>442.8</v>
      </c>
      <c r="K1063">
        <v>37.5</v>
      </c>
      <c r="L1063">
        <v>389</v>
      </c>
      <c r="M1063">
        <v>136.22999999999999</v>
      </c>
      <c r="N1063" t="s">
        <v>63</v>
      </c>
      <c r="O1063">
        <v>9</v>
      </c>
      <c r="P1063">
        <v>442.8</v>
      </c>
      <c r="Q1063">
        <v>480.3</v>
      </c>
      <c r="R1063" t="s">
        <v>2054</v>
      </c>
    </row>
    <row r="1064" spans="1:18" x14ac:dyDescent="0.25">
      <c r="A1064" t="s">
        <v>1115</v>
      </c>
      <c r="B1064" s="1">
        <v>45536</v>
      </c>
      <c r="C1064" s="1">
        <v>45540</v>
      </c>
      <c r="D1064" t="s">
        <v>58</v>
      </c>
      <c r="E1064" t="s">
        <v>19</v>
      </c>
      <c r="F1064" t="s">
        <v>20</v>
      </c>
      <c r="G1064" t="s">
        <v>35</v>
      </c>
      <c r="H1064" t="s">
        <v>22</v>
      </c>
      <c r="I1064">
        <v>13</v>
      </c>
      <c r="J1064">
        <v>49.27</v>
      </c>
      <c r="K1064">
        <v>8</v>
      </c>
      <c r="L1064">
        <v>2</v>
      </c>
      <c r="M1064">
        <v>47.24</v>
      </c>
      <c r="N1064" t="s">
        <v>23</v>
      </c>
      <c r="O1064">
        <v>4</v>
      </c>
      <c r="P1064">
        <v>640.51</v>
      </c>
      <c r="Q1064">
        <v>648.51</v>
      </c>
      <c r="R1064" t="s">
        <v>2056</v>
      </c>
    </row>
    <row r="1065" spans="1:18" x14ac:dyDescent="0.25">
      <c r="A1065" t="s">
        <v>1116</v>
      </c>
      <c r="B1065" s="1">
        <v>45539</v>
      </c>
      <c r="C1065" s="1">
        <v>45555</v>
      </c>
      <c r="D1065" t="s">
        <v>72</v>
      </c>
      <c r="E1065" t="s">
        <v>44</v>
      </c>
      <c r="F1065" t="s">
        <v>45</v>
      </c>
      <c r="G1065" t="s">
        <v>35</v>
      </c>
      <c r="H1065" t="s">
        <v>22</v>
      </c>
      <c r="I1065">
        <v>1</v>
      </c>
      <c r="J1065">
        <v>861</v>
      </c>
      <c r="K1065">
        <v>25</v>
      </c>
      <c r="L1065">
        <v>295</v>
      </c>
      <c r="M1065">
        <v>288.85000000000002</v>
      </c>
      <c r="N1065" t="s">
        <v>47</v>
      </c>
      <c r="O1065">
        <v>16</v>
      </c>
      <c r="P1065">
        <v>861</v>
      </c>
      <c r="Q1065">
        <v>886</v>
      </c>
      <c r="R1065" t="s">
        <v>2054</v>
      </c>
    </row>
    <row r="1066" spans="1:18" x14ac:dyDescent="0.25">
      <c r="A1066" t="s">
        <v>1117</v>
      </c>
      <c r="B1066" s="1">
        <v>45539</v>
      </c>
      <c r="C1066" s="1">
        <v>45541</v>
      </c>
      <c r="D1066" t="s">
        <v>118</v>
      </c>
      <c r="E1066" t="s">
        <v>79</v>
      </c>
      <c r="F1066" t="s">
        <v>80</v>
      </c>
      <c r="G1066" t="s">
        <v>35</v>
      </c>
      <c r="H1066" t="s">
        <v>40</v>
      </c>
      <c r="I1066">
        <v>3</v>
      </c>
      <c r="J1066">
        <v>70.790000000000006</v>
      </c>
      <c r="K1066">
        <v>18</v>
      </c>
      <c r="L1066">
        <v>115</v>
      </c>
      <c r="M1066">
        <v>86.57</v>
      </c>
      <c r="N1066" t="s">
        <v>23</v>
      </c>
      <c r="O1066">
        <v>2</v>
      </c>
      <c r="P1066">
        <v>212.37</v>
      </c>
      <c r="Q1066">
        <v>230.37</v>
      </c>
      <c r="R1066" t="s">
        <v>2054</v>
      </c>
    </row>
    <row r="1067" spans="1:18" x14ac:dyDescent="0.25">
      <c r="A1067" t="s">
        <v>1118</v>
      </c>
      <c r="B1067" s="1">
        <v>45539</v>
      </c>
      <c r="C1067" s="1">
        <v>45544</v>
      </c>
      <c r="D1067" t="s">
        <v>118</v>
      </c>
      <c r="E1067" t="s">
        <v>79</v>
      </c>
      <c r="F1067" t="s">
        <v>80</v>
      </c>
      <c r="G1067" t="s">
        <v>35</v>
      </c>
      <c r="H1067" t="s">
        <v>27</v>
      </c>
      <c r="I1067">
        <v>1</v>
      </c>
      <c r="J1067">
        <v>52.87</v>
      </c>
      <c r="K1067">
        <v>12</v>
      </c>
      <c r="L1067">
        <v>351</v>
      </c>
      <c r="M1067">
        <v>17.79</v>
      </c>
      <c r="N1067" t="s">
        <v>23</v>
      </c>
      <c r="O1067">
        <v>5</v>
      </c>
      <c r="P1067">
        <v>52.87</v>
      </c>
      <c r="Q1067">
        <v>64.87</v>
      </c>
      <c r="R1067" t="s">
        <v>2054</v>
      </c>
    </row>
    <row r="1068" spans="1:18" x14ac:dyDescent="0.25">
      <c r="A1068" t="s">
        <v>1119</v>
      </c>
      <c r="B1068" s="1">
        <v>45540</v>
      </c>
      <c r="C1068" s="1">
        <v>45541</v>
      </c>
      <c r="D1068" t="s">
        <v>58</v>
      </c>
      <c r="E1068" t="s">
        <v>19</v>
      </c>
      <c r="F1068" t="s">
        <v>20</v>
      </c>
      <c r="G1068" t="s">
        <v>26</v>
      </c>
      <c r="H1068" t="s">
        <v>32</v>
      </c>
      <c r="I1068">
        <v>13</v>
      </c>
      <c r="J1068">
        <v>32.85</v>
      </c>
      <c r="K1068">
        <v>8</v>
      </c>
      <c r="L1068">
        <v>366</v>
      </c>
      <c r="M1068">
        <v>30.17</v>
      </c>
      <c r="N1068" t="s">
        <v>23</v>
      </c>
      <c r="O1068">
        <v>1</v>
      </c>
      <c r="P1068">
        <v>427.05</v>
      </c>
      <c r="Q1068">
        <v>435.05</v>
      </c>
      <c r="R1068" t="s">
        <v>2054</v>
      </c>
    </row>
    <row r="1069" spans="1:18" x14ac:dyDescent="0.25">
      <c r="A1069" t="s">
        <v>1120</v>
      </c>
      <c r="B1069" s="1">
        <v>45541</v>
      </c>
      <c r="C1069" s="1">
        <v>45544</v>
      </c>
      <c r="D1069" t="s">
        <v>72</v>
      </c>
      <c r="E1069" t="s">
        <v>44</v>
      </c>
      <c r="F1069" t="s">
        <v>45</v>
      </c>
      <c r="G1069" t="s">
        <v>26</v>
      </c>
      <c r="H1069" t="s">
        <v>27</v>
      </c>
      <c r="I1069">
        <v>3</v>
      </c>
      <c r="J1069">
        <v>955.08</v>
      </c>
      <c r="K1069">
        <v>25</v>
      </c>
      <c r="L1069">
        <v>102</v>
      </c>
      <c r="M1069">
        <v>990.33</v>
      </c>
      <c r="N1069" t="s">
        <v>23</v>
      </c>
      <c r="O1069">
        <v>3</v>
      </c>
      <c r="P1069">
        <v>2865.2400000000002</v>
      </c>
      <c r="Q1069">
        <v>2890.2400000000002</v>
      </c>
      <c r="R1069" t="s">
        <v>2054</v>
      </c>
    </row>
    <row r="1070" spans="1:18" x14ac:dyDescent="0.25">
      <c r="A1070" t="s">
        <v>1121</v>
      </c>
      <c r="B1070" s="1">
        <v>45542</v>
      </c>
      <c r="C1070" s="1">
        <v>45545</v>
      </c>
      <c r="D1070" t="s">
        <v>52</v>
      </c>
      <c r="E1070" t="s">
        <v>30</v>
      </c>
      <c r="F1070" t="s">
        <v>31</v>
      </c>
      <c r="G1070" t="s">
        <v>35</v>
      </c>
      <c r="H1070" t="s">
        <v>40</v>
      </c>
      <c r="I1070">
        <v>3</v>
      </c>
      <c r="J1070">
        <v>48.91</v>
      </c>
      <c r="K1070">
        <v>18</v>
      </c>
      <c r="L1070">
        <v>126</v>
      </c>
      <c r="M1070">
        <v>49.69</v>
      </c>
      <c r="N1070" t="s">
        <v>23</v>
      </c>
      <c r="O1070">
        <v>3</v>
      </c>
      <c r="P1070">
        <v>146.72999999999999</v>
      </c>
      <c r="Q1070">
        <v>164.73</v>
      </c>
      <c r="R1070" t="s">
        <v>2054</v>
      </c>
    </row>
    <row r="1071" spans="1:18" x14ac:dyDescent="0.25">
      <c r="A1071" t="s">
        <v>1122</v>
      </c>
      <c r="B1071" s="1">
        <v>45543</v>
      </c>
      <c r="C1071" s="1">
        <v>45559</v>
      </c>
      <c r="D1071" t="s">
        <v>118</v>
      </c>
      <c r="E1071" t="s">
        <v>79</v>
      </c>
      <c r="F1071" t="s">
        <v>80</v>
      </c>
      <c r="G1071" t="s">
        <v>35</v>
      </c>
      <c r="H1071" t="s">
        <v>40</v>
      </c>
      <c r="I1071">
        <v>2</v>
      </c>
      <c r="J1071">
        <v>144.83000000000001</v>
      </c>
      <c r="K1071">
        <v>18</v>
      </c>
      <c r="L1071">
        <v>273</v>
      </c>
      <c r="M1071">
        <v>121.35</v>
      </c>
      <c r="N1071" t="s">
        <v>47</v>
      </c>
      <c r="O1071">
        <v>16</v>
      </c>
      <c r="P1071">
        <v>289.66000000000003</v>
      </c>
      <c r="Q1071">
        <v>307.66000000000003</v>
      </c>
      <c r="R1071" t="s">
        <v>2054</v>
      </c>
    </row>
    <row r="1072" spans="1:18" x14ac:dyDescent="0.25">
      <c r="A1072" t="s">
        <v>1123</v>
      </c>
      <c r="B1072" s="1">
        <v>45544</v>
      </c>
      <c r="C1072" s="1">
        <v>45549</v>
      </c>
      <c r="D1072" t="s">
        <v>50</v>
      </c>
      <c r="E1072" t="s">
        <v>44</v>
      </c>
      <c r="F1072" t="s">
        <v>45</v>
      </c>
      <c r="G1072" t="s">
        <v>26</v>
      </c>
      <c r="H1072" t="s">
        <v>32</v>
      </c>
      <c r="I1072">
        <v>1</v>
      </c>
      <c r="J1072">
        <v>865.85</v>
      </c>
      <c r="K1072">
        <v>25</v>
      </c>
      <c r="L1072">
        <v>360</v>
      </c>
      <c r="M1072">
        <v>290.55</v>
      </c>
      <c r="N1072" t="s">
        <v>23</v>
      </c>
      <c r="O1072">
        <v>5</v>
      </c>
      <c r="P1072">
        <v>865.85</v>
      </c>
      <c r="Q1072">
        <v>890.85</v>
      </c>
      <c r="R1072" t="s">
        <v>2054</v>
      </c>
    </row>
    <row r="1073" spans="1:18" x14ac:dyDescent="0.25">
      <c r="A1073" t="s">
        <v>1124</v>
      </c>
      <c r="B1073" s="1">
        <v>45545</v>
      </c>
      <c r="C1073" s="1">
        <v>45548</v>
      </c>
      <c r="D1073" t="s">
        <v>34</v>
      </c>
      <c r="E1073" t="s">
        <v>30</v>
      </c>
      <c r="F1073" t="s">
        <v>31</v>
      </c>
      <c r="G1073" t="s">
        <v>35</v>
      </c>
      <c r="H1073" t="s">
        <v>40</v>
      </c>
      <c r="I1073">
        <v>4</v>
      </c>
      <c r="J1073">
        <v>111.89</v>
      </c>
      <c r="K1073">
        <v>18</v>
      </c>
      <c r="L1073">
        <v>314</v>
      </c>
      <c r="M1073">
        <v>170.02</v>
      </c>
      <c r="N1073" t="s">
        <v>23</v>
      </c>
      <c r="O1073">
        <v>3</v>
      </c>
      <c r="P1073">
        <v>447.56</v>
      </c>
      <c r="Q1073">
        <v>465.56</v>
      </c>
      <c r="R1073" t="s">
        <v>2054</v>
      </c>
    </row>
    <row r="1074" spans="1:18" x14ac:dyDescent="0.25">
      <c r="A1074" t="s">
        <v>1125</v>
      </c>
      <c r="B1074" s="1">
        <v>45546</v>
      </c>
      <c r="C1074" s="1">
        <v>45560</v>
      </c>
      <c r="D1074" t="s">
        <v>25</v>
      </c>
      <c r="E1074" t="s">
        <v>19</v>
      </c>
      <c r="F1074" t="s">
        <v>20</v>
      </c>
      <c r="G1074" t="s">
        <v>35</v>
      </c>
      <c r="H1074" t="s">
        <v>27</v>
      </c>
      <c r="I1074">
        <v>8</v>
      </c>
      <c r="J1074">
        <v>35.22</v>
      </c>
      <c r="K1074">
        <v>8</v>
      </c>
      <c r="L1074">
        <v>189</v>
      </c>
      <c r="M1074">
        <v>18.54</v>
      </c>
      <c r="N1074" t="s">
        <v>47</v>
      </c>
      <c r="O1074">
        <v>14</v>
      </c>
      <c r="P1074">
        <v>281.76</v>
      </c>
      <c r="Q1074">
        <v>289.76</v>
      </c>
      <c r="R1074" t="s">
        <v>2054</v>
      </c>
    </row>
    <row r="1075" spans="1:18" x14ac:dyDescent="0.25">
      <c r="A1075" t="s">
        <v>1126</v>
      </c>
      <c r="B1075" s="1">
        <v>45546</v>
      </c>
      <c r="C1075" s="1">
        <v>45547</v>
      </c>
      <c r="D1075" t="s">
        <v>82</v>
      </c>
      <c r="E1075" t="s">
        <v>79</v>
      </c>
      <c r="F1075" t="s">
        <v>80</v>
      </c>
      <c r="G1075" t="s">
        <v>21</v>
      </c>
      <c r="H1075" t="s">
        <v>22</v>
      </c>
      <c r="I1075">
        <v>1</v>
      </c>
      <c r="J1075">
        <v>70.23</v>
      </c>
      <c r="K1075">
        <v>12</v>
      </c>
      <c r="L1075">
        <v>371</v>
      </c>
      <c r="M1075">
        <v>-10.53</v>
      </c>
      <c r="N1075" t="s">
        <v>23</v>
      </c>
      <c r="O1075">
        <v>1</v>
      </c>
      <c r="P1075">
        <v>70.23</v>
      </c>
      <c r="Q1075">
        <v>82.23</v>
      </c>
      <c r="R1075" t="s">
        <v>2054</v>
      </c>
    </row>
    <row r="1076" spans="1:18" x14ac:dyDescent="0.25">
      <c r="A1076" t="s">
        <v>1127</v>
      </c>
      <c r="B1076" s="1">
        <v>45547</v>
      </c>
      <c r="C1076" s="1">
        <v>45559</v>
      </c>
      <c r="D1076" t="s">
        <v>118</v>
      </c>
      <c r="E1076" t="s">
        <v>79</v>
      </c>
      <c r="F1076" t="s">
        <v>80</v>
      </c>
      <c r="G1076" t="s">
        <v>35</v>
      </c>
      <c r="H1076" t="s">
        <v>40</v>
      </c>
      <c r="I1076">
        <v>5</v>
      </c>
      <c r="J1076">
        <v>97.92</v>
      </c>
      <c r="K1076">
        <v>18</v>
      </c>
      <c r="L1076">
        <v>164</v>
      </c>
      <c r="M1076">
        <v>211.32</v>
      </c>
      <c r="N1076" t="s">
        <v>47</v>
      </c>
      <c r="O1076">
        <v>12</v>
      </c>
      <c r="P1076">
        <v>489.6</v>
      </c>
      <c r="Q1076">
        <v>507.6</v>
      </c>
      <c r="R1076" t="s">
        <v>2054</v>
      </c>
    </row>
    <row r="1077" spans="1:18" x14ac:dyDescent="0.25">
      <c r="A1077" t="s">
        <v>1128</v>
      </c>
      <c r="B1077" s="1">
        <v>45549</v>
      </c>
      <c r="C1077" s="1">
        <v>45559</v>
      </c>
      <c r="D1077" t="s">
        <v>75</v>
      </c>
      <c r="E1077" t="s">
        <v>44</v>
      </c>
      <c r="F1077" t="s">
        <v>45</v>
      </c>
      <c r="G1077" t="s">
        <v>35</v>
      </c>
      <c r="H1077" t="s">
        <v>27</v>
      </c>
      <c r="I1077">
        <v>3</v>
      </c>
      <c r="J1077">
        <v>281.86</v>
      </c>
      <c r="K1077">
        <v>25</v>
      </c>
      <c r="L1077">
        <v>238</v>
      </c>
      <c r="M1077">
        <v>283.45</v>
      </c>
      <c r="N1077" t="s">
        <v>63</v>
      </c>
      <c r="O1077">
        <v>10</v>
      </c>
      <c r="P1077">
        <v>845.58</v>
      </c>
      <c r="Q1077">
        <v>870.58</v>
      </c>
      <c r="R1077" t="s">
        <v>2054</v>
      </c>
    </row>
    <row r="1078" spans="1:18" x14ac:dyDescent="0.25">
      <c r="A1078" t="s">
        <v>1129</v>
      </c>
      <c r="B1078" s="1">
        <v>45549</v>
      </c>
      <c r="C1078" s="1">
        <v>45554</v>
      </c>
      <c r="D1078" t="s">
        <v>118</v>
      </c>
      <c r="E1078" t="s">
        <v>79</v>
      </c>
      <c r="F1078" t="s">
        <v>80</v>
      </c>
      <c r="G1078" t="s">
        <v>35</v>
      </c>
      <c r="H1078" t="s">
        <v>32</v>
      </c>
      <c r="I1078">
        <v>2</v>
      </c>
      <c r="J1078">
        <v>123.36</v>
      </c>
      <c r="K1078">
        <v>12</v>
      </c>
      <c r="L1078">
        <v>284</v>
      </c>
      <c r="M1078">
        <v>105.02</v>
      </c>
      <c r="N1078" t="s">
        <v>23</v>
      </c>
      <c r="O1078">
        <v>5</v>
      </c>
      <c r="P1078">
        <v>246.72</v>
      </c>
      <c r="Q1078">
        <v>258.72000000000003</v>
      </c>
      <c r="R1078" t="s">
        <v>2054</v>
      </c>
    </row>
    <row r="1079" spans="1:18" x14ac:dyDescent="0.25">
      <c r="A1079" t="s">
        <v>1130</v>
      </c>
      <c r="B1079" s="1">
        <v>45550</v>
      </c>
      <c r="C1079" s="1">
        <v>45563</v>
      </c>
      <c r="D1079" t="s">
        <v>82</v>
      </c>
      <c r="E1079" t="s">
        <v>79</v>
      </c>
      <c r="F1079" t="s">
        <v>80</v>
      </c>
      <c r="G1079" t="s">
        <v>35</v>
      </c>
      <c r="H1079" t="s">
        <v>40</v>
      </c>
      <c r="I1079">
        <v>4</v>
      </c>
      <c r="J1079">
        <v>69.52</v>
      </c>
      <c r="K1079">
        <v>18</v>
      </c>
      <c r="L1079">
        <v>278</v>
      </c>
      <c r="M1079">
        <v>116.13</v>
      </c>
      <c r="N1079" t="s">
        <v>47</v>
      </c>
      <c r="O1079">
        <v>13</v>
      </c>
      <c r="P1079">
        <v>278.08</v>
      </c>
      <c r="Q1079">
        <v>296.08</v>
      </c>
      <c r="R1079" t="s">
        <v>2054</v>
      </c>
    </row>
    <row r="1080" spans="1:18" x14ac:dyDescent="0.25">
      <c r="A1080" t="s">
        <v>1131</v>
      </c>
      <c r="B1080" s="1">
        <v>45550</v>
      </c>
      <c r="C1080" s="1">
        <v>45555</v>
      </c>
      <c r="D1080" t="s">
        <v>18</v>
      </c>
      <c r="E1080" t="s">
        <v>19</v>
      </c>
      <c r="F1080" t="s">
        <v>20</v>
      </c>
      <c r="G1080" t="s">
        <v>21</v>
      </c>
      <c r="H1080" t="s">
        <v>32</v>
      </c>
      <c r="I1080">
        <v>7</v>
      </c>
      <c r="J1080">
        <v>28.82</v>
      </c>
      <c r="K1080">
        <v>8</v>
      </c>
      <c r="L1080">
        <v>129</v>
      </c>
      <c r="M1080">
        <v>12.14</v>
      </c>
      <c r="N1080" t="s">
        <v>23</v>
      </c>
      <c r="O1080">
        <v>5</v>
      </c>
      <c r="P1080">
        <v>201.74</v>
      </c>
      <c r="Q1080">
        <v>209.74</v>
      </c>
      <c r="R1080" t="s">
        <v>2054</v>
      </c>
    </row>
    <row r="1081" spans="1:18" x14ac:dyDescent="0.25">
      <c r="A1081" t="s">
        <v>1132</v>
      </c>
      <c r="B1081" s="1">
        <v>45550</v>
      </c>
      <c r="C1081" s="1">
        <v>45552</v>
      </c>
      <c r="D1081" t="s">
        <v>25</v>
      </c>
      <c r="E1081" t="s">
        <v>19</v>
      </c>
      <c r="F1081" t="s">
        <v>20</v>
      </c>
      <c r="G1081" t="s">
        <v>35</v>
      </c>
      <c r="H1081" t="s">
        <v>32</v>
      </c>
      <c r="I1081">
        <v>10</v>
      </c>
      <c r="J1081">
        <v>24.12</v>
      </c>
      <c r="K1081">
        <v>8</v>
      </c>
      <c r="L1081">
        <v>349</v>
      </c>
      <c r="M1081">
        <v>15.3</v>
      </c>
      <c r="N1081" t="s">
        <v>23</v>
      </c>
      <c r="O1081">
        <v>2</v>
      </c>
      <c r="P1081">
        <v>241.20000000000002</v>
      </c>
      <c r="Q1081">
        <v>249.20000000000002</v>
      </c>
      <c r="R1081" t="s">
        <v>2054</v>
      </c>
    </row>
    <row r="1082" spans="1:18" x14ac:dyDescent="0.25">
      <c r="A1082" t="s">
        <v>1133</v>
      </c>
      <c r="B1082" s="1">
        <v>45550</v>
      </c>
      <c r="C1082" s="1">
        <v>45561</v>
      </c>
      <c r="D1082" t="s">
        <v>18</v>
      </c>
      <c r="E1082" t="s">
        <v>19</v>
      </c>
      <c r="F1082" t="s">
        <v>20</v>
      </c>
      <c r="G1082" t="s">
        <v>35</v>
      </c>
      <c r="H1082" t="s">
        <v>40</v>
      </c>
      <c r="I1082">
        <v>12</v>
      </c>
      <c r="J1082">
        <v>26.94</v>
      </c>
      <c r="K1082">
        <v>12</v>
      </c>
      <c r="L1082">
        <v>128</v>
      </c>
      <c r="M1082">
        <v>19.86</v>
      </c>
      <c r="N1082" t="s">
        <v>47</v>
      </c>
      <c r="O1082">
        <v>11</v>
      </c>
      <c r="P1082">
        <v>323.28000000000003</v>
      </c>
      <c r="Q1082">
        <v>335.28000000000003</v>
      </c>
      <c r="R1082" t="s">
        <v>2054</v>
      </c>
    </row>
    <row r="1083" spans="1:18" x14ac:dyDescent="0.25">
      <c r="A1083" t="s">
        <v>1134</v>
      </c>
      <c r="B1083" s="1">
        <v>45551</v>
      </c>
      <c r="C1083" s="1">
        <v>45553</v>
      </c>
      <c r="D1083" t="s">
        <v>75</v>
      </c>
      <c r="E1083" t="s">
        <v>44</v>
      </c>
      <c r="F1083" t="s">
        <v>45</v>
      </c>
      <c r="G1083" t="s">
        <v>26</v>
      </c>
      <c r="H1083" t="s">
        <v>22</v>
      </c>
      <c r="I1083">
        <v>1</v>
      </c>
      <c r="J1083">
        <v>1088.8800000000001</v>
      </c>
      <c r="K1083">
        <v>25</v>
      </c>
      <c r="L1083">
        <v>95</v>
      </c>
      <c r="M1083">
        <v>368.61</v>
      </c>
      <c r="N1083" t="s">
        <v>23</v>
      </c>
      <c r="O1083">
        <v>2</v>
      </c>
      <c r="P1083">
        <v>1088.8800000000001</v>
      </c>
      <c r="Q1083">
        <v>1113.8800000000001</v>
      </c>
      <c r="R1083" t="s">
        <v>2054</v>
      </c>
    </row>
    <row r="1084" spans="1:18" x14ac:dyDescent="0.25">
      <c r="A1084" t="s">
        <v>1135</v>
      </c>
      <c r="B1084" s="1">
        <v>45551</v>
      </c>
      <c r="C1084" s="1">
        <v>45553</v>
      </c>
      <c r="D1084" t="s">
        <v>52</v>
      </c>
      <c r="E1084" t="s">
        <v>30</v>
      </c>
      <c r="F1084" t="s">
        <v>31</v>
      </c>
      <c r="G1084" t="s">
        <v>35</v>
      </c>
      <c r="H1084" t="s">
        <v>22</v>
      </c>
      <c r="I1084">
        <v>4</v>
      </c>
      <c r="J1084">
        <v>62.12</v>
      </c>
      <c r="K1084">
        <v>12</v>
      </c>
      <c r="L1084">
        <v>237</v>
      </c>
      <c r="M1084">
        <v>93.39</v>
      </c>
      <c r="N1084" t="s">
        <v>23</v>
      </c>
      <c r="O1084">
        <v>2</v>
      </c>
      <c r="P1084">
        <v>248.48</v>
      </c>
      <c r="Q1084">
        <v>260.48</v>
      </c>
      <c r="R1084" t="s">
        <v>2054</v>
      </c>
    </row>
    <row r="1085" spans="1:18" x14ac:dyDescent="0.25">
      <c r="A1085" t="s">
        <v>1136</v>
      </c>
      <c r="B1085" s="1">
        <v>45552</v>
      </c>
      <c r="C1085" s="1">
        <v>45554</v>
      </c>
      <c r="D1085" t="s">
        <v>82</v>
      </c>
      <c r="E1085" t="s">
        <v>79</v>
      </c>
      <c r="F1085" t="s">
        <v>80</v>
      </c>
      <c r="G1085" t="s">
        <v>26</v>
      </c>
      <c r="H1085" t="s">
        <v>27</v>
      </c>
      <c r="I1085">
        <v>5</v>
      </c>
      <c r="J1085">
        <v>46.58</v>
      </c>
      <c r="K1085">
        <v>12</v>
      </c>
      <c r="L1085">
        <v>324</v>
      </c>
      <c r="M1085">
        <v>98.81</v>
      </c>
      <c r="N1085" t="s">
        <v>23</v>
      </c>
      <c r="O1085">
        <v>2</v>
      </c>
      <c r="P1085">
        <v>232.89999999999998</v>
      </c>
      <c r="Q1085">
        <v>244.89999999999998</v>
      </c>
      <c r="R1085" t="s">
        <v>2054</v>
      </c>
    </row>
    <row r="1086" spans="1:18" x14ac:dyDescent="0.25">
      <c r="A1086" t="s">
        <v>1137</v>
      </c>
      <c r="B1086" s="1">
        <v>45553</v>
      </c>
      <c r="C1086" s="1">
        <v>45556</v>
      </c>
      <c r="D1086" t="s">
        <v>75</v>
      </c>
      <c r="E1086" t="s">
        <v>44</v>
      </c>
      <c r="F1086" t="s">
        <v>45</v>
      </c>
      <c r="G1086" t="s">
        <v>35</v>
      </c>
      <c r="H1086" t="s">
        <v>40</v>
      </c>
      <c r="I1086">
        <v>3</v>
      </c>
      <c r="J1086">
        <v>222.3</v>
      </c>
      <c r="K1086">
        <v>37.5</v>
      </c>
      <c r="L1086">
        <v>133</v>
      </c>
      <c r="M1086">
        <v>214.67</v>
      </c>
      <c r="N1086" t="s">
        <v>23</v>
      </c>
      <c r="O1086">
        <v>3</v>
      </c>
      <c r="P1086">
        <v>666.90000000000009</v>
      </c>
      <c r="Q1086">
        <v>704.40000000000009</v>
      </c>
      <c r="R1086" t="s">
        <v>2054</v>
      </c>
    </row>
    <row r="1087" spans="1:18" x14ac:dyDescent="0.25">
      <c r="A1087" t="s">
        <v>1138</v>
      </c>
      <c r="B1087" s="1">
        <v>45553</v>
      </c>
      <c r="C1087" s="1">
        <v>45557</v>
      </c>
      <c r="D1087" t="s">
        <v>54</v>
      </c>
      <c r="E1087" t="s">
        <v>38</v>
      </c>
      <c r="F1087" t="s">
        <v>39</v>
      </c>
      <c r="G1087" t="s">
        <v>21</v>
      </c>
      <c r="H1087" t="s">
        <v>32</v>
      </c>
      <c r="I1087">
        <v>1</v>
      </c>
      <c r="J1087">
        <v>365.09</v>
      </c>
      <c r="K1087">
        <v>75</v>
      </c>
      <c r="L1087">
        <v>362</v>
      </c>
      <c r="M1087">
        <v>35.520000000000003</v>
      </c>
      <c r="N1087" t="s">
        <v>23</v>
      </c>
      <c r="O1087">
        <v>4</v>
      </c>
      <c r="P1087">
        <v>365.09</v>
      </c>
      <c r="Q1087">
        <v>440.09</v>
      </c>
      <c r="R1087" t="s">
        <v>2054</v>
      </c>
    </row>
    <row r="1088" spans="1:18" x14ac:dyDescent="0.25">
      <c r="A1088" t="s">
        <v>1139</v>
      </c>
      <c r="B1088" s="1">
        <v>45554</v>
      </c>
      <c r="C1088" s="1">
        <v>45556</v>
      </c>
      <c r="D1088" t="s">
        <v>43</v>
      </c>
      <c r="E1088" t="s">
        <v>44</v>
      </c>
      <c r="F1088" t="s">
        <v>45</v>
      </c>
      <c r="G1088" t="s">
        <v>35</v>
      </c>
      <c r="H1088" t="s">
        <v>22</v>
      </c>
      <c r="I1088">
        <v>1</v>
      </c>
      <c r="J1088">
        <v>780.33</v>
      </c>
      <c r="K1088">
        <v>25</v>
      </c>
      <c r="L1088">
        <v>131</v>
      </c>
      <c r="M1088">
        <v>260.62</v>
      </c>
      <c r="N1088" t="s">
        <v>23</v>
      </c>
      <c r="O1088">
        <v>2</v>
      </c>
      <c r="P1088">
        <v>780.33</v>
      </c>
      <c r="Q1088">
        <v>805.33</v>
      </c>
      <c r="R1088" t="s">
        <v>2054</v>
      </c>
    </row>
    <row r="1089" spans="1:18" x14ac:dyDescent="0.25">
      <c r="A1089" t="s">
        <v>1140</v>
      </c>
      <c r="B1089" s="1">
        <v>45554</v>
      </c>
      <c r="C1089" s="1">
        <v>45563</v>
      </c>
      <c r="D1089" t="s">
        <v>25</v>
      </c>
      <c r="E1089" t="s">
        <v>19</v>
      </c>
      <c r="F1089" t="s">
        <v>20</v>
      </c>
      <c r="G1089" t="s">
        <v>35</v>
      </c>
      <c r="H1089" t="s">
        <v>32</v>
      </c>
      <c r="I1089">
        <v>8</v>
      </c>
      <c r="J1089">
        <v>47.62</v>
      </c>
      <c r="K1089">
        <v>8</v>
      </c>
      <c r="L1089">
        <v>163</v>
      </c>
      <c r="M1089">
        <v>26.47</v>
      </c>
      <c r="N1089" t="s">
        <v>63</v>
      </c>
      <c r="O1089">
        <v>9</v>
      </c>
      <c r="P1089">
        <v>380.96</v>
      </c>
      <c r="Q1089">
        <v>388.96</v>
      </c>
      <c r="R1089" t="s">
        <v>2054</v>
      </c>
    </row>
    <row r="1090" spans="1:18" x14ac:dyDescent="0.25">
      <c r="A1090" t="s">
        <v>1141</v>
      </c>
      <c r="B1090" s="1">
        <v>45555</v>
      </c>
      <c r="C1090" s="1">
        <v>45557</v>
      </c>
      <c r="D1090" t="s">
        <v>43</v>
      </c>
      <c r="E1090" t="s">
        <v>44</v>
      </c>
      <c r="F1090" t="s">
        <v>45</v>
      </c>
      <c r="G1090" t="s">
        <v>26</v>
      </c>
      <c r="H1090" t="s">
        <v>27</v>
      </c>
      <c r="I1090">
        <v>3</v>
      </c>
      <c r="J1090">
        <v>582.59</v>
      </c>
      <c r="K1090">
        <v>25</v>
      </c>
      <c r="L1090">
        <v>177</v>
      </c>
      <c r="M1090">
        <v>599.22</v>
      </c>
      <c r="N1090" t="s">
        <v>23</v>
      </c>
      <c r="O1090">
        <v>2</v>
      </c>
      <c r="P1090">
        <v>1747.77</v>
      </c>
      <c r="Q1090">
        <v>1772.77</v>
      </c>
      <c r="R1090" t="s">
        <v>2054</v>
      </c>
    </row>
    <row r="1091" spans="1:18" x14ac:dyDescent="0.25">
      <c r="A1091" t="s">
        <v>1142</v>
      </c>
      <c r="B1091" s="1">
        <v>45555</v>
      </c>
      <c r="C1091" s="1">
        <v>45559</v>
      </c>
      <c r="D1091" t="s">
        <v>54</v>
      </c>
      <c r="E1091" t="s">
        <v>38</v>
      </c>
      <c r="F1091" t="s">
        <v>39</v>
      </c>
      <c r="G1091" t="s">
        <v>35</v>
      </c>
      <c r="H1091" t="s">
        <v>27</v>
      </c>
      <c r="I1091">
        <v>2</v>
      </c>
      <c r="J1091">
        <v>161.38</v>
      </c>
      <c r="K1091">
        <v>75</v>
      </c>
      <c r="L1091">
        <v>217</v>
      </c>
      <c r="M1091">
        <v>27.05</v>
      </c>
      <c r="N1091" t="s">
        <v>23</v>
      </c>
      <c r="O1091">
        <v>4</v>
      </c>
      <c r="P1091">
        <v>322.76</v>
      </c>
      <c r="Q1091">
        <v>397.76</v>
      </c>
      <c r="R1091" t="s">
        <v>2054</v>
      </c>
    </row>
    <row r="1092" spans="1:18" x14ac:dyDescent="0.25">
      <c r="A1092" t="s">
        <v>1143</v>
      </c>
      <c r="B1092" s="1">
        <v>45555</v>
      </c>
      <c r="C1092" s="1">
        <v>45567</v>
      </c>
      <c r="D1092" t="s">
        <v>18</v>
      </c>
      <c r="E1092" t="s">
        <v>19</v>
      </c>
      <c r="F1092" t="s">
        <v>20</v>
      </c>
      <c r="G1092" t="s">
        <v>35</v>
      </c>
      <c r="H1092" t="s">
        <v>40</v>
      </c>
      <c r="I1092">
        <v>5</v>
      </c>
      <c r="J1092">
        <v>42.78</v>
      </c>
      <c r="K1092">
        <v>12</v>
      </c>
      <c r="L1092">
        <v>50</v>
      </c>
      <c r="M1092">
        <v>11.11</v>
      </c>
      <c r="N1092" t="s">
        <v>47</v>
      </c>
      <c r="O1092">
        <v>12</v>
      </c>
      <c r="P1092">
        <v>213.9</v>
      </c>
      <c r="Q1092">
        <v>225.9</v>
      </c>
      <c r="R1092" t="s">
        <v>2055</v>
      </c>
    </row>
    <row r="1093" spans="1:18" x14ac:dyDescent="0.25">
      <c r="A1093" t="s">
        <v>1144</v>
      </c>
      <c r="B1093" s="1">
        <v>45556</v>
      </c>
      <c r="C1093" s="1">
        <v>45564</v>
      </c>
      <c r="D1093" t="s">
        <v>50</v>
      </c>
      <c r="E1093" t="s">
        <v>44</v>
      </c>
      <c r="F1093" t="s">
        <v>45</v>
      </c>
      <c r="G1093" t="s">
        <v>35</v>
      </c>
      <c r="H1093" t="s">
        <v>27</v>
      </c>
      <c r="I1093">
        <v>3</v>
      </c>
      <c r="J1093">
        <v>243.97</v>
      </c>
      <c r="K1093">
        <v>25</v>
      </c>
      <c r="L1093">
        <v>132</v>
      </c>
      <c r="M1093">
        <v>243.67</v>
      </c>
      <c r="N1093" t="s">
        <v>63</v>
      </c>
      <c r="O1093">
        <v>8</v>
      </c>
      <c r="P1093">
        <v>731.91</v>
      </c>
      <c r="Q1093">
        <v>756.91</v>
      </c>
      <c r="R1093" t="s">
        <v>2054</v>
      </c>
    </row>
    <row r="1094" spans="1:18" x14ac:dyDescent="0.25">
      <c r="A1094" t="s">
        <v>1145</v>
      </c>
      <c r="B1094" s="1">
        <v>45556</v>
      </c>
      <c r="C1094" s="1">
        <v>45558</v>
      </c>
      <c r="D1094" t="s">
        <v>29</v>
      </c>
      <c r="E1094" t="s">
        <v>30</v>
      </c>
      <c r="F1094" t="s">
        <v>31</v>
      </c>
      <c r="G1094" t="s">
        <v>21</v>
      </c>
      <c r="H1094" t="s">
        <v>22</v>
      </c>
      <c r="I1094">
        <v>2</v>
      </c>
      <c r="J1094">
        <v>72.19</v>
      </c>
      <c r="K1094">
        <v>12</v>
      </c>
      <c r="L1094">
        <v>175</v>
      </c>
      <c r="M1094">
        <v>51.75</v>
      </c>
      <c r="N1094" t="s">
        <v>23</v>
      </c>
      <c r="O1094">
        <v>2</v>
      </c>
      <c r="P1094">
        <v>144.38</v>
      </c>
      <c r="Q1094">
        <v>156.38</v>
      </c>
      <c r="R1094" t="s">
        <v>2054</v>
      </c>
    </row>
    <row r="1095" spans="1:18" x14ac:dyDescent="0.25">
      <c r="A1095" t="s">
        <v>1146</v>
      </c>
      <c r="B1095" s="1">
        <v>45557</v>
      </c>
      <c r="C1095" s="1">
        <v>45560</v>
      </c>
      <c r="D1095" t="s">
        <v>58</v>
      </c>
      <c r="E1095" t="s">
        <v>19</v>
      </c>
      <c r="F1095" t="s">
        <v>20</v>
      </c>
      <c r="G1095" t="s">
        <v>21</v>
      </c>
      <c r="H1095" t="s">
        <v>32</v>
      </c>
      <c r="I1095">
        <v>14</v>
      </c>
      <c r="J1095">
        <v>27.61</v>
      </c>
      <c r="K1095">
        <v>8</v>
      </c>
      <c r="L1095">
        <v>48</v>
      </c>
      <c r="M1095">
        <v>26.92</v>
      </c>
      <c r="N1095" t="s">
        <v>23</v>
      </c>
      <c r="O1095">
        <v>3</v>
      </c>
      <c r="P1095">
        <v>386.53999999999996</v>
      </c>
      <c r="Q1095">
        <v>394.53999999999996</v>
      </c>
      <c r="R1095" t="s">
        <v>2055</v>
      </c>
    </row>
    <row r="1096" spans="1:18" x14ac:dyDescent="0.25">
      <c r="A1096" t="s">
        <v>1147</v>
      </c>
      <c r="B1096" s="1">
        <v>45558</v>
      </c>
      <c r="C1096" s="1">
        <v>45563</v>
      </c>
      <c r="D1096" t="s">
        <v>52</v>
      </c>
      <c r="E1096" t="s">
        <v>30</v>
      </c>
      <c r="F1096" t="s">
        <v>31</v>
      </c>
      <c r="G1096" t="s">
        <v>35</v>
      </c>
      <c r="H1096" t="s">
        <v>40</v>
      </c>
      <c r="I1096">
        <v>3</v>
      </c>
      <c r="J1096">
        <v>90.69</v>
      </c>
      <c r="K1096">
        <v>18</v>
      </c>
      <c r="L1096">
        <v>81</v>
      </c>
      <c r="M1096">
        <v>-40.81</v>
      </c>
      <c r="N1096" t="s">
        <v>23</v>
      </c>
      <c r="O1096">
        <v>5</v>
      </c>
      <c r="P1096">
        <v>272.07</v>
      </c>
      <c r="Q1096">
        <v>290.07</v>
      </c>
      <c r="R1096" t="s">
        <v>2054</v>
      </c>
    </row>
    <row r="1097" spans="1:18" x14ac:dyDescent="0.25">
      <c r="A1097" t="s">
        <v>1148</v>
      </c>
      <c r="B1097" s="1">
        <v>45559</v>
      </c>
      <c r="C1097" s="1">
        <v>45560</v>
      </c>
      <c r="D1097" t="s">
        <v>56</v>
      </c>
      <c r="E1097" t="s">
        <v>38</v>
      </c>
      <c r="F1097" t="s">
        <v>39</v>
      </c>
      <c r="G1097" t="s">
        <v>21</v>
      </c>
      <c r="H1097" t="s">
        <v>27</v>
      </c>
      <c r="I1097">
        <v>1</v>
      </c>
      <c r="J1097">
        <v>226.95</v>
      </c>
      <c r="K1097">
        <v>75</v>
      </c>
      <c r="L1097">
        <v>209</v>
      </c>
      <c r="M1097">
        <v>7.89</v>
      </c>
      <c r="N1097" t="s">
        <v>23</v>
      </c>
      <c r="O1097">
        <v>1</v>
      </c>
      <c r="P1097">
        <v>226.95</v>
      </c>
      <c r="Q1097">
        <v>301.95</v>
      </c>
      <c r="R1097" t="s">
        <v>2054</v>
      </c>
    </row>
    <row r="1098" spans="1:18" x14ac:dyDescent="0.25">
      <c r="A1098" t="s">
        <v>1149</v>
      </c>
      <c r="B1098" s="1">
        <v>45559</v>
      </c>
      <c r="C1098" s="1">
        <v>45564</v>
      </c>
      <c r="D1098" t="s">
        <v>78</v>
      </c>
      <c r="E1098" t="s">
        <v>79</v>
      </c>
      <c r="F1098" t="s">
        <v>80</v>
      </c>
      <c r="G1098" t="s">
        <v>21</v>
      </c>
      <c r="H1098" t="s">
        <v>32</v>
      </c>
      <c r="I1098">
        <v>5</v>
      </c>
      <c r="J1098">
        <v>62.71</v>
      </c>
      <c r="K1098">
        <v>12</v>
      </c>
      <c r="L1098">
        <v>268</v>
      </c>
      <c r="M1098">
        <v>-47.03</v>
      </c>
      <c r="N1098" t="s">
        <v>23</v>
      </c>
      <c r="O1098">
        <v>5</v>
      </c>
      <c r="P1098">
        <v>313.55</v>
      </c>
      <c r="Q1098">
        <v>325.55</v>
      </c>
      <c r="R1098" t="s">
        <v>2054</v>
      </c>
    </row>
    <row r="1099" spans="1:18" x14ac:dyDescent="0.25">
      <c r="A1099" t="s">
        <v>1150</v>
      </c>
      <c r="B1099" s="1">
        <v>45560</v>
      </c>
      <c r="C1099" s="1">
        <v>45564</v>
      </c>
      <c r="D1099" t="s">
        <v>72</v>
      </c>
      <c r="E1099" t="s">
        <v>44</v>
      </c>
      <c r="F1099" t="s">
        <v>45</v>
      </c>
      <c r="G1099" t="s">
        <v>26</v>
      </c>
      <c r="H1099" t="s">
        <v>32</v>
      </c>
      <c r="I1099">
        <v>2</v>
      </c>
      <c r="J1099">
        <v>538.14</v>
      </c>
      <c r="K1099">
        <v>25</v>
      </c>
      <c r="L1099">
        <v>330</v>
      </c>
      <c r="M1099">
        <v>364.2</v>
      </c>
      <c r="N1099" t="s">
        <v>23</v>
      </c>
      <c r="O1099">
        <v>4</v>
      </c>
      <c r="P1099">
        <v>1076.28</v>
      </c>
      <c r="Q1099">
        <v>1101.28</v>
      </c>
      <c r="R1099" t="s">
        <v>2054</v>
      </c>
    </row>
    <row r="1100" spans="1:18" x14ac:dyDescent="0.25">
      <c r="A1100" t="s">
        <v>1151</v>
      </c>
      <c r="B1100" s="1">
        <v>45560</v>
      </c>
      <c r="C1100" s="1">
        <v>45563</v>
      </c>
      <c r="D1100" t="s">
        <v>25</v>
      </c>
      <c r="E1100" t="s">
        <v>19</v>
      </c>
      <c r="F1100" t="s">
        <v>20</v>
      </c>
      <c r="G1100" t="s">
        <v>21</v>
      </c>
      <c r="H1100" t="s">
        <v>40</v>
      </c>
      <c r="I1100">
        <v>14</v>
      </c>
      <c r="J1100">
        <v>31.32</v>
      </c>
      <c r="K1100">
        <v>12</v>
      </c>
      <c r="L1100">
        <v>266</v>
      </c>
      <c r="M1100">
        <v>29.07</v>
      </c>
      <c r="N1100" t="s">
        <v>23</v>
      </c>
      <c r="O1100">
        <v>3</v>
      </c>
      <c r="P1100">
        <v>438.48</v>
      </c>
      <c r="Q1100">
        <v>450.48</v>
      </c>
      <c r="R1100" t="s">
        <v>2054</v>
      </c>
    </row>
    <row r="1101" spans="1:18" x14ac:dyDescent="0.25">
      <c r="A1101" t="s">
        <v>1152</v>
      </c>
      <c r="B1101" s="1">
        <v>45560</v>
      </c>
      <c r="C1101" s="1">
        <v>45564</v>
      </c>
      <c r="D1101" t="s">
        <v>37</v>
      </c>
      <c r="E1101" t="s">
        <v>38</v>
      </c>
      <c r="F1101" t="s">
        <v>39</v>
      </c>
      <c r="G1101" t="s">
        <v>35</v>
      </c>
      <c r="H1101" t="s">
        <v>40</v>
      </c>
      <c r="I1101">
        <v>2</v>
      </c>
      <c r="J1101">
        <v>406.22</v>
      </c>
      <c r="K1101">
        <v>112.5</v>
      </c>
      <c r="L1101">
        <v>326</v>
      </c>
      <c r="M1101">
        <v>106.24</v>
      </c>
      <c r="N1101" t="s">
        <v>23</v>
      </c>
      <c r="O1101">
        <v>4</v>
      </c>
      <c r="P1101">
        <v>812.44</v>
      </c>
      <c r="Q1101">
        <v>924.94</v>
      </c>
      <c r="R1101" t="s">
        <v>2054</v>
      </c>
    </row>
    <row r="1102" spans="1:18" x14ac:dyDescent="0.25">
      <c r="A1102" t="s">
        <v>1153</v>
      </c>
      <c r="B1102" s="1">
        <v>45560</v>
      </c>
      <c r="C1102" s="1">
        <v>45562</v>
      </c>
      <c r="D1102" t="s">
        <v>25</v>
      </c>
      <c r="E1102" t="s">
        <v>19</v>
      </c>
      <c r="F1102" t="s">
        <v>20</v>
      </c>
      <c r="G1102" t="s">
        <v>35</v>
      </c>
      <c r="H1102" t="s">
        <v>40</v>
      </c>
      <c r="I1102">
        <v>8</v>
      </c>
      <c r="J1102">
        <v>11.9</v>
      </c>
      <c r="K1102">
        <v>12</v>
      </c>
      <c r="L1102">
        <v>232</v>
      </c>
      <c r="M1102">
        <v>1.61</v>
      </c>
      <c r="N1102" t="s">
        <v>23</v>
      </c>
      <c r="O1102">
        <v>2</v>
      </c>
      <c r="P1102">
        <v>95.2</v>
      </c>
      <c r="Q1102">
        <v>107.2</v>
      </c>
      <c r="R1102" t="s">
        <v>2054</v>
      </c>
    </row>
    <row r="1103" spans="1:18" x14ac:dyDescent="0.25">
      <c r="A1103" t="s">
        <v>1154</v>
      </c>
      <c r="B1103" s="1">
        <v>45560</v>
      </c>
      <c r="C1103" s="1">
        <v>45564</v>
      </c>
      <c r="D1103" t="s">
        <v>18</v>
      </c>
      <c r="E1103" t="s">
        <v>19</v>
      </c>
      <c r="F1103" t="s">
        <v>20</v>
      </c>
      <c r="G1103" t="s">
        <v>35</v>
      </c>
      <c r="H1103" t="s">
        <v>40</v>
      </c>
      <c r="I1103">
        <v>11</v>
      </c>
      <c r="J1103">
        <v>43.37</v>
      </c>
      <c r="K1103">
        <v>12</v>
      </c>
      <c r="L1103">
        <v>151</v>
      </c>
      <c r="M1103">
        <v>32.17</v>
      </c>
      <c r="N1103" t="s">
        <v>23</v>
      </c>
      <c r="O1103">
        <v>4</v>
      </c>
      <c r="P1103">
        <v>477.07</v>
      </c>
      <c r="Q1103">
        <v>489.07</v>
      </c>
      <c r="R1103" t="s">
        <v>2054</v>
      </c>
    </row>
    <row r="1104" spans="1:18" x14ac:dyDescent="0.25">
      <c r="A1104" t="s">
        <v>1155</v>
      </c>
      <c r="B1104" s="1">
        <v>45561</v>
      </c>
      <c r="C1104" s="1">
        <v>45566</v>
      </c>
      <c r="D1104" t="s">
        <v>43</v>
      </c>
      <c r="E1104" t="s">
        <v>44</v>
      </c>
      <c r="F1104" t="s">
        <v>45</v>
      </c>
      <c r="G1104" t="s">
        <v>35</v>
      </c>
      <c r="H1104" t="s">
        <v>40</v>
      </c>
      <c r="I1104">
        <v>3</v>
      </c>
      <c r="J1104">
        <v>1145.01</v>
      </c>
      <c r="K1104">
        <v>37.5</v>
      </c>
      <c r="L1104">
        <v>106</v>
      </c>
      <c r="M1104">
        <v>1183.51</v>
      </c>
      <c r="N1104" t="s">
        <v>23</v>
      </c>
      <c r="O1104">
        <v>5</v>
      </c>
      <c r="P1104">
        <v>3435.0299999999997</v>
      </c>
      <c r="Q1104">
        <v>3472.5299999999997</v>
      </c>
      <c r="R1104" t="s">
        <v>2054</v>
      </c>
    </row>
    <row r="1105" spans="1:18" x14ac:dyDescent="0.25">
      <c r="A1105" t="s">
        <v>1156</v>
      </c>
      <c r="B1105" s="1">
        <v>45561</v>
      </c>
      <c r="C1105" s="1">
        <v>45563</v>
      </c>
      <c r="D1105" t="s">
        <v>78</v>
      </c>
      <c r="E1105" t="s">
        <v>79</v>
      </c>
      <c r="F1105" t="s">
        <v>80</v>
      </c>
      <c r="G1105" t="s">
        <v>35</v>
      </c>
      <c r="H1105" t="s">
        <v>32</v>
      </c>
      <c r="I1105">
        <v>5</v>
      </c>
      <c r="J1105">
        <v>98.27</v>
      </c>
      <c r="K1105">
        <v>12</v>
      </c>
      <c r="L1105">
        <v>123</v>
      </c>
      <c r="M1105">
        <v>215.12</v>
      </c>
      <c r="N1105" t="s">
        <v>23</v>
      </c>
      <c r="O1105">
        <v>2</v>
      </c>
      <c r="P1105">
        <v>491.34999999999997</v>
      </c>
      <c r="Q1105">
        <v>503.34999999999997</v>
      </c>
      <c r="R1105" t="s">
        <v>2054</v>
      </c>
    </row>
    <row r="1106" spans="1:18" x14ac:dyDescent="0.25">
      <c r="A1106" t="s">
        <v>1157</v>
      </c>
      <c r="B1106" s="1">
        <v>45562</v>
      </c>
      <c r="C1106" s="1">
        <v>45563</v>
      </c>
      <c r="D1106" t="s">
        <v>75</v>
      </c>
      <c r="E1106" t="s">
        <v>44</v>
      </c>
      <c r="F1106" t="s">
        <v>45</v>
      </c>
      <c r="G1106" t="s">
        <v>21</v>
      </c>
      <c r="H1106" t="s">
        <v>27</v>
      </c>
      <c r="I1106">
        <v>3</v>
      </c>
      <c r="J1106">
        <v>906.87</v>
      </c>
      <c r="K1106">
        <v>25</v>
      </c>
      <c r="L1106">
        <v>278</v>
      </c>
      <c r="M1106">
        <v>939.72</v>
      </c>
      <c r="N1106" t="s">
        <v>23</v>
      </c>
      <c r="O1106">
        <v>1</v>
      </c>
      <c r="P1106">
        <v>2720.61</v>
      </c>
      <c r="Q1106">
        <v>2745.61</v>
      </c>
      <c r="R1106" t="s">
        <v>2054</v>
      </c>
    </row>
    <row r="1107" spans="1:18" x14ac:dyDescent="0.25">
      <c r="A1107" t="s">
        <v>1158</v>
      </c>
      <c r="B1107" s="1">
        <v>45563</v>
      </c>
      <c r="C1107" s="1">
        <v>45580</v>
      </c>
      <c r="D1107" t="s">
        <v>25</v>
      </c>
      <c r="E1107" t="s">
        <v>19</v>
      </c>
      <c r="F1107" t="s">
        <v>20</v>
      </c>
      <c r="G1107" t="s">
        <v>35</v>
      </c>
      <c r="H1107" t="s">
        <v>40</v>
      </c>
      <c r="I1107">
        <v>8</v>
      </c>
      <c r="J1107">
        <v>37.549999999999997</v>
      </c>
      <c r="K1107">
        <v>12</v>
      </c>
      <c r="L1107">
        <v>1</v>
      </c>
      <c r="M1107">
        <v>18.03</v>
      </c>
      <c r="N1107" t="s">
        <v>47</v>
      </c>
      <c r="O1107">
        <v>17</v>
      </c>
      <c r="P1107">
        <v>300.39999999999998</v>
      </c>
      <c r="Q1107">
        <v>312.39999999999998</v>
      </c>
      <c r="R1107" t="s">
        <v>2056</v>
      </c>
    </row>
    <row r="1108" spans="1:18" x14ac:dyDescent="0.25">
      <c r="A1108" t="s">
        <v>1159</v>
      </c>
      <c r="B1108" s="1">
        <v>45563</v>
      </c>
      <c r="C1108" s="1">
        <v>45578</v>
      </c>
      <c r="D1108" t="s">
        <v>34</v>
      </c>
      <c r="E1108" t="s">
        <v>30</v>
      </c>
      <c r="F1108" t="s">
        <v>31</v>
      </c>
      <c r="G1108" t="s">
        <v>35</v>
      </c>
      <c r="H1108" t="s">
        <v>27</v>
      </c>
      <c r="I1108">
        <v>4</v>
      </c>
      <c r="J1108">
        <v>42.09</v>
      </c>
      <c r="K1108">
        <v>12</v>
      </c>
      <c r="L1108">
        <v>198</v>
      </c>
      <c r="M1108">
        <v>61.34</v>
      </c>
      <c r="N1108" t="s">
        <v>47</v>
      </c>
      <c r="O1108">
        <v>15</v>
      </c>
      <c r="P1108">
        <v>168.36</v>
      </c>
      <c r="Q1108">
        <v>180.36</v>
      </c>
      <c r="R1108" t="s">
        <v>2054</v>
      </c>
    </row>
    <row r="1109" spans="1:18" x14ac:dyDescent="0.25">
      <c r="A1109" t="s">
        <v>1160</v>
      </c>
      <c r="B1109" s="1">
        <v>45565</v>
      </c>
      <c r="C1109" s="1">
        <v>45568</v>
      </c>
      <c r="D1109" t="s">
        <v>43</v>
      </c>
      <c r="E1109" t="s">
        <v>44</v>
      </c>
      <c r="F1109" t="s">
        <v>45</v>
      </c>
      <c r="G1109" t="s">
        <v>21</v>
      </c>
      <c r="H1109" t="s">
        <v>32</v>
      </c>
      <c r="I1109">
        <v>3</v>
      </c>
      <c r="J1109">
        <v>204.37</v>
      </c>
      <c r="K1109">
        <v>25</v>
      </c>
      <c r="L1109">
        <v>234</v>
      </c>
      <c r="M1109">
        <v>202.09</v>
      </c>
      <c r="N1109" t="s">
        <v>23</v>
      </c>
      <c r="O1109">
        <v>3</v>
      </c>
      <c r="P1109">
        <v>613.11</v>
      </c>
      <c r="Q1109">
        <v>638.11</v>
      </c>
      <c r="R1109" t="s">
        <v>2054</v>
      </c>
    </row>
    <row r="1110" spans="1:18" x14ac:dyDescent="0.25">
      <c r="A1110" t="s">
        <v>1161</v>
      </c>
      <c r="B1110" s="1">
        <v>45566</v>
      </c>
      <c r="C1110" s="1">
        <v>45578</v>
      </c>
      <c r="D1110" t="s">
        <v>118</v>
      </c>
      <c r="E1110" t="s">
        <v>79</v>
      </c>
      <c r="F1110" t="s">
        <v>80</v>
      </c>
      <c r="G1110" t="s">
        <v>35</v>
      </c>
      <c r="H1110" t="s">
        <v>27</v>
      </c>
      <c r="I1110">
        <v>2</v>
      </c>
      <c r="J1110">
        <v>119.99</v>
      </c>
      <c r="K1110">
        <v>12</v>
      </c>
      <c r="L1110">
        <v>254</v>
      </c>
      <c r="M1110">
        <v>-36</v>
      </c>
      <c r="N1110" t="s">
        <v>47</v>
      </c>
      <c r="O1110">
        <v>12</v>
      </c>
      <c r="P1110">
        <v>239.98</v>
      </c>
      <c r="Q1110">
        <v>251.98</v>
      </c>
      <c r="R1110" t="s">
        <v>2054</v>
      </c>
    </row>
    <row r="1111" spans="1:18" x14ac:dyDescent="0.25">
      <c r="A1111" t="s">
        <v>1162</v>
      </c>
      <c r="B1111" s="1">
        <v>45566</v>
      </c>
      <c r="C1111" s="1">
        <v>45571</v>
      </c>
      <c r="D1111" t="s">
        <v>29</v>
      </c>
      <c r="E1111" t="s">
        <v>30</v>
      </c>
      <c r="F1111" t="s">
        <v>31</v>
      </c>
      <c r="G1111" t="s">
        <v>21</v>
      </c>
      <c r="H1111" t="s">
        <v>32</v>
      </c>
      <c r="I1111">
        <v>2</v>
      </c>
      <c r="J1111">
        <v>139.82</v>
      </c>
      <c r="K1111">
        <v>12</v>
      </c>
      <c r="L1111">
        <v>317</v>
      </c>
      <c r="M1111">
        <v>105.86</v>
      </c>
      <c r="N1111" t="s">
        <v>23</v>
      </c>
      <c r="O1111">
        <v>5</v>
      </c>
      <c r="P1111">
        <v>279.64</v>
      </c>
      <c r="Q1111">
        <v>291.64</v>
      </c>
      <c r="R1111" t="s">
        <v>2054</v>
      </c>
    </row>
    <row r="1112" spans="1:18" x14ac:dyDescent="0.25">
      <c r="A1112" t="s">
        <v>1163</v>
      </c>
      <c r="B1112" s="1">
        <v>45567</v>
      </c>
      <c r="C1112" s="1">
        <v>45571</v>
      </c>
      <c r="D1112" t="s">
        <v>34</v>
      </c>
      <c r="E1112" t="s">
        <v>30</v>
      </c>
      <c r="F1112" t="s">
        <v>31</v>
      </c>
      <c r="G1112" t="s">
        <v>21</v>
      </c>
      <c r="H1112" t="s">
        <v>32</v>
      </c>
      <c r="I1112">
        <v>5</v>
      </c>
      <c r="J1112">
        <v>116.76</v>
      </c>
      <c r="K1112">
        <v>12</v>
      </c>
      <c r="L1112">
        <v>101</v>
      </c>
      <c r="M1112">
        <v>227.52</v>
      </c>
      <c r="N1112" t="s">
        <v>23</v>
      </c>
      <c r="O1112">
        <v>4</v>
      </c>
      <c r="P1112">
        <v>583.80000000000007</v>
      </c>
      <c r="Q1112">
        <v>595.80000000000007</v>
      </c>
      <c r="R1112" t="s">
        <v>2054</v>
      </c>
    </row>
    <row r="1113" spans="1:18" x14ac:dyDescent="0.25">
      <c r="A1113" t="s">
        <v>1164</v>
      </c>
      <c r="B1113" s="1">
        <v>45568</v>
      </c>
      <c r="C1113" s="1">
        <v>45572</v>
      </c>
      <c r="D1113" t="s">
        <v>54</v>
      </c>
      <c r="E1113" t="s">
        <v>38</v>
      </c>
      <c r="F1113" t="s">
        <v>39</v>
      </c>
      <c r="G1113" t="s">
        <v>35</v>
      </c>
      <c r="H1113" t="s">
        <v>40</v>
      </c>
      <c r="I1113">
        <v>1</v>
      </c>
      <c r="J1113">
        <v>375.45</v>
      </c>
      <c r="K1113">
        <v>112.5</v>
      </c>
      <c r="L1113">
        <v>336</v>
      </c>
      <c r="M1113">
        <v>18.84</v>
      </c>
      <c r="N1113" t="s">
        <v>23</v>
      </c>
      <c r="O1113">
        <v>4</v>
      </c>
      <c r="P1113">
        <v>375.45</v>
      </c>
      <c r="Q1113">
        <v>487.95</v>
      </c>
      <c r="R1113" t="s">
        <v>2054</v>
      </c>
    </row>
    <row r="1114" spans="1:18" x14ac:dyDescent="0.25">
      <c r="A1114" t="s">
        <v>1165</v>
      </c>
      <c r="B1114" s="1">
        <v>45568</v>
      </c>
      <c r="C1114" s="1">
        <v>45584</v>
      </c>
      <c r="D1114" t="s">
        <v>52</v>
      </c>
      <c r="E1114" t="s">
        <v>30</v>
      </c>
      <c r="F1114" t="s">
        <v>31</v>
      </c>
      <c r="G1114" t="s">
        <v>35</v>
      </c>
      <c r="H1114" t="s">
        <v>32</v>
      </c>
      <c r="I1114">
        <v>2</v>
      </c>
      <c r="J1114">
        <v>99.81</v>
      </c>
      <c r="K1114">
        <v>12</v>
      </c>
      <c r="L1114">
        <v>272</v>
      </c>
      <c r="M1114">
        <v>73.84</v>
      </c>
      <c r="N1114" t="s">
        <v>47</v>
      </c>
      <c r="O1114">
        <v>16</v>
      </c>
      <c r="P1114">
        <v>199.62</v>
      </c>
      <c r="Q1114">
        <v>211.62</v>
      </c>
      <c r="R1114" t="s">
        <v>2054</v>
      </c>
    </row>
    <row r="1115" spans="1:18" x14ac:dyDescent="0.25">
      <c r="A1115" t="s">
        <v>1166</v>
      </c>
      <c r="B1115" s="1">
        <v>45569</v>
      </c>
      <c r="C1115" s="1">
        <v>45574</v>
      </c>
      <c r="D1115" t="s">
        <v>18</v>
      </c>
      <c r="E1115" t="s">
        <v>19</v>
      </c>
      <c r="F1115" t="s">
        <v>20</v>
      </c>
      <c r="G1115" t="s">
        <v>35</v>
      </c>
      <c r="H1115" t="s">
        <v>40</v>
      </c>
      <c r="I1115">
        <v>12</v>
      </c>
      <c r="J1115">
        <v>48.82</v>
      </c>
      <c r="K1115">
        <v>12</v>
      </c>
      <c r="L1115">
        <v>162</v>
      </c>
      <c r="M1115">
        <v>40.869999999999997</v>
      </c>
      <c r="N1115" t="s">
        <v>23</v>
      </c>
      <c r="O1115">
        <v>5</v>
      </c>
      <c r="P1115">
        <v>585.84</v>
      </c>
      <c r="Q1115">
        <v>597.84</v>
      </c>
      <c r="R1115" t="s">
        <v>2054</v>
      </c>
    </row>
    <row r="1116" spans="1:18" x14ac:dyDescent="0.25">
      <c r="A1116" t="s">
        <v>1167</v>
      </c>
      <c r="B1116" s="1">
        <v>45570</v>
      </c>
      <c r="C1116" s="1">
        <v>45571</v>
      </c>
      <c r="D1116" t="s">
        <v>34</v>
      </c>
      <c r="E1116" t="s">
        <v>30</v>
      </c>
      <c r="F1116" t="s">
        <v>31</v>
      </c>
      <c r="G1116" t="s">
        <v>21</v>
      </c>
      <c r="H1116" t="s">
        <v>32</v>
      </c>
      <c r="I1116">
        <v>4</v>
      </c>
      <c r="J1116">
        <v>35.549999999999997</v>
      </c>
      <c r="K1116">
        <v>12</v>
      </c>
      <c r="L1116">
        <v>97</v>
      </c>
      <c r="M1116">
        <v>50.88</v>
      </c>
      <c r="N1116" t="s">
        <v>23</v>
      </c>
      <c r="O1116">
        <v>1</v>
      </c>
      <c r="P1116">
        <v>142.19999999999999</v>
      </c>
      <c r="Q1116">
        <v>154.19999999999999</v>
      </c>
      <c r="R1116" t="s">
        <v>2054</v>
      </c>
    </row>
    <row r="1117" spans="1:18" x14ac:dyDescent="0.25">
      <c r="A1117" t="s">
        <v>1168</v>
      </c>
      <c r="B1117" s="1">
        <v>45571</v>
      </c>
      <c r="C1117" s="1">
        <v>45588</v>
      </c>
      <c r="D1117" t="s">
        <v>18</v>
      </c>
      <c r="E1117" t="s">
        <v>19</v>
      </c>
      <c r="F1117" t="s">
        <v>20</v>
      </c>
      <c r="G1117" t="s">
        <v>35</v>
      </c>
      <c r="H1117" t="s">
        <v>40</v>
      </c>
      <c r="I1117">
        <v>14</v>
      </c>
      <c r="J1117">
        <v>25.03</v>
      </c>
      <c r="K1117">
        <v>12</v>
      </c>
      <c r="L1117">
        <v>104</v>
      </c>
      <c r="M1117">
        <v>22.03</v>
      </c>
      <c r="N1117" t="s">
        <v>47</v>
      </c>
      <c r="O1117">
        <v>17</v>
      </c>
      <c r="P1117">
        <v>350.42</v>
      </c>
      <c r="Q1117">
        <v>362.42</v>
      </c>
      <c r="R1117" t="s">
        <v>2054</v>
      </c>
    </row>
    <row r="1118" spans="1:18" x14ac:dyDescent="0.25">
      <c r="A1118" t="s">
        <v>1169</v>
      </c>
      <c r="B1118" s="1">
        <v>45572</v>
      </c>
      <c r="C1118" s="1">
        <v>45576</v>
      </c>
      <c r="D1118" t="s">
        <v>29</v>
      </c>
      <c r="E1118" t="s">
        <v>30</v>
      </c>
      <c r="F1118" t="s">
        <v>31</v>
      </c>
      <c r="G1118" t="s">
        <v>26</v>
      </c>
      <c r="H1118" t="s">
        <v>32</v>
      </c>
      <c r="I1118">
        <v>3</v>
      </c>
      <c r="J1118">
        <v>96.62</v>
      </c>
      <c r="K1118">
        <v>12</v>
      </c>
      <c r="L1118">
        <v>248</v>
      </c>
      <c r="M1118">
        <v>-43.48</v>
      </c>
      <c r="N1118" t="s">
        <v>23</v>
      </c>
      <c r="O1118">
        <v>4</v>
      </c>
      <c r="P1118">
        <v>289.86</v>
      </c>
      <c r="Q1118">
        <v>301.86</v>
      </c>
      <c r="R1118" t="s">
        <v>2054</v>
      </c>
    </row>
    <row r="1119" spans="1:18" x14ac:dyDescent="0.25">
      <c r="A1119" t="s">
        <v>1170</v>
      </c>
      <c r="B1119" s="1">
        <v>45572</v>
      </c>
      <c r="C1119" s="1">
        <v>45574</v>
      </c>
      <c r="D1119" t="s">
        <v>54</v>
      </c>
      <c r="E1119" t="s">
        <v>38</v>
      </c>
      <c r="F1119" t="s">
        <v>39</v>
      </c>
      <c r="G1119" t="s">
        <v>21</v>
      </c>
      <c r="H1119" t="s">
        <v>32</v>
      </c>
      <c r="I1119">
        <v>1</v>
      </c>
      <c r="J1119">
        <v>485.18</v>
      </c>
      <c r="K1119">
        <v>75</v>
      </c>
      <c r="L1119">
        <v>354</v>
      </c>
      <c r="M1119">
        <v>59.54</v>
      </c>
      <c r="N1119" t="s">
        <v>23</v>
      </c>
      <c r="O1119">
        <v>2</v>
      </c>
      <c r="P1119">
        <v>485.18</v>
      </c>
      <c r="Q1119">
        <v>560.18000000000006</v>
      </c>
      <c r="R1119" t="s">
        <v>2054</v>
      </c>
    </row>
    <row r="1120" spans="1:18" x14ac:dyDescent="0.25">
      <c r="A1120" t="s">
        <v>1171</v>
      </c>
      <c r="B1120" s="1">
        <v>45572</v>
      </c>
      <c r="C1120" s="1">
        <v>45575</v>
      </c>
      <c r="D1120" t="s">
        <v>54</v>
      </c>
      <c r="E1120" t="s">
        <v>38</v>
      </c>
      <c r="F1120" t="s">
        <v>39</v>
      </c>
      <c r="G1120" t="s">
        <v>26</v>
      </c>
      <c r="H1120" t="s">
        <v>32</v>
      </c>
      <c r="I1120">
        <v>2</v>
      </c>
      <c r="J1120">
        <v>318</v>
      </c>
      <c r="K1120">
        <v>75</v>
      </c>
      <c r="L1120">
        <v>228</v>
      </c>
      <c r="M1120">
        <v>89.7</v>
      </c>
      <c r="N1120" t="s">
        <v>23</v>
      </c>
      <c r="O1120">
        <v>3</v>
      </c>
      <c r="P1120">
        <v>636</v>
      </c>
      <c r="Q1120">
        <v>711</v>
      </c>
      <c r="R1120" t="s">
        <v>2054</v>
      </c>
    </row>
    <row r="1121" spans="1:18" x14ac:dyDescent="0.25">
      <c r="A1121" t="s">
        <v>1172</v>
      </c>
      <c r="B1121" s="1">
        <v>45573</v>
      </c>
      <c r="C1121" s="1">
        <v>45574</v>
      </c>
      <c r="D1121" t="s">
        <v>78</v>
      </c>
      <c r="E1121" t="s">
        <v>79</v>
      </c>
      <c r="F1121" t="s">
        <v>80</v>
      </c>
      <c r="G1121" t="s">
        <v>26</v>
      </c>
      <c r="H1121" t="s">
        <v>22</v>
      </c>
      <c r="I1121">
        <v>5</v>
      </c>
      <c r="J1121">
        <v>132.03</v>
      </c>
      <c r="K1121">
        <v>12</v>
      </c>
      <c r="L1121">
        <v>106</v>
      </c>
      <c r="M1121">
        <v>291.07</v>
      </c>
      <c r="N1121" t="s">
        <v>23</v>
      </c>
      <c r="O1121">
        <v>1</v>
      </c>
      <c r="P1121">
        <v>660.15</v>
      </c>
      <c r="Q1121">
        <v>672.15</v>
      </c>
      <c r="R1121" t="s">
        <v>2054</v>
      </c>
    </row>
    <row r="1122" spans="1:18" x14ac:dyDescent="0.25">
      <c r="A1122" t="s">
        <v>1173</v>
      </c>
      <c r="B1122" s="1">
        <v>45573</v>
      </c>
      <c r="C1122" s="1">
        <v>45589</v>
      </c>
      <c r="D1122" t="s">
        <v>54</v>
      </c>
      <c r="E1122" t="s">
        <v>38</v>
      </c>
      <c r="F1122" t="s">
        <v>39</v>
      </c>
      <c r="G1122" t="s">
        <v>35</v>
      </c>
      <c r="H1122" t="s">
        <v>32</v>
      </c>
      <c r="I1122">
        <v>1</v>
      </c>
      <c r="J1122">
        <v>324.38</v>
      </c>
      <c r="K1122">
        <v>75</v>
      </c>
      <c r="L1122">
        <v>303</v>
      </c>
      <c r="M1122">
        <v>27.38</v>
      </c>
      <c r="N1122" t="s">
        <v>47</v>
      </c>
      <c r="O1122">
        <v>16</v>
      </c>
      <c r="P1122">
        <v>324.38</v>
      </c>
      <c r="Q1122">
        <v>399.38</v>
      </c>
      <c r="R1122" t="s">
        <v>2054</v>
      </c>
    </row>
    <row r="1123" spans="1:18" x14ac:dyDescent="0.25">
      <c r="A1123" t="s">
        <v>1174</v>
      </c>
      <c r="B1123" s="1">
        <v>45574</v>
      </c>
      <c r="C1123" s="1">
        <v>45579</v>
      </c>
      <c r="D1123" t="s">
        <v>78</v>
      </c>
      <c r="E1123" t="s">
        <v>79</v>
      </c>
      <c r="F1123" t="s">
        <v>80</v>
      </c>
      <c r="G1123" t="s">
        <v>21</v>
      </c>
      <c r="H1123" t="s">
        <v>27</v>
      </c>
      <c r="I1123">
        <v>3</v>
      </c>
      <c r="J1123">
        <v>103.85</v>
      </c>
      <c r="K1123">
        <v>12</v>
      </c>
      <c r="L1123">
        <v>239</v>
      </c>
      <c r="M1123">
        <v>134.19999999999999</v>
      </c>
      <c r="N1123" t="s">
        <v>23</v>
      </c>
      <c r="O1123">
        <v>5</v>
      </c>
      <c r="P1123">
        <v>311.54999999999995</v>
      </c>
      <c r="Q1123">
        <v>323.54999999999995</v>
      </c>
      <c r="R1123" t="s">
        <v>2054</v>
      </c>
    </row>
    <row r="1124" spans="1:18" x14ac:dyDescent="0.25">
      <c r="A1124" t="s">
        <v>1175</v>
      </c>
      <c r="B1124" s="1">
        <v>45574</v>
      </c>
      <c r="C1124" s="1">
        <v>45585</v>
      </c>
      <c r="D1124" t="s">
        <v>18</v>
      </c>
      <c r="E1124" t="s">
        <v>19</v>
      </c>
      <c r="F1124" t="s">
        <v>20</v>
      </c>
      <c r="G1124" t="s">
        <v>35</v>
      </c>
      <c r="H1124" t="s">
        <v>22</v>
      </c>
      <c r="I1124">
        <v>10</v>
      </c>
      <c r="J1124">
        <v>49.52</v>
      </c>
      <c r="K1124">
        <v>8</v>
      </c>
      <c r="L1124">
        <v>3</v>
      </c>
      <c r="M1124">
        <v>35.619999999999997</v>
      </c>
      <c r="N1124" t="s">
        <v>47</v>
      </c>
      <c r="O1124">
        <v>11</v>
      </c>
      <c r="P1124">
        <v>495.20000000000005</v>
      </c>
      <c r="Q1124">
        <v>503.20000000000005</v>
      </c>
      <c r="R1124" t="s">
        <v>2056</v>
      </c>
    </row>
    <row r="1125" spans="1:18" x14ac:dyDescent="0.25">
      <c r="A1125" t="s">
        <v>1176</v>
      </c>
      <c r="B1125" s="1">
        <v>45575</v>
      </c>
      <c r="C1125" s="1">
        <v>45583</v>
      </c>
      <c r="D1125" t="s">
        <v>52</v>
      </c>
      <c r="E1125" t="s">
        <v>30</v>
      </c>
      <c r="F1125" t="s">
        <v>31</v>
      </c>
      <c r="G1125" t="s">
        <v>35</v>
      </c>
      <c r="H1125" t="s">
        <v>40</v>
      </c>
      <c r="I1125">
        <v>5</v>
      </c>
      <c r="J1125">
        <v>72.12</v>
      </c>
      <c r="K1125">
        <v>18</v>
      </c>
      <c r="L1125">
        <v>328</v>
      </c>
      <c r="M1125">
        <v>135.24</v>
      </c>
      <c r="N1125" t="s">
        <v>63</v>
      </c>
      <c r="O1125">
        <v>8</v>
      </c>
      <c r="P1125">
        <v>360.6</v>
      </c>
      <c r="Q1125">
        <v>378.6</v>
      </c>
      <c r="R1125" t="s">
        <v>2054</v>
      </c>
    </row>
    <row r="1126" spans="1:18" x14ac:dyDescent="0.25">
      <c r="A1126" t="s">
        <v>1177</v>
      </c>
      <c r="B1126" s="1">
        <v>45576</v>
      </c>
      <c r="C1126" s="1">
        <v>45577</v>
      </c>
      <c r="D1126" t="s">
        <v>25</v>
      </c>
      <c r="E1126" t="s">
        <v>19</v>
      </c>
      <c r="F1126" t="s">
        <v>20</v>
      </c>
      <c r="G1126" t="s">
        <v>35</v>
      </c>
      <c r="H1126" t="s">
        <v>40</v>
      </c>
      <c r="I1126">
        <v>5</v>
      </c>
      <c r="J1126">
        <v>12.13</v>
      </c>
      <c r="K1126">
        <v>12</v>
      </c>
      <c r="L1126">
        <v>40</v>
      </c>
      <c r="M1126">
        <v>-1.1499999999999999</v>
      </c>
      <c r="N1126" t="s">
        <v>23</v>
      </c>
      <c r="O1126">
        <v>1</v>
      </c>
      <c r="P1126">
        <v>60.650000000000006</v>
      </c>
      <c r="Q1126">
        <v>72.650000000000006</v>
      </c>
      <c r="R1126" t="s">
        <v>2055</v>
      </c>
    </row>
    <row r="1127" spans="1:18" x14ac:dyDescent="0.25">
      <c r="A1127" t="s">
        <v>1178</v>
      </c>
      <c r="B1127" s="1">
        <v>45576</v>
      </c>
      <c r="C1127" s="1">
        <v>45578</v>
      </c>
      <c r="D1127" t="s">
        <v>54</v>
      </c>
      <c r="E1127" t="s">
        <v>38</v>
      </c>
      <c r="F1127" t="s">
        <v>39</v>
      </c>
      <c r="G1127" t="s">
        <v>26</v>
      </c>
      <c r="H1127" t="s">
        <v>22</v>
      </c>
      <c r="I1127">
        <v>2</v>
      </c>
      <c r="J1127">
        <v>242.11</v>
      </c>
      <c r="K1127">
        <v>75</v>
      </c>
      <c r="L1127">
        <v>180</v>
      </c>
      <c r="M1127">
        <v>59.34</v>
      </c>
      <c r="N1127" t="s">
        <v>23</v>
      </c>
      <c r="O1127">
        <v>2</v>
      </c>
      <c r="P1127">
        <v>484.22</v>
      </c>
      <c r="Q1127">
        <v>559.22</v>
      </c>
      <c r="R1127" t="s">
        <v>2054</v>
      </c>
    </row>
    <row r="1128" spans="1:18" x14ac:dyDescent="0.25">
      <c r="A1128" t="s">
        <v>1179</v>
      </c>
      <c r="B1128" s="1">
        <v>45578</v>
      </c>
      <c r="C1128" s="1">
        <v>45591</v>
      </c>
      <c r="D1128" t="s">
        <v>54</v>
      </c>
      <c r="E1128" t="s">
        <v>38</v>
      </c>
      <c r="F1128" t="s">
        <v>39</v>
      </c>
      <c r="G1128" t="s">
        <v>35</v>
      </c>
      <c r="H1128" t="s">
        <v>40</v>
      </c>
      <c r="I1128">
        <v>1</v>
      </c>
      <c r="J1128">
        <v>472.45</v>
      </c>
      <c r="K1128">
        <v>112.5</v>
      </c>
      <c r="L1128">
        <v>263</v>
      </c>
      <c r="M1128">
        <v>38.24</v>
      </c>
      <c r="N1128" t="s">
        <v>47</v>
      </c>
      <c r="O1128">
        <v>13</v>
      </c>
      <c r="P1128">
        <v>472.45</v>
      </c>
      <c r="Q1128">
        <v>584.95000000000005</v>
      </c>
      <c r="R1128" t="s">
        <v>2054</v>
      </c>
    </row>
    <row r="1129" spans="1:18" x14ac:dyDescent="0.25">
      <c r="A1129" t="s">
        <v>1180</v>
      </c>
      <c r="B1129" s="1">
        <v>45579</v>
      </c>
      <c r="C1129" s="1">
        <v>45581</v>
      </c>
      <c r="D1129" t="s">
        <v>43</v>
      </c>
      <c r="E1129" t="s">
        <v>44</v>
      </c>
      <c r="F1129" t="s">
        <v>45</v>
      </c>
      <c r="G1129" t="s">
        <v>21</v>
      </c>
      <c r="H1129" t="s">
        <v>27</v>
      </c>
      <c r="I1129">
        <v>1</v>
      </c>
      <c r="J1129">
        <v>885.85</v>
      </c>
      <c r="K1129">
        <v>25</v>
      </c>
      <c r="L1129">
        <v>50</v>
      </c>
      <c r="M1129">
        <v>297.55</v>
      </c>
      <c r="N1129" t="s">
        <v>23</v>
      </c>
      <c r="O1129">
        <v>2</v>
      </c>
      <c r="P1129">
        <v>885.85</v>
      </c>
      <c r="Q1129">
        <v>910.85</v>
      </c>
      <c r="R1129" t="s">
        <v>2055</v>
      </c>
    </row>
    <row r="1130" spans="1:18" x14ac:dyDescent="0.25">
      <c r="A1130" t="s">
        <v>1181</v>
      </c>
      <c r="B1130" s="1">
        <v>45580</v>
      </c>
      <c r="C1130" s="1">
        <v>45589</v>
      </c>
      <c r="D1130" t="s">
        <v>58</v>
      </c>
      <c r="E1130" t="s">
        <v>19</v>
      </c>
      <c r="F1130" t="s">
        <v>20</v>
      </c>
      <c r="G1130" t="s">
        <v>35</v>
      </c>
      <c r="H1130" t="s">
        <v>22</v>
      </c>
      <c r="I1130">
        <v>5</v>
      </c>
      <c r="J1130">
        <v>43.53</v>
      </c>
      <c r="K1130">
        <v>8</v>
      </c>
      <c r="L1130">
        <v>5</v>
      </c>
      <c r="M1130">
        <v>13.41</v>
      </c>
      <c r="N1130" t="s">
        <v>63</v>
      </c>
      <c r="O1130">
        <v>9</v>
      </c>
      <c r="P1130">
        <v>217.65</v>
      </c>
      <c r="Q1130">
        <v>225.65</v>
      </c>
      <c r="R1130" t="s">
        <v>2056</v>
      </c>
    </row>
    <row r="1131" spans="1:18" x14ac:dyDescent="0.25">
      <c r="A1131" t="s">
        <v>1182</v>
      </c>
      <c r="B1131" s="1">
        <v>45580</v>
      </c>
      <c r="C1131" s="1">
        <v>45587</v>
      </c>
      <c r="D1131" t="s">
        <v>78</v>
      </c>
      <c r="E1131" t="s">
        <v>79</v>
      </c>
      <c r="F1131" t="s">
        <v>80</v>
      </c>
      <c r="G1131" t="s">
        <v>35</v>
      </c>
      <c r="H1131" t="s">
        <v>32</v>
      </c>
      <c r="I1131">
        <v>2</v>
      </c>
      <c r="J1131">
        <v>97.23</v>
      </c>
      <c r="K1131">
        <v>12</v>
      </c>
      <c r="L1131">
        <v>346</v>
      </c>
      <c r="M1131">
        <v>81.510000000000005</v>
      </c>
      <c r="N1131" t="s">
        <v>63</v>
      </c>
      <c r="O1131">
        <v>7</v>
      </c>
      <c r="P1131">
        <v>194.46</v>
      </c>
      <c r="Q1131">
        <v>206.46</v>
      </c>
      <c r="R1131" t="s">
        <v>2054</v>
      </c>
    </row>
    <row r="1132" spans="1:18" x14ac:dyDescent="0.25">
      <c r="A1132" t="s">
        <v>1183</v>
      </c>
      <c r="B1132" s="1">
        <v>45582</v>
      </c>
      <c r="C1132" s="1">
        <v>45583</v>
      </c>
      <c r="D1132" t="s">
        <v>37</v>
      </c>
      <c r="E1132" t="s">
        <v>38</v>
      </c>
      <c r="F1132" t="s">
        <v>39</v>
      </c>
      <c r="G1132" t="s">
        <v>21</v>
      </c>
      <c r="H1132" t="s">
        <v>27</v>
      </c>
      <c r="I1132">
        <v>2</v>
      </c>
      <c r="J1132">
        <v>148.71</v>
      </c>
      <c r="K1132">
        <v>75</v>
      </c>
      <c r="L1132">
        <v>139</v>
      </c>
      <c r="M1132">
        <v>21.98</v>
      </c>
      <c r="N1132" t="s">
        <v>23</v>
      </c>
      <c r="O1132">
        <v>1</v>
      </c>
      <c r="P1132">
        <v>297.42</v>
      </c>
      <c r="Q1132">
        <v>372.42</v>
      </c>
      <c r="R1132" t="s">
        <v>2054</v>
      </c>
    </row>
    <row r="1133" spans="1:18" x14ac:dyDescent="0.25">
      <c r="A1133" t="s">
        <v>1184</v>
      </c>
      <c r="B1133" s="1">
        <v>45582</v>
      </c>
      <c r="C1133" s="1">
        <v>45587</v>
      </c>
      <c r="D1133" t="s">
        <v>18</v>
      </c>
      <c r="E1133" t="s">
        <v>19</v>
      </c>
      <c r="F1133" t="s">
        <v>20</v>
      </c>
      <c r="G1133" t="s">
        <v>26</v>
      </c>
      <c r="H1133" t="s">
        <v>27</v>
      </c>
      <c r="I1133">
        <v>6</v>
      </c>
      <c r="J1133">
        <v>32.590000000000003</v>
      </c>
      <c r="K1133">
        <v>8</v>
      </c>
      <c r="L1133">
        <v>371</v>
      </c>
      <c r="M1133">
        <v>11.64</v>
      </c>
      <c r="N1133" t="s">
        <v>23</v>
      </c>
      <c r="O1133">
        <v>5</v>
      </c>
      <c r="P1133">
        <v>195.54000000000002</v>
      </c>
      <c r="Q1133">
        <v>203.54000000000002</v>
      </c>
      <c r="R1133" t="s">
        <v>2054</v>
      </c>
    </row>
    <row r="1134" spans="1:18" x14ac:dyDescent="0.25">
      <c r="A1134" t="s">
        <v>1185</v>
      </c>
      <c r="B1134" s="1">
        <v>45583</v>
      </c>
      <c r="C1134" s="1">
        <v>45584</v>
      </c>
      <c r="D1134" t="s">
        <v>34</v>
      </c>
      <c r="E1134" t="s">
        <v>30</v>
      </c>
      <c r="F1134" t="s">
        <v>31</v>
      </c>
      <c r="G1134" t="s">
        <v>21</v>
      </c>
      <c r="H1134" t="s">
        <v>40</v>
      </c>
      <c r="I1134">
        <v>3</v>
      </c>
      <c r="J1134">
        <v>26.04</v>
      </c>
      <c r="K1134">
        <v>18</v>
      </c>
      <c r="L1134">
        <v>278</v>
      </c>
      <c r="M1134">
        <v>22.25</v>
      </c>
      <c r="N1134" t="s">
        <v>23</v>
      </c>
      <c r="O1134">
        <v>1</v>
      </c>
      <c r="P1134">
        <v>78.12</v>
      </c>
      <c r="Q1134">
        <v>96.12</v>
      </c>
      <c r="R1134" t="s">
        <v>2054</v>
      </c>
    </row>
    <row r="1135" spans="1:18" x14ac:dyDescent="0.25">
      <c r="A1135" t="s">
        <v>1186</v>
      </c>
      <c r="B1135" s="1">
        <v>45583</v>
      </c>
      <c r="C1135" s="1">
        <v>45587</v>
      </c>
      <c r="D1135" t="s">
        <v>34</v>
      </c>
      <c r="E1135" t="s">
        <v>30</v>
      </c>
      <c r="F1135" t="s">
        <v>31</v>
      </c>
      <c r="G1135" t="s">
        <v>35</v>
      </c>
      <c r="H1135" t="s">
        <v>40</v>
      </c>
      <c r="I1135">
        <v>1</v>
      </c>
      <c r="J1135">
        <v>87.67</v>
      </c>
      <c r="K1135">
        <v>18</v>
      </c>
      <c r="L1135">
        <v>58</v>
      </c>
      <c r="M1135">
        <v>26.07</v>
      </c>
      <c r="N1135" t="s">
        <v>23</v>
      </c>
      <c r="O1135">
        <v>4</v>
      </c>
      <c r="P1135">
        <v>87.67</v>
      </c>
      <c r="Q1135">
        <v>105.67</v>
      </c>
      <c r="R1135" t="s">
        <v>2054</v>
      </c>
    </row>
    <row r="1136" spans="1:18" x14ac:dyDescent="0.25">
      <c r="A1136" t="s">
        <v>1187</v>
      </c>
      <c r="B1136" s="1">
        <v>45584</v>
      </c>
      <c r="C1136" s="1">
        <v>45586</v>
      </c>
      <c r="D1136" t="s">
        <v>43</v>
      </c>
      <c r="E1136" t="s">
        <v>44</v>
      </c>
      <c r="F1136" t="s">
        <v>45</v>
      </c>
      <c r="G1136" t="s">
        <v>35</v>
      </c>
      <c r="H1136" t="s">
        <v>27</v>
      </c>
      <c r="I1136">
        <v>2</v>
      </c>
      <c r="J1136">
        <v>879.84</v>
      </c>
      <c r="K1136">
        <v>25</v>
      </c>
      <c r="L1136">
        <v>49</v>
      </c>
      <c r="M1136">
        <v>603.38</v>
      </c>
      <c r="N1136" t="s">
        <v>23</v>
      </c>
      <c r="O1136">
        <v>2</v>
      </c>
      <c r="P1136">
        <v>1759.68</v>
      </c>
      <c r="Q1136">
        <v>1784.68</v>
      </c>
      <c r="R1136" t="s">
        <v>2055</v>
      </c>
    </row>
    <row r="1137" spans="1:18" x14ac:dyDescent="0.25">
      <c r="A1137" t="s">
        <v>1188</v>
      </c>
      <c r="B1137" s="1">
        <v>45585</v>
      </c>
      <c r="C1137" s="1">
        <v>45590</v>
      </c>
      <c r="D1137" t="s">
        <v>58</v>
      </c>
      <c r="E1137" t="s">
        <v>19</v>
      </c>
      <c r="F1137" t="s">
        <v>20</v>
      </c>
      <c r="G1137" t="s">
        <v>26</v>
      </c>
      <c r="H1137" t="s">
        <v>27</v>
      </c>
      <c r="I1137">
        <v>8</v>
      </c>
      <c r="J1137">
        <v>26.57</v>
      </c>
      <c r="K1137">
        <v>8</v>
      </c>
      <c r="L1137">
        <v>328</v>
      </c>
      <c r="M1137">
        <v>13</v>
      </c>
      <c r="N1137" t="s">
        <v>23</v>
      </c>
      <c r="O1137">
        <v>5</v>
      </c>
      <c r="P1137">
        <v>212.56</v>
      </c>
      <c r="Q1137">
        <v>220.56</v>
      </c>
      <c r="R1137" t="s">
        <v>2054</v>
      </c>
    </row>
    <row r="1138" spans="1:18" x14ac:dyDescent="0.25">
      <c r="A1138" t="s">
        <v>1189</v>
      </c>
      <c r="B1138" s="1">
        <v>45586</v>
      </c>
      <c r="C1138" s="1">
        <v>45591</v>
      </c>
      <c r="D1138" t="s">
        <v>37</v>
      </c>
      <c r="E1138" t="s">
        <v>38</v>
      </c>
      <c r="F1138" t="s">
        <v>39</v>
      </c>
      <c r="G1138" t="s">
        <v>21</v>
      </c>
      <c r="H1138" t="s">
        <v>22</v>
      </c>
      <c r="I1138">
        <v>1</v>
      </c>
      <c r="J1138">
        <v>305.99</v>
      </c>
      <c r="K1138">
        <v>75</v>
      </c>
      <c r="L1138">
        <v>345</v>
      </c>
      <c r="M1138">
        <v>23.7</v>
      </c>
      <c r="N1138" t="s">
        <v>23</v>
      </c>
      <c r="O1138">
        <v>5</v>
      </c>
      <c r="P1138">
        <v>305.99</v>
      </c>
      <c r="Q1138">
        <v>380.99</v>
      </c>
      <c r="R1138" t="s">
        <v>2054</v>
      </c>
    </row>
    <row r="1139" spans="1:18" x14ac:dyDescent="0.25">
      <c r="A1139" t="s">
        <v>1190</v>
      </c>
      <c r="B1139" s="1">
        <v>45587</v>
      </c>
      <c r="C1139" s="1">
        <v>45592</v>
      </c>
      <c r="D1139" t="s">
        <v>37</v>
      </c>
      <c r="E1139" t="s">
        <v>38</v>
      </c>
      <c r="F1139" t="s">
        <v>39</v>
      </c>
      <c r="G1139" t="s">
        <v>26</v>
      </c>
      <c r="H1139" t="s">
        <v>32</v>
      </c>
      <c r="I1139">
        <v>1</v>
      </c>
      <c r="J1139">
        <v>422.25</v>
      </c>
      <c r="K1139">
        <v>75</v>
      </c>
      <c r="L1139">
        <v>92</v>
      </c>
      <c r="M1139">
        <v>46.95</v>
      </c>
      <c r="N1139" t="s">
        <v>23</v>
      </c>
      <c r="O1139">
        <v>5</v>
      </c>
      <c r="P1139">
        <v>422.25</v>
      </c>
      <c r="Q1139">
        <v>497.25</v>
      </c>
      <c r="R1139" t="s">
        <v>2054</v>
      </c>
    </row>
    <row r="1140" spans="1:18" x14ac:dyDescent="0.25">
      <c r="A1140" t="s">
        <v>1191</v>
      </c>
      <c r="B1140" s="1">
        <v>45587</v>
      </c>
      <c r="C1140" s="1">
        <v>45600</v>
      </c>
      <c r="D1140" t="s">
        <v>78</v>
      </c>
      <c r="E1140" t="s">
        <v>79</v>
      </c>
      <c r="F1140" t="s">
        <v>80</v>
      </c>
      <c r="G1140" t="s">
        <v>35</v>
      </c>
      <c r="H1140" t="s">
        <v>40</v>
      </c>
      <c r="I1140">
        <v>2</v>
      </c>
      <c r="J1140">
        <v>137.46</v>
      </c>
      <c r="K1140">
        <v>18</v>
      </c>
      <c r="L1140">
        <v>236</v>
      </c>
      <c r="M1140">
        <v>114.72</v>
      </c>
      <c r="N1140" t="s">
        <v>47</v>
      </c>
      <c r="O1140">
        <v>13</v>
      </c>
      <c r="P1140">
        <v>274.92</v>
      </c>
      <c r="Q1140">
        <v>292.92</v>
      </c>
      <c r="R1140" t="s">
        <v>2054</v>
      </c>
    </row>
    <row r="1141" spans="1:18" x14ac:dyDescent="0.25">
      <c r="A1141" t="s">
        <v>1192</v>
      </c>
      <c r="B1141" s="1">
        <v>45587</v>
      </c>
      <c r="C1141" s="1">
        <v>45589</v>
      </c>
      <c r="D1141" t="s">
        <v>37</v>
      </c>
      <c r="E1141" t="s">
        <v>38</v>
      </c>
      <c r="F1141" t="s">
        <v>39</v>
      </c>
      <c r="G1141" t="s">
        <v>21</v>
      </c>
      <c r="H1141" t="s">
        <v>40</v>
      </c>
      <c r="I1141">
        <v>1</v>
      </c>
      <c r="J1141">
        <v>217.34</v>
      </c>
      <c r="K1141">
        <v>112.5</v>
      </c>
      <c r="L1141">
        <v>171</v>
      </c>
      <c r="M1141">
        <v>-12.78</v>
      </c>
      <c r="N1141" t="s">
        <v>23</v>
      </c>
      <c r="O1141">
        <v>2</v>
      </c>
      <c r="P1141">
        <v>217.34</v>
      </c>
      <c r="Q1141">
        <v>329.84000000000003</v>
      </c>
      <c r="R1141" t="s">
        <v>2054</v>
      </c>
    </row>
    <row r="1142" spans="1:18" x14ac:dyDescent="0.25">
      <c r="A1142" t="s">
        <v>1193</v>
      </c>
      <c r="B1142" s="1">
        <v>45587</v>
      </c>
      <c r="C1142" s="1">
        <v>45590</v>
      </c>
      <c r="D1142" t="s">
        <v>72</v>
      </c>
      <c r="E1142" t="s">
        <v>44</v>
      </c>
      <c r="F1142" t="s">
        <v>45</v>
      </c>
      <c r="G1142" t="s">
        <v>35</v>
      </c>
      <c r="H1142" t="s">
        <v>40</v>
      </c>
      <c r="I1142">
        <v>2</v>
      </c>
      <c r="J1142">
        <v>664.07</v>
      </c>
      <c r="K1142">
        <v>37.5</v>
      </c>
      <c r="L1142">
        <v>266</v>
      </c>
      <c r="M1142">
        <v>446.1</v>
      </c>
      <c r="N1142" t="s">
        <v>23</v>
      </c>
      <c r="O1142">
        <v>3</v>
      </c>
      <c r="P1142">
        <v>1328.14</v>
      </c>
      <c r="Q1142">
        <v>1365.64</v>
      </c>
      <c r="R1142" t="s">
        <v>2054</v>
      </c>
    </row>
    <row r="1143" spans="1:18" x14ac:dyDescent="0.25">
      <c r="A1143" t="s">
        <v>1194</v>
      </c>
      <c r="B1143" s="1">
        <v>45587</v>
      </c>
      <c r="C1143" s="1">
        <v>45590</v>
      </c>
      <c r="D1143" t="s">
        <v>43</v>
      </c>
      <c r="E1143" t="s">
        <v>44</v>
      </c>
      <c r="F1143" t="s">
        <v>45</v>
      </c>
      <c r="G1143" t="s">
        <v>21</v>
      </c>
      <c r="H1143" t="s">
        <v>32</v>
      </c>
      <c r="I1143">
        <v>2</v>
      </c>
      <c r="J1143">
        <v>968.09</v>
      </c>
      <c r="K1143">
        <v>25</v>
      </c>
      <c r="L1143">
        <v>51</v>
      </c>
      <c r="M1143">
        <v>665.16</v>
      </c>
      <c r="N1143" t="s">
        <v>23</v>
      </c>
      <c r="O1143">
        <v>3</v>
      </c>
      <c r="P1143">
        <v>1936.18</v>
      </c>
      <c r="Q1143">
        <v>1961.18</v>
      </c>
      <c r="R1143" t="s">
        <v>2054</v>
      </c>
    </row>
    <row r="1144" spans="1:18" x14ac:dyDescent="0.25">
      <c r="A1144" t="s">
        <v>1195</v>
      </c>
      <c r="B1144" s="1">
        <v>45588</v>
      </c>
      <c r="C1144" s="1">
        <v>45596</v>
      </c>
      <c r="D1144" t="s">
        <v>118</v>
      </c>
      <c r="E1144" t="s">
        <v>79</v>
      </c>
      <c r="F1144" t="s">
        <v>80</v>
      </c>
      <c r="G1144" t="s">
        <v>35</v>
      </c>
      <c r="H1144" t="s">
        <v>40</v>
      </c>
      <c r="I1144">
        <v>4</v>
      </c>
      <c r="J1144">
        <v>72.39</v>
      </c>
      <c r="K1144">
        <v>18</v>
      </c>
      <c r="L1144">
        <v>332</v>
      </c>
      <c r="M1144">
        <v>121.3</v>
      </c>
      <c r="N1144" t="s">
        <v>63</v>
      </c>
      <c r="O1144">
        <v>8</v>
      </c>
      <c r="P1144">
        <v>289.56</v>
      </c>
      <c r="Q1144">
        <v>307.56</v>
      </c>
      <c r="R1144" t="s">
        <v>2054</v>
      </c>
    </row>
    <row r="1145" spans="1:18" x14ac:dyDescent="0.25">
      <c r="A1145" t="s">
        <v>1196</v>
      </c>
      <c r="B1145" s="1">
        <v>45588</v>
      </c>
      <c r="C1145" s="1">
        <v>45593</v>
      </c>
      <c r="D1145" t="s">
        <v>58</v>
      </c>
      <c r="E1145" t="s">
        <v>19</v>
      </c>
      <c r="F1145" t="s">
        <v>20</v>
      </c>
      <c r="G1145" t="s">
        <v>21</v>
      </c>
      <c r="H1145" t="s">
        <v>22</v>
      </c>
      <c r="I1145">
        <v>9</v>
      </c>
      <c r="J1145">
        <v>16.739999999999998</v>
      </c>
      <c r="K1145">
        <v>8</v>
      </c>
      <c r="L1145">
        <v>178</v>
      </c>
      <c r="M1145">
        <v>8.0500000000000007</v>
      </c>
      <c r="N1145" t="s">
        <v>23</v>
      </c>
      <c r="O1145">
        <v>5</v>
      </c>
      <c r="P1145">
        <v>150.66</v>
      </c>
      <c r="Q1145">
        <v>158.66</v>
      </c>
      <c r="R1145" t="s">
        <v>2054</v>
      </c>
    </row>
    <row r="1146" spans="1:18" x14ac:dyDescent="0.25">
      <c r="A1146" t="s">
        <v>1197</v>
      </c>
      <c r="B1146" s="1">
        <v>45588</v>
      </c>
      <c r="C1146" s="1">
        <v>45595</v>
      </c>
      <c r="D1146" t="s">
        <v>82</v>
      </c>
      <c r="E1146" t="s">
        <v>79</v>
      </c>
      <c r="F1146" t="s">
        <v>80</v>
      </c>
      <c r="G1146" t="s">
        <v>35</v>
      </c>
      <c r="H1146" t="s">
        <v>32</v>
      </c>
      <c r="I1146">
        <v>3</v>
      </c>
      <c r="J1146">
        <v>25.67</v>
      </c>
      <c r="K1146">
        <v>12</v>
      </c>
      <c r="L1146">
        <v>228</v>
      </c>
      <c r="M1146">
        <v>28.65</v>
      </c>
      <c r="N1146" t="s">
        <v>63</v>
      </c>
      <c r="O1146">
        <v>7</v>
      </c>
      <c r="P1146">
        <v>77.010000000000005</v>
      </c>
      <c r="Q1146">
        <v>89.01</v>
      </c>
      <c r="R1146" t="s">
        <v>2054</v>
      </c>
    </row>
    <row r="1147" spans="1:18" x14ac:dyDescent="0.25">
      <c r="A1147" t="s">
        <v>1198</v>
      </c>
      <c r="B1147" s="1">
        <v>45588</v>
      </c>
      <c r="C1147" s="1">
        <v>45589</v>
      </c>
      <c r="D1147" t="s">
        <v>82</v>
      </c>
      <c r="E1147" t="s">
        <v>79</v>
      </c>
      <c r="F1147" t="s">
        <v>80</v>
      </c>
      <c r="G1147" t="s">
        <v>21</v>
      </c>
      <c r="H1147" t="s">
        <v>27</v>
      </c>
      <c r="I1147">
        <v>2</v>
      </c>
      <c r="J1147">
        <v>71.58</v>
      </c>
      <c r="K1147">
        <v>12</v>
      </c>
      <c r="L1147">
        <v>206</v>
      </c>
      <c r="M1147">
        <v>58.43</v>
      </c>
      <c r="N1147" t="s">
        <v>23</v>
      </c>
      <c r="O1147">
        <v>1</v>
      </c>
      <c r="P1147">
        <v>143.16</v>
      </c>
      <c r="Q1147">
        <v>155.16</v>
      </c>
      <c r="R1147" t="s">
        <v>2054</v>
      </c>
    </row>
    <row r="1148" spans="1:18" x14ac:dyDescent="0.25">
      <c r="A1148" t="s">
        <v>1199</v>
      </c>
      <c r="B1148" s="1">
        <v>45588</v>
      </c>
      <c r="C1148" s="1">
        <v>45593</v>
      </c>
      <c r="D1148" t="s">
        <v>34</v>
      </c>
      <c r="E1148" t="s">
        <v>30</v>
      </c>
      <c r="F1148" t="s">
        <v>31</v>
      </c>
      <c r="G1148" t="s">
        <v>21</v>
      </c>
      <c r="H1148" t="s">
        <v>22</v>
      </c>
      <c r="I1148">
        <v>1</v>
      </c>
      <c r="J1148">
        <v>135.31</v>
      </c>
      <c r="K1148">
        <v>12</v>
      </c>
      <c r="L1148">
        <v>40</v>
      </c>
      <c r="M1148">
        <v>48.12</v>
      </c>
      <c r="N1148" t="s">
        <v>23</v>
      </c>
      <c r="O1148">
        <v>5</v>
      </c>
      <c r="P1148">
        <v>135.31</v>
      </c>
      <c r="Q1148">
        <v>147.31</v>
      </c>
      <c r="R1148" t="s">
        <v>2055</v>
      </c>
    </row>
    <row r="1149" spans="1:18" x14ac:dyDescent="0.25">
      <c r="A1149" t="s">
        <v>1200</v>
      </c>
      <c r="B1149" s="1">
        <v>45588</v>
      </c>
      <c r="C1149" s="1">
        <v>45590</v>
      </c>
      <c r="D1149" t="s">
        <v>18</v>
      </c>
      <c r="E1149" t="s">
        <v>19</v>
      </c>
      <c r="F1149" t="s">
        <v>20</v>
      </c>
      <c r="G1149" t="s">
        <v>35</v>
      </c>
      <c r="H1149" t="s">
        <v>40</v>
      </c>
      <c r="I1149">
        <v>14</v>
      </c>
      <c r="J1149">
        <v>23.15</v>
      </c>
      <c r="K1149">
        <v>12</v>
      </c>
      <c r="L1149">
        <v>351</v>
      </c>
      <c r="M1149">
        <v>19.93</v>
      </c>
      <c r="N1149" t="s">
        <v>23</v>
      </c>
      <c r="O1149">
        <v>2</v>
      </c>
      <c r="P1149">
        <v>324.09999999999997</v>
      </c>
      <c r="Q1149">
        <v>336.09999999999997</v>
      </c>
      <c r="R1149" t="s">
        <v>2054</v>
      </c>
    </row>
    <row r="1150" spans="1:18" x14ac:dyDescent="0.25">
      <c r="A1150" t="s">
        <v>1201</v>
      </c>
      <c r="B1150" s="1">
        <v>45589</v>
      </c>
      <c r="C1150" s="1">
        <v>45590</v>
      </c>
      <c r="D1150" t="s">
        <v>50</v>
      </c>
      <c r="E1150" t="s">
        <v>44</v>
      </c>
      <c r="F1150" t="s">
        <v>45</v>
      </c>
      <c r="G1150" t="s">
        <v>35</v>
      </c>
      <c r="H1150" t="s">
        <v>40</v>
      </c>
      <c r="I1150">
        <v>2</v>
      </c>
      <c r="J1150">
        <v>1101.3900000000001</v>
      </c>
      <c r="K1150">
        <v>37.5</v>
      </c>
      <c r="L1150">
        <v>182</v>
      </c>
      <c r="M1150">
        <v>752.22</v>
      </c>
      <c r="N1150" t="s">
        <v>23</v>
      </c>
      <c r="O1150">
        <v>1</v>
      </c>
      <c r="P1150">
        <v>2202.7800000000002</v>
      </c>
      <c r="Q1150">
        <v>2240.2800000000002</v>
      </c>
      <c r="R1150" t="s">
        <v>2054</v>
      </c>
    </row>
    <row r="1151" spans="1:18" x14ac:dyDescent="0.25">
      <c r="A1151" t="s">
        <v>1202</v>
      </c>
      <c r="B1151" s="1">
        <v>45589</v>
      </c>
      <c r="C1151" s="1">
        <v>45598</v>
      </c>
      <c r="D1151" t="s">
        <v>34</v>
      </c>
      <c r="E1151" t="s">
        <v>30</v>
      </c>
      <c r="F1151" t="s">
        <v>31</v>
      </c>
      <c r="G1151" t="s">
        <v>35</v>
      </c>
      <c r="H1151" t="s">
        <v>27</v>
      </c>
      <c r="I1151">
        <v>4</v>
      </c>
      <c r="J1151">
        <v>69.67</v>
      </c>
      <c r="K1151">
        <v>12</v>
      </c>
      <c r="L1151">
        <v>116</v>
      </c>
      <c r="M1151">
        <v>105.48</v>
      </c>
      <c r="N1151" t="s">
        <v>63</v>
      </c>
      <c r="O1151">
        <v>9</v>
      </c>
      <c r="P1151">
        <v>278.68</v>
      </c>
      <c r="Q1151">
        <v>290.68</v>
      </c>
      <c r="R1151" t="s">
        <v>2054</v>
      </c>
    </row>
    <row r="1152" spans="1:18" x14ac:dyDescent="0.25">
      <c r="A1152" t="s">
        <v>1203</v>
      </c>
      <c r="B1152" s="1">
        <v>45589</v>
      </c>
      <c r="C1152" s="1">
        <v>45594</v>
      </c>
      <c r="D1152" t="s">
        <v>75</v>
      </c>
      <c r="E1152" t="s">
        <v>44</v>
      </c>
      <c r="F1152" t="s">
        <v>45</v>
      </c>
      <c r="G1152" t="s">
        <v>26</v>
      </c>
      <c r="H1152" t="s">
        <v>27</v>
      </c>
      <c r="I1152">
        <v>1</v>
      </c>
      <c r="J1152">
        <v>468.73</v>
      </c>
      <c r="K1152">
        <v>25</v>
      </c>
      <c r="L1152">
        <v>136</v>
      </c>
      <c r="M1152">
        <v>151.56</v>
      </c>
      <c r="N1152" t="s">
        <v>23</v>
      </c>
      <c r="O1152">
        <v>5</v>
      </c>
      <c r="P1152">
        <v>468.73</v>
      </c>
      <c r="Q1152">
        <v>493.73</v>
      </c>
      <c r="R1152" t="s">
        <v>2054</v>
      </c>
    </row>
    <row r="1153" spans="1:18" x14ac:dyDescent="0.25">
      <c r="A1153" t="s">
        <v>1204</v>
      </c>
      <c r="B1153" s="1">
        <v>45590</v>
      </c>
      <c r="C1153" s="1">
        <v>45602</v>
      </c>
      <c r="D1153" t="s">
        <v>58</v>
      </c>
      <c r="E1153" t="s">
        <v>19</v>
      </c>
      <c r="F1153" t="s">
        <v>20</v>
      </c>
      <c r="G1153" t="s">
        <v>35</v>
      </c>
      <c r="H1153" t="s">
        <v>40</v>
      </c>
      <c r="I1153">
        <v>8</v>
      </c>
      <c r="J1153">
        <v>12.4</v>
      </c>
      <c r="K1153">
        <v>12</v>
      </c>
      <c r="L1153">
        <v>302</v>
      </c>
      <c r="M1153">
        <v>1.93</v>
      </c>
      <c r="N1153" t="s">
        <v>47</v>
      </c>
      <c r="O1153">
        <v>12</v>
      </c>
      <c r="P1153">
        <v>99.2</v>
      </c>
      <c r="Q1153">
        <v>111.2</v>
      </c>
      <c r="R1153" t="s">
        <v>2054</v>
      </c>
    </row>
    <row r="1154" spans="1:18" x14ac:dyDescent="0.25">
      <c r="A1154" t="s">
        <v>1205</v>
      </c>
      <c r="B1154" s="1">
        <v>45590</v>
      </c>
      <c r="C1154" s="1">
        <v>45595</v>
      </c>
      <c r="D1154" t="s">
        <v>75</v>
      </c>
      <c r="E1154" t="s">
        <v>44</v>
      </c>
      <c r="F1154" t="s">
        <v>45</v>
      </c>
      <c r="G1154" t="s">
        <v>26</v>
      </c>
      <c r="H1154" t="s">
        <v>22</v>
      </c>
      <c r="I1154">
        <v>2</v>
      </c>
      <c r="J1154">
        <v>898.89</v>
      </c>
      <c r="K1154">
        <v>25</v>
      </c>
      <c r="L1154">
        <v>279</v>
      </c>
      <c r="M1154">
        <v>616.72</v>
      </c>
      <c r="N1154" t="s">
        <v>23</v>
      </c>
      <c r="O1154">
        <v>5</v>
      </c>
      <c r="P1154">
        <v>1797.78</v>
      </c>
      <c r="Q1154">
        <v>1822.78</v>
      </c>
      <c r="R1154" t="s">
        <v>2054</v>
      </c>
    </row>
    <row r="1155" spans="1:18" x14ac:dyDescent="0.25">
      <c r="A1155" t="s">
        <v>1206</v>
      </c>
      <c r="B1155" s="1">
        <v>45590</v>
      </c>
      <c r="C1155" s="1">
        <v>45591</v>
      </c>
      <c r="D1155" t="s">
        <v>25</v>
      </c>
      <c r="E1155" t="s">
        <v>19</v>
      </c>
      <c r="F1155" t="s">
        <v>20</v>
      </c>
      <c r="G1155" t="s">
        <v>21</v>
      </c>
      <c r="H1155" t="s">
        <v>27</v>
      </c>
      <c r="I1155">
        <v>7</v>
      </c>
      <c r="J1155">
        <v>28.35</v>
      </c>
      <c r="K1155">
        <v>8</v>
      </c>
      <c r="L1155">
        <v>276</v>
      </c>
      <c r="M1155">
        <v>11.87</v>
      </c>
      <c r="N1155" t="s">
        <v>23</v>
      </c>
      <c r="O1155">
        <v>1</v>
      </c>
      <c r="P1155">
        <v>198.45000000000002</v>
      </c>
      <c r="Q1155">
        <v>206.45000000000002</v>
      </c>
      <c r="R1155" t="s">
        <v>2054</v>
      </c>
    </row>
    <row r="1156" spans="1:18" x14ac:dyDescent="0.25">
      <c r="A1156" t="s">
        <v>1207</v>
      </c>
      <c r="B1156" s="1">
        <v>45590</v>
      </c>
      <c r="C1156" s="1">
        <v>45594</v>
      </c>
      <c r="D1156" t="s">
        <v>72</v>
      </c>
      <c r="E1156" t="s">
        <v>44</v>
      </c>
      <c r="F1156" t="s">
        <v>45</v>
      </c>
      <c r="G1156" t="s">
        <v>26</v>
      </c>
      <c r="H1156" t="s">
        <v>32</v>
      </c>
      <c r="I1156">
        <v>1</v>
      </c>
      <c r="J1156">
        <v>1086.82</v>
      </c>
      <c r="K1156">
        <v>25</v>
      </c>
      <c r="L1156">
        <v>320</v>
      </c>
      <c r="M1156">
        <v>367.89</v>
      </c>
      <c r="N1156" t="s">
        <v>23</v>
      </c>
      <c r="O1156">
        <v>4</v>
      </c>
      <c r="P1156">
        <v>1086.82</v>
      </c>
      <c r="Q1156">
        <v>1111.82</v>
      </c>
      <c r="R1156" t="s">
        <v>2054</v>
      </c>
    </row>
    <row r="1157" spans="1:18" x14ac:dyDescent="0.25">
      <c r="A1157" t="s">
        <v>1208</v>
      </c>
      <c r="B1157" s="1">
        <v>45590</v>
      </c>
      <c r="C1157" s="1">
        <v>45593</v>
      </c>
      <c r="D1157" t="s">
        <v>18</v>
      </c>
      <c r="E1157" t="s">
        <v>19</v>
      </c>
      <c r="F1157" t="s">
        <v>20</v>
      </c>
      <c r="G1157" t="s">
        <v>21</v>
      </c>
      <c r="H1157" t="s">
        <v>27</v>
      </c>
      <c r="I1157">
        <v>10</v>
      </c>
      <c r="J1157">
        <v>44.71</v>
      </c>
      <c r="K1157">
        <v>8</v>
      </c>
      <c r="L1157">
        <v>384</v>
      </c>
      <c r="M1157">
        <v>31.76</v>
      </c>
      <c r="N1157" t="s">
        <v>23</v>
      </c>
      <c r="O1157">
        <v>3</v>
      </c>
      <c r="P1157">
        <v>447.1</v>
      </c>
      <c r="Q1157">
        <v>455.1</v>
      </c>
      <c r="R1157" t="s">
        <v>2054</v>
      </c>
    </row>
    <row r="1158" spans="1:18" x14ac:dyDescent="0.25">
      <c r="A1158" t="s">
        <v>1209</v>
      </c>
      <c r="B1158" s="1">
        <v>45591</v>
      </c>
      <c r="C1158" s="1">
        <v>45607</v>
      </c>
      <c r="D1158" t="s">
        <v>52</v>
      </c>
      <c r="E1158" t="s">
        <v>30</v>
      </c>
      <c r="F1158" t="s">
        <v>31</v>
      </c>
      <c r="G1158" t="s">
        <v>35</v>
      </c>
      <c r="H1158" t="s">
        <v>40</v>
      </c>
      <c r="I1158">
        <v>4</v>
      </c>
      <c r="J1158">
        <v>53.41</v>
      </c>
      <c r="K1158">
        <v>18</v>
      </c>
      <c r="L1158">
        <v>356</v>
      </c>
      <c r="M1158">
        <v>76.45</v>
      </c>
      <c r="N1158" t="s">
        <v>47</v>
      </c>
      <c r="O1158">
        <v>16</v>
      </c>
      <c r="P1158">
        <v>213.64</v>
      </c>
      <c r="Q1158">
        <v>231.64</v>
      </c>
      <c r="R1158" t="s">
        <v>2054</v>
      </c>
    </row>
    <row r="1159" spans="1:18" x14ac:dyDescent="0.25">
      <c r="A1159" t="s">
        <v>1210</v>
      </c>
      <c r="B1159" s="1">
        <v>45591</v>
      </c>
      <c r="C1159" s="1">
        <v>45596</v>
      </c>
      <c r="D1159" t="s">
        <v>43</v>
      </c>
      <c r="E1159" t="s">
        <v>44</v>
      </c>
      <c r="F1159" t="s">
        <v>45</v>
      </c>
      <c r="G1159" t="s">
        <v>21</v>
      </c>
      <c r="H1159" t="s">
        <v>40</v>
      </c>
      <c r="I1159">
        <v>1</v>
      </c>
      <c r="J1159">
        <v>395.27</v>
      </c>
      <c r="K1159">
        <v>37.5</v>
      </c>
      <c r="L1159">
        <v>383</v>
      </c>
      <c r="M1159">
        <v>119.59</v>
      </c>
      <c r="N1159" t="s">
        <v>23</v>
      </c>
      <c r="O1159">
        <v>5</v>
      </c>
      <c r="P1159">
        <v>395.27</v>
      </c>
      <c r="Q1159">
        <v>432.77</v>
      </c>
      <c r="R1159" t="s">
        <v>2054</v>
      </c>
    </row>
    <row r="1160" spans="1:18" x14ac:dyDescent="0.25">
      <c r="A1160" t="s">
        <v>1211</v>
      </c>
      <c r="B1160" s="1">
        <v>45592</v>
      </c>
      <c r="C1160" s="1">
        <v>45596</v>
      </c>
      <c r="D1160" t="s">
        <v>29</v>
      </c>
      <c r="E1160" t="s">
        <v>30</v>
      </c>
      <c r="F1160" t="s">
        <v>31</v>
      </c>
      <c r="G1160" t="s">
        <v>21</v>
      </c>
      <c r="H1160" t="s">
        <v>27</v>
      </c>
      <c r="I1160">
        <v>1</v>
      </c>
      <c r="J1160">
        <v>133.21</v>
      </c>
      <c r="K1160">
        <v>12</v>
      </c>
      <c r="L1160">
        <v>195</v>
      </c>
      <c r="M1160">
        <v>47.28</v>
      </c>
      <c r="N1160" t="s">
        <v>23</v>
      </c>
      <c r="O1160">
        <v>4</v>
      </c>
      <c r="P1160">
        <v>133.21</v>
      </c>
      <c r="Q1160">
        <v>145.21</v>
      </c>
      <c r="R1160" t="s">
        <v>2054</v>
      </c>
    </row>
    <row r="1161" spans="1:18" x14ac:dyDescent="0.25">
      <c r="A1161" t="s">
        <v>1212</v>
      </c>
      <c r="B1161" s="1">
        <v>45592</v>
      </c>
      <c r="C1161" s="1">
        <v>45595</v>
      </c>
      <c r="D1161" t="s">
        <v>52</v>
      </c>
      <c r="E1161" t="s">
        <v>30</v>
      </c>
      <c r="F1161" t="s">
        <v>31</v>
      </c>
      <c r="G1161" t="s">
        <v>35</v>
      </c>
      <c r="H1161" t="s">
        <v>32</v>
      </c>
      <c r="I1161">
        <v>3</v>
      </c>
      <c r="J1161">
        <v>43.78</v>
      </c>
      <c r="K1161">
        <v>12</v>
      </c>
      <c r="L1161">
        <v>386</v>
      </c>
      <c r="M1161">
        <v>46.53</v>
      </c>
      <c r="N1161" t="s">
        <v>23</v>
      </c>
      <c r="O1161">
        <v>3</v>
      </c>
      <c r="P1161">
        <v>131.34</v>
      </c>
      <c r="Q1161">
        <v>143.34</v>
      </c>
      <c r="R1161" t="s">
        <v>2054</v>
      </c>
    </row>
    <row r="1162" spans="1:18" x14ac:dyDescent="0.25">
      <c r="A1162" t="s">
        <v>1213</v>
      </c>
      <c r="B1162" s="1">
        <v>45592</v>
      </c>
      <c r="C1162" s="1">
        <v>45596</v>
      </c>
      <c r="D1162" t="s">
        <v>72</v>
      </c>
      <c r="E1162" t="s">
        <v>44</v>
      </c>
      <c r="F1162" t="s">
        <v>45</v>
      </c>
      <c r="G1162" t="s">
        <v>21</v>
      </c>
      <c r="H1162" t="s">
        <v>22</v>
      </c>
      <c r="I1162">
        <v>3</v>
      </c>
      <c r="J1162">
        <v>563.63</v>
      </c>
      <c r="K1162">
        <v>25</v>
      </c>
      <c r="L1162">
        <v>112</v>
      </c>
      <c r="M1162">
        <v>579.30999999999995</v>
      </c>
      <c r="N1162" t="s">
        <v>23</v>
      </c>
      <c r="O1162">
        <v>4</v>
      </c>
      <c r="P1162">
        <v>1690.8899999999999</v>
      </c>
      <c r="Q1162">
        <v>1715.8899999999999</v>
      </c>
      <c r="R1162" t="s">
        <v>2054</v>
      </c>
    </row>
    <row r="1163" spans="1:18" x14ac:dyDescent="0.25">
      <c r="A1163" t="s">
        <v>1214</v>
      </c>
      <c r="B1163" s="1">
        <v>45593</v>
      </c>
      <c r="C1163" s="1">
        <v>45597</v>
      </c>
      <c r="D1163" t="s">
        <v>29</v>
      </c>
      <c r="E1163" t="s">
        <v>30</v>
      </c>
      <c r="F1163" t="s">
        <v>31</v>
      </c>
      <c r="G1163" t="s">
        <v>26</v>
      </c>
      <c r="H1163" t="s">
        <v>22</v>
      </c>
      <c r="I1163">
        <v>3</v>
      </c>
      <c r="J1163">
        <v>113.01</v>
      </c>
      <c r="K1163">
        <v>12</v>
      </c>
      <c r="L1163">
        <v>398</v>
      </c>
      <c r="M1163">
        <v>129.61000000000001</v>
      </c>
      <c r="N1163" t="s">
        <v>23</v>
      </c>
      <c r="O1163">
        <v>4</v>
      </c>
      <c r="P1163">
        <v>339.03000000000003</v>
      </c>
      <c r="Q1163">
        <v>351.03000000000003</v>
      </c>
      <c r="R1163" t="s">
        <v>2054</v>
      </c>
    </row>
    <row r="1164" spans="1:18" x14ac:dyDescent="0.25">
      <c r="A1164" t="s">
        <v>1215</v>
      </c>
      <c r="B1164" s="1">
        <v>45594</v>
      </c>
      <c r="C1164" s="1">
        <v>45599</v>
      </c>
      <c r="D1164" t="s">
        <v>72</v>
      </c>
      <c r="E1164" t="s">
        <v>44</v>
      </c>
      <c r="F1164" t="s">
        <v>45</v>
      </c>
      <c r="G1164" t="s">
        <v>35</v>
      </c>
      <c r="H1164" t="s">
        <v>40</v>
      </c>
      <c r="I1164">
        <v>3</v>
      </c>
      <c r="J1164">
        <v>542.87</v>
      </c>
      <c r="K1164">
        <v>37.5</v>
      </c>
      <c r="L1164">
        <v>119</v>
      </c>
      <c r="M1164">
        <v>551.26</v>
      </c>
      <c r="N1164" t="s">
        <v>23</v>
      </c>
      <c r="O1164">
        <v>5</v>
      </c>
      <c r="P1164">
        <v>1628.6100000000001</v>
      </c>
      <c r="Q1164">
        <v>1666.1100000000001</v>
      </c>
      <c r="R1164" t="s">
        <v>2054</v>
      </c>
    </row>
    <row r="1165" spans="1:18" x14ac:dyDescent="0.25">
      <c r="A1165" t="s">
        <v>1216</v>
      </c>
      <c r="B1165" s="1">
        <v>45595</v>
      </c>
      <c r="C1165" s="1">
        <v>45597</v>
      </c>
      <c r="D1165" t="s">
        <v>58</v>
      </c>
      <c r="E1165" t="s">
        <v>19</v>
      </c>
      <c r="F1165" t="s">
        <v>20</v>
      </c>
      <c r="G1165" t="s">
        <v>26</v>
      </c>
      <c r="H1165" t="s">
        <v>22</v>
      </c>
      <c r="I1165">
        <v>9</v>
      </c>
      <c r="J1165">
        <v>42.72</v>
      </c>
      <c r="K1165">
        <v>8</v>
      </c>
      <c r="L1165">
        <v>257</v>
      </c>
      <c r="M1165">
        <v>26.76</v>
      </c>
      <c r="N1165" t="s">
        <v>23</v>
      </c>
      <c r="O1165">
        <v>2</v>
      </c>
      <c r="P1165">
        <v>384.48</v>
      </c>
      <c r="Q1165">
        <v>392.48</v>
      </c>
      <c r="R1165" t="s">
        <v>2054</v>
      </c>
    </row>
    <row r="1166" spans="1:18" x14ac:dyDescent="0.25">
      <c r="A1166" t="s">
        <v>1217</v>
      </c>
      <c r="B1166" s="1">
        <v>45596</v>
      </c>
      <c r="C1166" s="1">
        <v>45610</v>
      </c>
      <c r="D1166" t="s">
        <v>25</v>
      </c>
      <c r="E1166" t="s">
        <v>19</v>
      </c>
      <c r="F1166" t="s">
        <v>20</v>
      </c>
      <c r="G1166" t="s">
        <v>35</v>
      </c>
      <c r="H1166" t="s">
        <v>22</v>
      </c>
      <c r="I1166">
        <v>14</v>
      </c>
      <c r="J1166">
        <v>43.56</v>
      </c>
      <c r="K1166">
        <v>8</v>
      </c>
      <c r="L1166">
        <v>65</v>
      </c>
      <c r="M1166">
        <v>44.79</v>
      </c>
      <c r="N1166" t="s">
        <v>47</v>
      </c>
      <c r="O1166">
        <v>14</v>
      </c>
      <c r="P1166">
        <v>609.84</v>
      </c>
      <c r="Q1166">
        <v>617.84</v>
      </c>
      <c r="R1166" t="s">
        <v>2054</v>
      </c>
    </row>
    <row r="1167" spans="1:18" x14ac:dyDescent="0.25">
      <c r="A1167" t="s">
        <v>1218</v>
      </c>
      <c r="B1167" s="1">
        <v>45596</v>
      </c>
      <c r="C1167" s="1">
        <v>45599</v>
      </c>
      <c r="D1167" t="s">
        <v>50</v>
      </c>
      <c r="E1167" t="s">
        <v>44</v>
      </c>
      <c r="F1167" t="s">
        <v>45</v>
      </c>
      <c r="G1167" t="s">
        <v>35</v>
      </c>
      <c r="H1167" t="s">
        <v>27</v>
      </c>
      <c r="I1167">
        <v>3</v>
      </c>
      <c r="J1167">
        <v>870.66</v>
      </c>
      <c r="K1167">
        <v>25</v>
      </c>
      <c r="L1167">
        <v>103</v>
      </c>
      <c r="M1167">
        <v>901.7</v>
      </c>
      <c r="N1167" t="s">
        <v>23</v>
      </c>
      <c r="O1167">
        <v>3</v>
      </c>
      <c r="P1167">
        <v>2611.98</v>
      </c>
      <c r="Q1167">
        <v>2636.98</v>
      </c>
      <c r="R1167" t="s">
        <v>2054</v>
      </c>
    </row>
    <row r="1168" spans="1:18" x14ac:dyDescent="0.25">
      <c r="A1168" t="s">
        <v>1219</v>
      </c>
      <c r="B1168" s="1">
        <v>45596</v>
      </c>
      <c r="C1168" s="1">
        <v>45600</v>
      </c>
      <c r="D1168" t="s">
        <v>82</v>
      </c>
      <c r="E1168" t="s">
        <v>79</v>
      </c>
      <c r="F1168" t="s">
        <v>80</v>
      </c>
      <c r="G1168" t="s">
        <v>26</v>
      </c>
      <c r="H1168" t="s">
        <v>32</v>
      </c>
      <c r="I1168">
        <v>2</v>
      </c>
      <c r="J1168">
        <v>118.5</v>
      </c>
      <c r="K1168">
        <v>12</v>
      </c>
      <c r="L1168">
        <v>187</v>
      </c>
      <c r="M1168">
        <v>100.65</v>
      </c>
      <c r="N1168" t="s">
        <v>23</v>
      </c>
      <c r="O1168">
        <v>4</v>
      </c>
      <c r="P1168">
        <v>237</v>
      </c>
      <c r="Q1168">
        <v>249</v>
      </c>
      <c r="R1168" t="s">
        <v>2054</v>
      </c>
    </row>
    <row r="1169" spans="1:18" x14ac:dyDescent="0.25">
      <c r="A1169" t="s">
        <v>1220</v>
      </c>
      <c r="B1169" s="1">
        <v>45598</v>
      </c>
      <c r="C1169" s="1">
        <v>45603</v>
      </c>
      <c r="D1169" t="s">
        <v>18</v>
      </c>
      <c r="E1169" t="s">
        <v>19</v>
      </c>
      <c r="F1169" t="s">
        <v>20</v>
      </c>
      <c r="G1169" t="s">
        <v>35</v>
      </c>
      <c r="H1169" t="s">
        <v>40</v>
      </c>
      <c r="I1169">
        <v>5</v>
      </c>
      <c r="J1169">
        <v>10.59</v>
      </c>
      <c r="K1169">
        <v>12</v>
      </c>
      <c r="L1169">
        <v>3</v>
      </c>
      <c r="M1169">
        <v>-1.76</v>
      </c>
      <c r="N1169" t="s">
        <v>23</v>
      </c>
      <c r="O1169">
        <v>5</v>
      </c>
      <c r="P1169">
        <v>52.95</v>
      </c>
      <c r="Q1169">
        <v>64.95</v>
      </c>
      <c r="R1169" t="s">
        <v>2056</v>
      </c>
    </row>
    <row r="1170" spans="1:18" x14ac:dyDescent="0.25">
      <c r="A1170" t="s">
        <v>1221</v>
      </c>
      <c r="B1170" s="1">
        <v>45598</v>
      </c>
      <c r="C1170" s="1">
        <v>45599</v>
      </c>
      <c r="D1170" t="s">
        <v>18</v>
      </c>
      <c r="E1170" t="s">
        <v>19</v>
      </c>
      <c r="F1170" t="s">
        <v>20</v>
      </c>
      <c r="G1170" t="s">
        <v>26</v>
      </c>
      <c r="H1170" t="s">
        <v>32</v>
      </c>
      <c r="I1170">
        <v>12</v>
      </c>
      <c r="J1170">
        <v>23.28</v>
      </c>
      <c r="K1170">
        <v>8</v>
      </c>
      <c r="L1170">
        <v>372</v>
      </c>
      <c r="M1170">
        <v>-41.9</v>
      </c>
      <c r="N1170" t="s">
        <v>23</v>
      </c>
      <c r="O1170">
        <v>1</v>
      </c>
      <c r="P1170">
        <v>279.36</v>
      </c>
      <c r="Q1170">
        <v>287.36</v>
      </c>
      <c r="R1170" t="s">
        <v>2054</v>
      </c>
    </row>
    <row r="1171" spans="1:18" x14ac:dyDescent="0.25">
      <c r="A1171" t="s">
        <v>1222</v>
      </c>
      <c r="B1171" s="1">
        <v>45598</v>
      </c>
      <c r="C1171" s="1">
        <v>45608</v>
      </c>
      <c r="D1171" t="s">
        <v>72</v>
      </c>
      <c r="E1171" t="s">
        <v>44</v>
      </c>
      <c r="F1171" t="s">
        <v>45</v>
      </c>
      <c r="G1171" t="s">
        <v>35</v>
      </c>
      <c r="H1171" t="s">
        <v>40</v>
      </c>
      <c r="I1171">
        <v>3</v>
      </c>
      <c r="J1171">
        <v>369.72</v>
      </c>
      <c r="K1171">
        <v>37.5</v>
      </c>
      <c r="L1171">
        <v>28</v>
      </c>
      <c r="M1171">
        <v>369.46</v>
      </c>
      <c r="N1171" t="s">
        <v>63</v>
      </c>
      <c r="O1171">
        <v>10</v>
      </c>
      <c r="P1171">
        <v>1109.1600000000001</v>
      </c>
      <c r="Q1171">
        <v>1146.6600000000001</v>
      </c>
      <c r="R1171" t="s">
        <v>2055</v>
      </c>
    </row>
    <row r="1172" spans="1:18" x14ac:dyDescent="0.25">
      <c r="A1172" t="s">
        <v>1223</v>
      </c>
      <c r="B1172" s="1">
        <v>45598</v>
      </c>
      <c r="C1172" s="1">
        <v>45599</v>
      </c>
      <c r="D1172" t="s">
        <v>29</v>
      </c>
      <c r="E1172" t="s">
        <v>30</v>
      </c>
      <c r="F1172" t="s">
        <v>31</v>
      </c>
      <c r="G1172" t="s">
        <v>26</v>
      </c>
      <c r="H1172" t="s">
        <v>27</v>
      </c>
      <c r="I1172">
        <v>3</v>
      </c>
      <c r="J1172">
        <v>65.510000000000005</v>
      </c>
      <c r="K1172">
        <v>12</v>
      </c>
      <c r="L1172">
        <v>330</v>
      </c>
      <c r="M1172">
        <v>72.61</v>
      </c>
      <c r="N1172" t="s">
        <v>23</v>
      </c>
      <c r="O1172">
        <v>1</v>
      </c>
      <c r="P1172">
        <v>196.53000000000003</v>
      </c>
      <c r="Q1172">
        <v>208.53000000000003</v>
      </c>
      <c r="R1172" t="s">
        <v>2054</v>
      </c>
    </row>
    <row r="1173" spans="1:18" x14ac:dyDescent="0.25">
      <c r="A1173" t="s">
        <v>1224</v>
      </c>
      <c r="B1173" s="1">
        <v>45598</v>
      </c>
      <c r="C1173" s="1">
        <v>45603</v>
      </c>
      <c r="D1173" t="s">
        <v>37</v>
      </c>
      <c r="E1173" t="s">
        <v>38</v>
      </c>
      <c r="F1173" t="s">
        <v>39</v>
      </c>
      <c r="G1173" t="s">
        <v>35</v>
      </c>
      <c r="H1173" t="s">
        <v>40</v>
      </c>
      <c r="I1173">
        <v>2</v>
      </c>
      <c r="J1173">
        <v>376.73</v>
      </c>
      <c r="K1173">
        <v>112.5</v>
      </c>
      <c r="L1173">
        <v>285</v>
      </c>
      <c r="M1173">
        <v>94.44</v>
      </c>
      <c r="N1173" t="s">
        <v>23</v>
      </c>
      <c r="O1173">
        <v>5</v>
      </c>
      <c r="P1173">
        <v>753.46</v>
      </c>
      <c r="Q1173">
        <v>865.96</v>
      </c>
      <c r="R1173" t="s">
        <v>2054</v>
      </c>
    </row>
    <row r="1174" spans="1:18" x14ac:dyDescent="0.25">
      <c r="A1174" t="s">
        <v>1225</v>
      </c>
      <c r="B1174" s="1">
        <v>45599</v>
      </c>
      <c r="C1174" s="1">
        <v>45603</v>
      </c>
      <c r="D1174" t="s">
        <v>52</v>
      </c>
      <c r="E1174" t="s">
        <v>30</v>
      </c>
      <c r="F1174" t="s">
        <v>31</v>
      </c>
      <c r="G1174" t="s">
        <v>26</v>
      </c>
      <c r="H1174" t="s">
        <v>27</v>
      </c>
      <c r="I1174">
        <v>5</v>
      </c>
      <c r="J1174">
        <v>121.4</v>
      </c>
      <c r="K1174">
        <v>12</v>
      </c>
      <c r="L1174">
        <v>321</v>
      </c>
      <c r="M1174">
        <v>236.79</v>
      </c>
      <c r="N1174" t="s">
        <v>23</v>
      </c>
      <c r="O1174">
        <v>4</v>
      </c>
      <c r="P1174">
        <v>607</v>
      </c>
      <c r="Q1174">
        <v>619</v>
      </c>
      <c r="R1174" t="s">
        <v>2054</v>
      </c>
    </row>
    <row r="1175" spans="1:18" x14ac:dyDescent="0.25">
      <c r="A1175" t="s">
        <v>1226</v>
      </c>
      <c r="B1175" s="1">
        <v>45599</v>
      </c>
      <c r="C1175" s="1">
        <v>45603</v>
      </c>
      <c r="D1175" t="s">
        <v>118</v>
      </c>
      <c r="E1175" t="s">
        <v>79</v>
      </c>
      <c r="F1175" t="s">
        <v>80</v>
      </c>
      <c r="G1175" t="s">
        <v>21</v>
      </c>
      <c r="H1175" t="s">
        <v>27</v>
      </c>
      <c r="I1175">
        <v>4</v>
      </c>
      <c r="J1175">
        <v>138.94</v>
      </c>
      <c r="K1175">
        <v>12</v>
      </c>
      <c r="L1175">
        <v>248</v>
      </c>
      <c r="M1175">
        <v>244.09</v>
      </c>
      <c r="N1175" t="s">
        <v>23</v>
      </c>
      <c r="O1175">
        <v>4</v>
      </c>
      <c r="P1175">
        <v>555.76</v>
      </c>
      <c r="Q1175">
        <v>567.76</v>
      </c>
      <c r="R1175" t="s">
        <v>2054</v>
      </c>
    </row>
    <row r="1176" spans="1:18" x14ac:dyDescent="0.25">
      <c r="A1176" t="s">
        <v>1227</v>
      </c>
      <c r="B1176" s="1">
        <v>45600</v>
      </c>
      <c r="C1176" s="1">
        <v>45602</v>
      </c>
      <c r="D1176" t="s">
        <v>50</v>
      </c>
      <c r="E1176" t="s">
        <v>44</v>
      </c>
      <c r="F1176" t="s">
        <v>45</v>
      </c>
      <c r="G1176" t="s">
        <v>35</v>
      </c>
      <c r="H1176" t="s">
        <v>27</v>
      </c>
      <c r="I1176">
        <v>2</v>
      </c>
      <c r="J1176">
        <v>518.11</v>
      </c>
      <c r="K1176">
        <v>25</v>
      </c>
      <c r="L1176">
        <v>68</v>
      </c>
      <c r="M1176">
        <v>350.18</v>
      </c>
      <c r="N1176" t="s">
        <v>23</v>
      </c>
      <c r="O1176">
        <v>2</v>
      </c>
      <c r="P1176">
        <v>1036.22</v>
      </c>
      <c r="Q1176">
        <v>1061.22</v>
      </c>
      <c r="R1176" t="s">
        <v>2054</v>
      </c>
    </row>
    <row r="1177" spans="1:18" x14ac:dyDescent="0.25">
      <c r="A1177" t="s">
        <v>1228</v>
      </c>
      <c r="B1177" s="1">
        <v>45601</v>
      </c>
      <c r="C1177" s="1">
        <v>45617</v>
      </c>
      <c r="D1177" t="s">
        <v>34</v>
      </c>
      <c r="E1177" t="s">
        <v>30</v>
      </c>
      <c r="F1177" t="s">
        <v>31</v>
      </c>
      <c r="G1177" t="s">
        <v>35</v>
      </c>
      <c r="H1177" t="s">
        <v>40</v>
      </c>
      <c r="I1177">
        <v>5</v>
      </c>
      <c r="J1177">
        <v>69.31</v>
      </c>
      <c r="K1177">
        <v>18</v>
      </c>
      <c r="L1177">
        <v>61</v>
      </c>
      <c r="M1177">
        <v>129.62</v>
      </c>
      <c r="N1177" t="s">
        <v>47</v>
      </c>
      <c r="O1177">
        <v>16</v>
      </c>
      <c r="P1177">
        <v>346.55</v>
      </c>
      <c r="Q1177">
        <v>364.55</v>
      </c>
      <c r="R1177" t="s">
        <v>2054</v>
      </c>
    </row>
    <row r="1178" spans="1:18" x14ac:dyDescent="0.25">
      <c r="A1178" t="s">
        <v>1229</v>
      </c>
      <c r="B1178" s="1">
        <v>45602</v>
      </c>
      <c r="C1178" s="1">
        <v>45616</v>
      </c>
      <c r="D1178" t="s">
        <v>75</v>
      </c>
      <c r="E1178" t="s">
        <v>44</v>
      </c>
      <c r="F1178" t="s">
        <v>45</v>
      </c>
      <c r="G1178" t="s">
        <v>35</v>
      </c>
      <c r="H1178" t="s">
        <v>40</v>
      </c>
      <c r="I1178">
        <v>3</v>
      </c>
      <c r="J1178">
        <v>951.37</v>
      </c>
      <c r="K1178">
        <v>37.5</v>
      </c>
      <c r="L1178">
        <v>206</v>
      </c>
      <c r="M1178">
        <v>980.19</v>
      </c>
      <c r="N1178" t="s">
        <v>47</v>
      </c>
      <c r="O1178">
        <v>14</v>
      </c>
      <c r="P1178">
        <v>2854.11</v>
      </c>
      <c r="Q1178">
        <v>2891.61</v>
      </c>
      <c r="R1178" t="s">
        <v>2054</v>
      </c>
    </row>
    <row r="1179" spans="1:18" x14ac:dyDescent="0.25">
      <c r="A1179" t="s">
        <v>1230</v>
      </c>
      <c r="B1179" s="1">
        <v>45602</v>
      </c>
      <c r="C1179" s="1">
        <v>45607</v>
      </c>
      <c r="D1179" t="s">
        <v>58</v>
      </c>
      <c r="E1179" t="s">
        <v>19</v>
      </c>
      <c r="F1179" t="s">
        <v>20</v>
      </c>
      <c r="G1179" t="s">
        <v>21</v>
      </c>
      <c r="H1179" t="s">
        <v>32</v>
      </c>
      <c r="I1179">
        <v>7</v>
      </c>
      <c r="J1179">
        <v>11.97</v>
      </c>
      <c r="K1179">
        <v>8</v>
      </c>
      <c r="L1179">
        <v>265</v>
      </c>
      <c r="M1179">
        <v>2.7</v>
      </c>
      <c r="N1179" t="s">
        <v>23</v>
      </c>
      <c r="O1179">
        <v>5</v>
      </c>
      <c r="P1179">
        <v>83.79</v>
      </c>
      <c r="Q1179">
        <v>91.79</v>
      </c>
      <c r="R1179" t="s">
        <v>2054</v>
      </c>
    </row>
    <row r="1180" spans="1:18" x14ac:dyDescent="0.25">
      <c r="A1180" t="s">
        <v>1231</v>
      </c>
      <c r="B1180" s="1">
        <v>45602</v>
      </c>
      <c r="C1180" s="1">
        <v>45603</v>
      </c>
      <c r="D1180" t="s">
        <v>43</v>
      </c>
      <c r="E1180" t="s">
        <v>44</v>
      </c>
      <c r="F1180" t="s">
        <v>45</v>
      </c>
      <c r="G1180" t="s">
        <v>26</v>
      </c>
      <c r="H1180" t="s">
        <v>27</v>
      </c>
      <c r="I1180">
        <v>1</v>
      </c>
      <c r="J1180">
        <v>245.46</v>
      </c>
      <c r="K1180">
        <v>25</v>
      </c>
      <c r="L1180">
        <v>106</v>
      </c>
      <c r="M1180">
        <v>73.41</v>
      </c>
      <c r="N1180" t="s">
        <v>23</v>
      </c>
      <c r="O1180">
        <v>1</v>
      </c>
      <c r="P1180">
        <v>245.46</v>
      </c>
      <c r="Q1180">
        <v>270.46000000000004</v>
      </c>
      <c r="R1180" t="s">
        <v>2054</v>
      </c>
    </row>
    <row r="1181" spans="1:18" x14ac:dyDescent="0.25">
      <c r="A1181" t="s">
        <v>1232</v>
      </c>
      <c r="B1181" s="1">
        <v>45603</v>
      </c>
      <c r="C1181" s="1">
        <v>45604</v>
      </c>
      <c r="D1181" t="s">
        <v>72</v>
      </c>
      <c r="E1181" t="s">
        <v>44</v>
      </c>
      <c r="F1181" t="s">
        <v>45</v>
      </c>
      <c r="G1181" t="s">
        <v>26</v>
      </c>
      <c r="H1181" t="s">
        <v>22</v>
      </c>
      <c r="I1181">
        <v>1</v>
      </c>
      <c r="J1181">
        <v>300.02999999999997</v>
      </c>
      <c r="K1181">
        <v>25</v>
      </c>
      <c r="L1181">
        <v>68</v>
      </c>
      <c r="M1181">
        <v>92.51</v>
      </c>
      <c r="N1181" t="s">
        <v>23</v>
      </c>
      <c r="O1181">
        <v>1</v>
      </c>
      <c r="P1181">
        <v>300.02999999999997</v>
      </c>
      <c r="Q1181">
        <v>325.02999999999997</v>
      </c>
      <c r="R1181" t="s">
        <v>2054</v>
      </c>
    </row>
    <row r="1182" spans="1:18" x14ac:dyDescent="0.25">
      <c r="A1182" t="s">
        <v>1233</v>
      </c>
      <c r="B1182" s="1">
        <v>45604</v>
      </c>
      <c r="C1182" s="1">
        <v>45609</v>
      </c>
      <c r="D1182" t="s">
        <v>58</v>
      </c>
      <c r="E1182" t="s">
        <v>19</v>
      </c>
      <c r="F1182" t="s">
        <v>20</v>
      </c>
      <c r="G1182" t="s">
        <v>21</v>
      </c>
      <c r="H1182" t="s">
        <v>32</v>
      </c>
      <c r="I1182">
        <v>6</v>
      </c>
      <c r="J1182">
        <v>16.329999999999998</v>
      </c>
      <c r="K1182">
        <v>8</v>
      </c>
      <c r="L1182">
        <v>176</v>
      </c>
      <c r="M1182">
        <v>3.84</v>
      </c>
      <c r="N1182" t="s">
        <v>23</v>
      </c>
      <c r="O1182">
        <v>5</v>
      </c>
      <c r="P1182">
        <v>97.97999999999999</v>
      </c>
      <c r="Q1182">
        <v>105.97999999999999</v>
      </c>
      <c r="R1182" t="s">
        <v>2054</v>
      </c>
    </row>
    <row r="1183" spans="1:18" x14ac:dyDescent="0.25">
      <c r="A1183" t="s">
        <v>1234</v>
      </c>
      <c r="B1183" s="1">
        <v>45608</v>
      </c>
      <c r="C1183" s="1">
        <v>45613</v>
      </c>
      <c r="D1183" t="s">
        <v>37</v>
      </c>
      <c r="E1183" t="s">
        <v>38</v>
      </c>
      <c r="F1183" t="s">
        <v>39</v>
      </c>
      <c r="G1183" t="s">
        <v>35</v>
      </c>
      <c r="H1183" t="s">
        <v>40</v>
      </c>
      <c r="I1183">
        <v>1</v>
      </c>
      <c r="J1183">
        <v>142.86000000000001</v>
      </c>
      <c r="K1183">
        <v>112.5</v>
      </c>
      <c r="L1183">
        <v>278</v>
      </c>
      <c r="M1183">
        <v>-27.68</v>
      </c>
      <c r="N1183" t="s">
        <v>23</v>
      </c>
      <c r="O1183">
        <v>5</v>
      </c>
      <c r="P1183">
        <v>142.86000000000001</v>
      </c>
      <c r="Q1183">
        <v>255.36</v>
      </c>
      <c r="R1183" t="s">
        <v>2054</v>
      </c>
    </row>
    <row r="1184" spans="1:18" x14ac:dyDescent="0.25">
      <c r="A1184" t="s">
        <v>1235</v>
      </c>
      <c r="B1184" s="1">
        <v>45608</v>
      </c>
      <c r="C1184" s="1">
        <v>45610</v>
      </c>
      <c r="D1184" t="s">
        <v>50</v>
      </c>
      <c r="E1184" t="s">
        <v>44</v>
      </c>
      <c r="F1184" t="s">
        <v>45</v>
      </c>
      <c r="G1184" t="s">
        <v>35</v>
      </c>
      <c r="H1184" t="s">
        <v>40</v>
      </c>
      <c r="I1184">
        <v>1</v>
      </c>
      <c r="J1184">
        <v>1160.01</v>
      </c>
      <c r="K1184">
        <v>37.5</v>
      </c>
      <c r="L1184">
        <v>282</v>
      </c>
      <c r="M1184">
        <v>387.25</v>
      </c>
      <c r="N1184" t="s">
        <v>23</v>
      </c>
      <c r="O1184">
        <v>2</v>
      </c>
      <c r="P1184">
        <v>1160.01</v>
      </c>
      <c r="Q1184">
        <v>1197.51</v>
      </c>
      <c r="R1184" t="s">
        <v>2054</v>
      </c>
    </row>
    <row r="1185" spans="1:18" x14ac:dyDescent="0.25">
      <c r="A1185" t="s">
        <v>1236</v>
      </c>
      <c r="B1185" s="1">
        <v>45608</v>
      </c>
      <c r="C1185" s="1">
        <v>45609</v>
      </c>
      <c r="D1185" t="s">
        <v>37</v>
      </c>
      <c r="E1185" t="s">
        <v>38</v>
      </c>
      <c r="F1185" t="s">
        <v>39</v>
      </c>
      <c r="G1185" t="s">
        <v>26</v>
      </c>
      <c r="H1185" t="s">
        <v>27</v>
      </c>
      <c r="I1185">
        <v>1</v>
      </c>
      <c r="J1185">
        <v>196.93</v>
      </c>
      <c r="K1185">
        <v>75</v>
      </c>
      <c r="L1185">
        <v>187</v>
      </c>
      <c r="M1185">
        <v>1.89</v>
      </c>
      <c r="N1185" t="s">
        <v>23</v>
      </c>
      <c r="O1185">
        <v>1</v>
      </c>
      <c r="P1185">
        <v>196.93</v>
      </c>
      <c r="Q1185">
        <v>271.93</v>
      </c>
      <c r="R1185" t="s">
        <v>2054</v>
      </c>
    </row>
    <row r="1186" spans="1:18" x14ac:dyDescent="0.25">
      <c r="A1186" t="s">
        <v>1237</v>
      </c>
      <c r="B1186" s="1">
        <v>45608</v>
      </c>
      <c r="C1186" s="1">
        <v>45610</v>
      </c>
      <c r="D1186" t="s">
        <v>50</v>
      </c>
      <c r="E1186" t="s">
        <v>44</v>
      </c>
      <c r="F1186" t="s">
        <v>45</v>
      </c>
      <c r="G1186" t="s">
        <v>21</v>
      </c>
      <c r="H1186" t="s">
        <v>32</v>
      </c>
      <c r="I1186">
        <v>3</v>
      </c>
      <c r="J1186">
        <v>1179.25</v>
      </c>
      <c r="K1186">
        <v>25</v>
      </c>
      <c r="L1186">
        <v>81</v>
      </c>
      <c r="M1186">
        <v>1225.71</v>
      </c>
      <c r="N1186" t="s">
        <v>23</v>
      </c>
      <c r="O1186">
        <v>2</v>
      </c>
      <c r="P1186">
        <v>3537.75</v>
      </c>
      <c r="Q1186">
        <v>3562.75</v>
      </c>
      <c r="R1186" t="s">
        <v>2054</v>
      </c>
    </row>
    <row r="1187" spans="1:18" x14ac:dyDescent="0.25">
      <c r="A1187" t="s">
        <v>1238</v>
      </c>
      <c r="B1187" s="1">
        <v>45609</v>
      </c>
      <c r="C1187" s="1">
        <v>45614</v>
      </c>
      <c r="D1187" t="s">
        <v>58</v>
      </c>
      <c r="E1187" t="s">
        <v>19</v>
      </c>
      <c r="F1187" t="s">
        <v>20</v>
      </c>
      <c r="G1187" t="s">
        <v>35</v>
      </c>
      <c r="H1187" t="s">
        <v>40</v>
      </c>
      <c r="I1187">
        <v>14</v>
      </c>
      <c r="J1187">
        <v>43.47</v>
      </c>
      <c r="K1187">
        <v>12</v>
      </c>
      <c r="L1187">
        <v>357</v>
      </c>
      <c r="M1187">
        <v>42.68</v>
      </c>
      <c r="N1187" t="s">
        <v>23</v>
      </c>
      <c r="O1187">
        <v>5</v>
      </c>
      <c r="P1187">
        <v>608.57999999999993</v>
      </c>
      <c r="Q1187">
        <v>620.57999999999993</v>
      </c>
      <c r="R1187" t="s">
        <v>2054</v>
      </c>
    </row>
    <row r="1188" spans="1:18" x14ac:dyDescent="0.25">
      <c r="A1188" t="s">
        <v>1239</v>
      </c>
      <c r="B1188" s="1">
        <v>45610</v>
      </c>
      <c r="C1188" s="1">
        <v>45611</v>
      </c>
      <c r="D1188" t="s">
        <v>52</v>
      </c>
      <c r="E1188" t="s">
        <v>30</v>
      </c>
      <c r="F1188" t="s">
        <v>31</v>
      </c>
      <c r="G1188" t="s">
        <v>35</v>
      </c>
      <c r="H1188" t="s">
        <v>40</v>
      </c>
      <c r="I1188">
        <v>3</v>
      </c>
      <c r="J1188">
        <v>78.23</v>
      </c>
      <c r="K1188">
        <v>18</v>
      </c>
      <c r="L1188">
        <v>180</v>
      </c>
      <c r="M1188">
        <v>84.87</v>
      </c>
      <c r="N1188" t="s">
        <v>23</v>
      </c>
      <c r="O1188">
        <v>1</v>
      </c>
      <c r="P1188">
        <v>234.69</v>
      </c>
      <c r="Q1188">
        <v>252.69</v>
      </c>
      <c r="R1188" t="s">
        <v>2054</v>
      </c>
    </row>
    <row r="1189" spans="1:18" x14ac:dyDescent="0.25">
      <c r="A1189" t="s">
        <v>1240</v>
      </c>
      <c r="B1189" s="1">
        <v>45610</v>
      </c>
      <c r="C1189" s="1">
        <v>45615</v>
      </c>
      <c r="D1189" t="s">
        <v>72</v>
      </c>
      <c r="E1189" t="s">
        <v>44</v>
      </c>
      <c r="F1189" t="s">
        <v>45</v>
      </c>
      <c r="G1189" t="s">
        <v>35</v>
      </c>
      <c r="H1189" t="s">
        <v>40</v>
      </c>
      <c r="I1189">
        <v>3</v>
      </c>
      <c r="J1189">
        <v>1051.0899999999999</v>
      </c>
      <c r="K1189">
        <v>37.5</v>
      </c>
      <c r="L1189">
        <v>309</v>
      </c>
      <c r="M1189">
        <v>1084.9000000000001</v>
      </c>
      <c r="N1189" t="s">
        <v>23</v>
      </c>
      <c r="O1189">
        <v>5</v>
      </c>
      <c r="P1189">
        <v>3153.2699999999995</v>
      </c>
      <c r="Q1189">
        <v>3190.7699999999995</v>
      </c>
      <c r="R1189" t="s">
        <v>2054</v>
      </c>
    </row>
    <row r="1190" spans="1:18" x14ac:dyDescent="0.25">
      <c r="A1190" t="s">
        <v>1241</v>
      </c>
      <c r="B1190" s="1">
        <v>45611</v>
      </c>
      <c r="C1190" s="1">
        <v>45613</v>
      </c>
      <c r="D1190" t="s">
        <v>58</v>
      </c>
      <c r="E1190" t="s">
        <v>19</v>
      </c>
      <c r="F1190" t="s">
        <v>20</v>
      </c>
      <c r="G1190" t="s">
        <v>35</v>
      </c>
      <c r="H1190" t="s">
        <v>40</v>
      </c>
      <c r="I1190">
        <v>7</v>
      </c>
      <c r="J1190">
        <v>25.84</v>
      </c>
      <c r="K1190">
        <v>12</v>
      </c>
      <c r="L1190">
        <v>7</v>
      </c>
      <c r="M1190">
        <v>8.4700000000000006</v>
      </c>
      <c r="N1190" t="s">
        <v>23</v>
      </c>
      <c r="O1190">
        <v>2</v>
      </c>
      <c r="P1190">
        <v>180.88</v>
      </c>
      <c r="Q1190">
        <v>192.88</v>
      </c>
      <c r="R1190" t="s">
        <v>2056</v>
      </c>
    </row>
    <row r="1191" spans="1:18" x14ac:dyDescent="0.25">
      <c r="A1191" t="s">
        <v>1242</v>
      </c>
      <c r="B1191" s="1">
        <v>45611</v>
      </c>
      <c r="C1191" s="1">
        <v>45614</v>
      </c>
      <c r="D1191" t="s">
        <v>78</v>
      </c>
      <c r="E1191" t="s">
        <v>79</v>
      </c>
      <c r="F1191" t="s">
        <v>80</v>
      </c>
      <c r="G1191" t="s">
        <v>35</v>
      </c>
      <c r="H1191" t="s">
        <v>27</v>
      </c>
      <c r="I1191">
        <v>4</v>
      </c>
      <c r="J1191">
        <v>72.47</v>
      </c>
      <c r="K1191">
        <v>12</v>
      </c>
      <c r="L1191">
        <v>301</v>
      </c>
      <c r="M1191">
        <v>124.44</v>
      </c>
      <c r="N1191" t="s">
        <v>23</v>
      </c>
      <c r="O1191">
        <v>3</v>
      </c>
      <c r="P1191">
        <v>289.88</v>
      </c>
      <c r="Q1191">
        <v>301.88</v>
      </c>
      <c r="R1191" t="s">
        <v>2054</v>
      </c>
    </row>
    <row r="1192" spans="1:18" x14ac:dyDescent="0.25">
      <c r="A1192" t="s">
        <v>1243</v>
      </c>
      <c r="B1192" s="1">
        <v>45611</v>
      </c>
      <c r="C1192" s="1">
        <v>45615</v>
      </c>
      <c r="D1192" t="s">
        <v>78</v>
      </c>
      <c r="E1192" t="s">
        <v>79</v>
      </c>
      <c r="F1192" t="s">
        <v>80</v>
      </c>
      <c r="G1192" t="s">
        <v>35</v>
      </c>
      <c r="H1192" t="s">
        <v>27</v>
      </c>
      <c r="I1192">
        <v>3</v>
      </c>
      <c r="J1192">
        <v>104.08</v>
      </c>
      <c r="K1192">
        <v>12</v>
      </c>
      <c r="L1192">
        <v>190</v>
      </c>
      <c r="M1192">
        <v>-46.84</v>
      </c>
      <c r="N1192" t="s">
        <v>23</v>
      </c>
      <c r="O1192">
        <v>4</v>
      </c>
      <c r="P1192">
        <v>312.24</v>
      </c>
      <c r="Q1192">
        <v>324.24</v>
      </c>
      <c r="R1192" t="s">
        <v>2054</v>
      </c>
    </row>
    <row r="1193" spans="1:18" x14ac:dyDescent="0.25">
      <c r="A1193" t="s">
        <v>1244</v>
      </c>
      <c r="B1193" s="1">
        <v>45611</v>
      </c>
      <c r="C1193" s="1">
        <v>45614</v>
      </c>
      <c r="D1193" t="s">
        <v>34</v>
      </c>
      <c r="E1193" t="s">
        <v>30</v>
      </c>
      <c r="F1193" t="s">
        <v>31</v>
      </c>
      <c r="G1193" t="s">
        <v>35</v>
      </c>
      <c r="H1193" t="s">
        <v>27</v>
      </c>
      <c r="I1193">
        <v>3</v>
      </c>
      <c r="J1193">
        <v>28.87</v>
      </c>
      <c r="K1193">
        <v>12</v>
      </c>
      <c r="L1193">
        <v>284</v>
      </c>
      <c r="M1193">
        <v>28.65</v>
      </c>
      <c r="N1193" t="s">
        <v>23</v>
      </c>
      <c r="O1193">
        <v>3</v>
      </c>
      <c r="P1193">
        <v>86.61</v>
      </c>
      <c r="Q1193">
        <v>98.61</v>
      </c>
      <c r="R1193" t="s">
        <v>2054</v>
      </c>
    </row>
    <row r="1194" spans="1:18" x14ac:dyDescent="0.25">
      <c r="A1194" t="s">
        <v>1245</v>
      </c>
      <c r="B1194" s="1">
        <v>45612</v>
      </c>
      <c r="C1194" s="1">
        <v>45614</v>
      </c>
      <c r="D1194" t="s">
        <v>18</v>
      </c>
      <c r="E1194" t="s">
        <v>19</v>
      </c>
      <c r="F1194" t="s">
        <v>20</v>
      </c>
      <c r="G1194" t="s">
        <v>21</v>
      </c>
      <c r="H1194" t="s">
        <v>27</v>
      </c>
      <c r="I1194">
        <v>14</v>
      </c>
      <c r="J1194">
        <v>40.57</v>
      </c>
      <c r="K1194">
        <v>8</v>
      </c>
      <c r="L1194">
        <v>43</v>
      </c>
      <c r="M1194">
        <v>41.44</v>
      </c>
      <c r="N1194" t="s">
        <v>23</v>
      </c>
      <c r="O1194">
        <v>2</v>
      </c>
      <c r="P1194">
        <v>567.98</v>
      </c>
      <c r="Q1194">
        <v>575.98</v>
      </c>
      <c r="R1194" t="s">
        <v>2055</v>
      </c>
    </row>
    <row r="1195" spans="1:18" x14ac:dyDescent="0.25">
      <c r="A1195" t="s">
        <v>1246</v>
      </c>
      <c r="B1195" s="1">
        <v>45612</v>
      </c>
      <c r="C1195" s="1">
        <v>45615</v>
      </c>
      <c r="D1195" t="s">
        <v>18</v>
      </c>
      <c r="E1195" t="s">
        <v>19</v>
      </c>
      <c r="F1195" t="s">
        <v>20</v>
      </c>
      <c r="G1195" t="s">
        <v>35</v>
      </c>
      <c r="H1195" t="s">
        <v>40</v>
      </c>
      <c r="I1195">
        <v>13</v>
      </c>
      <c r="J1195">
        <v>34.49</v>
      </c>
      <c r="K1195">
        <v>12</v>
      </c>
      <c r="L1195">
        <v>253</v>
      </c>
      <c r="M1195">
        <v>29.87</v>
      </c>
      <c r="N1195" t="s">
        <v>23</v>
      </c>
      <c r="O1195">
        <v>3</v>
      </c>
      <c r="P1195">
        <v>448.37</v>
      </c>
      <c r="Q1195">
        <v>460.37</v>
      </c>
      <c r="R1195" t="s">
        <v>2054</v>
      </c>
    </row>
    <row r="1196" spans="1:18" x14ac:dyDescent="0.25">
      <c r="A1196" t="s">
        <v>1247</v>
      </c>
      <c r="B1196" s="1">
        <v>45613</v>
      </c>
      <c r="C1196" s="1">
        <v>45615</v>
      </c>
      <c r="D1196" t="s">
        <v>72</v>
      </c>
      <c r="E1196" t="s">
        <v>44</v>
      </c>
      <c r="F1196" t="s">
        <v>45</v>
      </c>
      <c r="G1196" t="s">
        <v>21</v>
      </c>
      <c r="H1196" t="s">
        <v>40</v>
      </c>
      <c r="I1196">
        <v>1</v>
      </c>
      <c r="J1196">
        <v>249.79</v>
      </c>
      <c r="K1196">
        <v>37.5</v>
      </c>
      <c r="L1196">
        <v>276</v>
      </c>
      <c r="M1196">
        <v>68.680000000000007</v>
      </c>
      <c r="N1196" t="s">
        <v>23</v>
      </c>
      <c r="O1196">
        <v>2</v>
      </c>
      <c r="P1196">
        <v>249.79</v>
      </c>
      <c r="Q1196">
        <v>287.28999999999996</v>
      </c>
      <c r="R1196" t="s">
        <v>2054</v>
      </c>
    </row>
    <row r="1197" spans="1:18" x14ac:dyDescent="0.25">
      <c r="A1197" t="s">
        <v>1248</v>
      </c>
      <c r="B1197" s="1">
        <v>45613</v>
      </c>
      <c r="C1197" s="1">
        <v>45626</v>
      </c>
      <c r="D1197" t="s">
        <v>56</v>
      </c>
      <c r="E1197" t="s">
        <v>38</v>
      </c>
      <c r="F1197" t="s">
        <v>39</v>
      </c>
      <c r="G1197" t="s">
        <v>35</v>
      </c>
      <c r="H1197" t="s">
        <v>32</v>
      </c>
      <c r="I1197">
        <v>2</v>
      </c>
      <c r="J1197">
        <v>275.05</v>
      </c>
      <c r="K1197">
        <v>75</v>
      </c>
      <c r="L1197">
        <v>231</v>
      </c>
      <c r="M1197">
        <v>72.52</v>
      </c>
      <c r="N1197" t="s">
        <v>47</v>
      </c>
      <c r="O1197">
        <v>13</v>
      </c>
      <c r="P1197">
        <v>550.1</v>
      </c>
      <c r="Q1197">
        <v>625.1</v>
      </c>
      <c r="R1197" t="s">
        <v>2054</v>
      </c>
    </row>
    <row r="1198" spans="1:18" x14ac:dyDescent="0.25">
      <c r="A1198" t="s">
        <v>1249</v>
      </c>
      <c r="B1198" s="1">
        <v>45613</v>
      </c>
      <c r="C1198" s="1">
        <v>45618</v>
      </c>
      <c r="D1198" t="s">
        <v>78</v>
      </c>
      <c r="E1198" t="s">
        <v>79</v>
      </c>
      <c r="F1198" t="s">
        <v>80</v>
      </c>
      <c r="G1198" t="s">
        <v>35</v>
      </c>
      <c r="H1198" t="s">
        <v>40</v>
      </c>
      <c r="I1198">
        <v>3</v>
      </c>
      <c r="J1198">
        <v>75.19</v>
      </c>
      <c r="K1198">
        <v>18</v>
      </c>
      <c r="L1198">
        <v>94</v>
      </c>
      <c r="M1198">
        <v>92.51</v>
      </c>
      <c r="N1198" t="s">
        <v>23</v>
      </c>
      <c r="O1198">
        <v>5</v>
      </c>
      <c r="P1198">
        <v>225.57</v>
      </c>
      <c r="Q1198">
        <v>243.57</v>
      </c>
      <c r="R1198" t="s">
        <v>2054</v>
      </c>
    </row>
    <row r="1199" spans="1:18" x14ac:dyDescent="0.25">
      <c r="A1199" t="s">
        <v>1250</v>
      </c>
      <c r="B1199" s="1">
        <v>45613</v>
      </c>
      <c r="C1199" s="1">
        <v>45615</v>
      </c>
      <c r="D1199" t="s">
        <v>118</v>
      </c>
      <c r="E1199" t="s">
        <v>79</v>
      </c>
      <c r="F1199" t="s">
        <v>80</v>
      </c>
      <c r="G1199" t="s">
        <v>21</v>
      </c>
      <c r="H1199" t="s">
        <v>40</v>
      </c>
      <c r="I1199">
        <v>3</v>
      </c>
      <c r="J1199">
        <v>95.3</v>
      </c>
      <c r="K1199">
        <v>18</v>
      </c>
      <c r="L1199">
        <v>75</v>
      </c>
      <c r="M1199">
        <v>119.66</v>
      </c>
      <c r="N1199" t="s">
        <v>23</v>
      </c>
      <c r="O1199">
        <v>2</v>
      </c>
      <c r="P1199">
        <v>285.89999999999998</v>
      </c>
      <c r="Q1199">
        <v>303.89999999999998</v>
      </c>
      <c r="R1199" t="s">
        <v>2054</v>
      </c>
    </row>
    <row r="1200" spans="1:18" x14ac:dyDescent="0.25">
      <c r="A1200" t="s">
        <v>1251</v>
      </c>
      <c r="B1200" s="1">
        <v>45614</v>
      </c>
      <c r="C1200" s="1">
        <v>45616</v>
      </c>
      <c r="D1200" t="s">
        <v>18</v>
      </c>
      <c r="E1200" t="s">
        <v>19</v>
      </c>
      <c r="F1200" t="s">
        <v>20</v>
      </c>
      <c r="G1200" t="s">
        <v>35</v>
      </c>
      <c r="H1200" t="s">
        <v>40</v>
      </c>
      <c r="I1200">
        <v>14</v>
      </c>
      <c r="J1200">
        <v>14.56</v>
      </c>
      <c r="K1200">
        <v>12</v>
      </c>
      <c r="L1200">
        <v>152</v>
      </c>
      <c r="M1200">
        <v>10.31</v>
      </c>
      <c r="N1200" t="s">
        <v>23</v>
      </c>
      <c r="O1200">
        <v>2</v>
      </c>
      <c r="P1200">
        <v>203.84</v>
      </c>
      <c r="Q1200">
        <v>215.84</v>
      </c>
      <c r="R1200" t="s">
        <v>2054</v>
      </c>
    </row>
    <row r="1201" spans="1:18" x14ac:dyDescent="0.25">
      <c r="A1201" t="s">
        <v>1252</v>
      </c>
      <c r="B1201" s="1">
        <v>45614</v>
      </c>
      <c r="C1201" s="1">
        <v>45615</v>
      </c>
      <c r="D1201" t="s">
        <v>18</v>
      </c>
      <c r="E1201" t="s">
        <v>19</v>
      </c>
      <c r="F1201" t="s">
        <v>20</v>
      </c>
      <c r="G1201" t="s">
        <v>35</v>
      </c>
      <c r="H1201" t="s">
        <v>40</v>
      </c>
      <c r="I1201">
        <v>5</v>
      </c>
      <c r="J1201">
        <v>16.25</v>
      </c>
      <c r="K1201">
        <v>12</v>
      </c>
      <c r="L1201">
        <v>89</v>
      </c>
      <c r="M1201">
        <v>0.5</v>
      </c>
      <c r="N1201" t="s">
        <v>23</v>
      </c>
      <c r="O1201">
        <v>1</v>
      </c>
      <c r="P1201">
        <v>81.25</v>
      </c>
      <c r="Q1201">
        <v>93.25</v>
      </c>
      <c r="R1201" t="s">
        <v>2054</v>
      </c>
    </row>
    <row r="1202" spans="1:18" x14ac:dyDescent="0.25">
      <c r="A1202" t="s">
        <v>1253</v>
      </c>
      <c r="B1202" s="1">
        <v>45614</v>
      </c>
      <c r="C1202" s="1">
        <v>45616</v>
      </c>
      <c r="D1202" t="s">
        <v>82</v>
      </c>
      <c r="E1202" t="s">
        <v>79</v>
      </c>
      <c r="F1202" t="s">
        <v>80</v>
      </c>
      <c r="G1202" t="s">
        <v>35</v>
      </c>
      <c r="H1202" t="s">
        <v>40</v>
      </c>
      <c r="I1202">
        <v>2</v>
      </c>
      <c r="J1202">
        <v>62.12</v>
      </c>
      <c r="K1202">
        <v>18</v>
      </c>
      <c r="L1202">
        <v>361</v>
      </c>
      <c r="M1202">
        <v>46.91</v>
      </c>
      <c r="N1202" t="s">
        <v>23</v>
      </c>
      <c r="O1202">
        <v>2</v>
      </c>
      <c r="P1202">
        <v>124.24</v>
      </c>
      <c r="Q1202">
        <v>142.24</v>
      </c>
      <c r="R1202" t="s">
        <v>2054</v>
      </c>
    </row>
    <row r="1203" spans="1:18" x14ac:dyDescent="0.25">
      <c r="A1203" t="s">
        <v>1254</v>
      </c>
      <c r="B1203" s="1">
        <v>45615</v>
      </c>
      <c r="C1203" s="1">
        <v>45620</v>
      </c>
      <c r="D1203" t="s">
        <v>34</v>
      </c>
      <c r="E1203" t="s">
        <v>30</v>
      </c>
      <c r="F1203" t="s">
        <v>31</v>
      </c>
      <c r="G1203" t="s">
        <v>35</v>
      </c>
      <c r="H1203" t="s">
        <v>32</v>
      </c>
      <c r="I1203">
        <v>5</v>
      </c>
      <c r="J1203">
        <v>64.7</v>
      </c>
      <c r="K1203">
        <v>12</v>
      </c>
      <c r="L1203">
        <v>265</v>
      </c>
      <c r="M1203">
        <v>123.39</v>
      </c>
      <c r="N1203" t="s">
        <v>23</v>
      </c>
      <c r="O1203">
        <v>5</v>
      </c>
      <c r="P1203">
        <v>323.5</v>
      </c>
      <c r="Q1203">
        <v>335.5</v>
      </c>
      <c r="R1203" t="s">
        <v>2054</v>
      </c>
    </row>
    <row r="1204" spans="1:18" x14ac:dyDescent="0.25">
      <c r="A1204" t="s">
        <v>1255</v>
      </c>
      <c r="B1204" s="1">
        <v>45615</v>
      </c>
      <c r="C1204" s="1">
        <v>45620</v>
      </c>
      <c r="D1204" t="s">
        <v>37</v>
      </c>
      <c r="E1204" t="s">
        <v>38</v>
      </c>
      <c r="F1204" t="s">
        <v>39</v>
      </c>
      <c r="G1204" t="s">
        <v>35</v>
      </c>
      <c r="H1204" t="s">
        <v>40</v>
      </c>
      <c r="I1204">
        <v>2</v>
      </c>
      <c r="J1204">
        <v>115.7</v>
      </c>
      <c r="K1204">
        <v>112.5</v>
      </c>
      <c r="L1204">
        <v>78</v>
      </c>
      <c r="M1204">
        <v>-9.9700000000000006</v>
      </c>
      <c r="N1204" t="s">
        <v>23</v>
      </c>
      <c r="O1204">
        <v>5</v>
      </c>
      <c r="P1204">
        <v>231.4</v>
      </c>
      <c r="Q1204">
        <v>343.9</v>
      </c>
      <c r="R1204" t="s">
        <v>2054</v>
      </c>
    </row>
    <row r="1205" spans="1:18" x14ac:dyDescent="0.25">
      <c r="A1205" t="s">
        <v>1256</v>
      </c>
      <c r="B1205" s="1">
        <v>45615</v>
      </c>
      <c r="C1205" s="1">
        <v>45620</v>
      </c>
      <c r="D1205" t="s">
        <v>37</v>
      </c>
      <c r="E1205" t="s">
        <v>38</v>
      </c>
      <c r="F1205" t="s">
        <v>39</v>
      </c>
      <c r="G1205" t="s">
        <v>21</v>
      </c>
      <c r="H1205" t="s">
        <v>22</v>
      </c>
      <c r="I1205">
        <v>2</v>
      </c>
      <c r="J1205">
        <v>211.17</v>
      </c>
      <c r="K1205">
        <v>75</v>
      </c>
      <c r="L1205">
        <v>333</v>
      </c>
      <c r="M1205">
        <v>46.97</v>
      </c>
      <c r="N1205" t="s">
        <v>23</v>
      </c>
      <c r="O1205">
        <v>5</v>
      </c>
      <c r="P1205">
        <v>422.34</v>
      </c>
      <c r="Q1205">
        <v>497.34</v>
      </c>
      <c r="R1205" t="s">
        <v>2054</v>
      </c>
    </row>
    <row r="1206" spans="1:18" x14ac:dyDescent="0.25">
      <c r="A1206" t="s">
        <v>1257</v>
      </c>
      <c r="B1206" s="1">
        <v>45616</v>
      </c>
      <c r="C1206" s="1">
        <v>45617</v>
      </c>
      <c r="D1206" t="s">
        <v>50</v>
      </c>
      <c r="E1206" t="s">
        <v>44</v>
      </c>
      <c r="F1206" t="s">
        <v>45</v>
      </c>
      <c r="G1206" t="s">
        <v>21</v>
      </c>
      <c r="H1206" t="s">
        <v>27</v>
      </c>
      <c r="I1206">
        <v>1</v>
      </c>
      <c r="J1206">
        <v>814.04</v>
      </c>
      <c r="K1206">
        <v>25</v>
      </c>
      <c r="L1206">
        <v>346</v>
      </c>
      <c r="M1206">
        <v>272.41000000000003</v>
      </c>
      <c r="N1206" t="s">
        <v>23</v>
      </c>
      <c r="O1206">
        <v>1</v>
      </c>
      <c r="P1206">
        <v>814.04</v>
      </c>
      <c r="Q1206">
        <v>839.04</v>
      </c>
      <c r="R1206" t="s">
        <v>2054</v>
      </c>
    </row>
    <row r="1207" spans="1:18" x14ac:dyDescent="0.25">
      <c r="A1207" t="s">
        <v>1258</v>
      </c>
      <c r="B1207" s="1">
        <v>45616</v>
      </c>
      <c r="C1207" s="1">
        <v>45621</v>
      </c>
      <c r="D1207" t="s">
        <v>75</v>
      </c>
      <c r="E1207" t="s">
        <v>44</v>
      </c>
      <c r="F1207" t="s">
        <v>45</v>
      </c>
      <c r="G1207" t="s">
        <v>21</v>
      </c>
      <c r="H1207" t="s">
        <v>32</v>
      </c>
      <c r="I1207">
        <v>2</v>
      </c>
      <c r="J1207">
        <v>511.19</v>
      </c>
      <c r="K1207">
        <v>25</v>
      </c>
      <c r="L1207">
        <v>184</v>
      </c>
      <c r="M1207">
        <v>345.33</v>
      </c>
      <c r="N1207" t="s">
        <v>23</v>
      </c>
      <c r="O1207">
        <v>5</v>
      </c>
      <c r="P1207">
        <v>1022.38</v>
      </c>
      <c r="Q1207">
        <v>1047.3800000000001</v>
      </c>
      <c r="R1207" t="s">
        <v>2054</v>
      </c>
    </row>
    <row r="1208" spans="1:18" x14ac:dyDescent="0.25">
      <c r="A1208" t="s">
        <v>1259</v>
      </c>
      <c r="B1208" s="1">
        <v>45616</v>
      </c>
      <c r="C1208" s="1">
        <v>45621</v>
      </c>
      <c r="D1208" t="s">
        <v>56</v>
      </c>
      <c r="E1208" t="s">
        <v>38</v>
      </c>
      <c r="F1208" t="s">
        <v>39</v>
      </c>
      <c r="G1208" t="s">
        <v>21</v>
      </c>
      <c r="H1208" t="s">
        <v>27</v>
      </c>
      <c r="I1208">
        <v>2</v>
      </c>
      <c r="J1208">
        <v>152.18</v>
      </c>
      <c r="K1208">
        <v>75</v>
      </c>
      <c r="L1208">
        <v>100</v>
      </c>
      <c r="M1208">
        <v>23.37</v>
      </c>
      <c r="N1208" t="s">
        <v>23</v>
      </c>
      <c r="O1208">
        <v>5</v>
      </c>
      <c r="P1208">
        <v>304.36</v>
      </c>
      <c r="Q1208">
        <v>379.36</v>
      </c>
      <c r="R1208" t="s">
        <v>2054</v>
      </c>
    </row>
    <row r="1209" spans="1:18" x14ac:dyDescent="0.25">
      <c r="A1209" t="s">
        <v>1260</v>
      </c>
      <c r="B1209" s="1">
        <v>45616</v>
      </c>
      <c r="C1209" s="1">
        <v>45617</v>
      </c>
      <c r="D1209" t="s">
        <v>82</v>
      </c>
      <c r="E1209" t="s">
        <v>79</v>
      </c>
      <c r="F1209" t="s">
        <v>80</v>
      </c>
      <c r="G1209" t="s">
        <v>26</v>
      </c>
      <c r="H1209" t="s">
        <v>32</v>
      </c>
      <c r="I1209">
        <v>2</v>
      </c>
      <c r="J1209">
        <v>100.2</v>
      </c>
      <c r="K1209">
        <v>12</v>
      </c>
      <c r="L1209">
        <v>262</v>
      </c>
      <c r="M1209">
        <v>84.18</v>
      </c>
      <c r="N1209" t="s">
        <v>23</v>
      </c>
      <c r="O1209">
        <v>1</v>
      </c>
      <c r="P1209">
        <v>200.4</v>
      </c>
      <c r="Q1209">
        <v>212.4</v>
      </c>
      <c r="R1209" t="s">
        <v>2054</v>
      </c>
    </row>
    <row r="1210" spans="1:18" x14ac:dyDescent="0.25">
      <c r="A1210" t="s">
        <v>1261</v>
      </c>
      <c r="B1210" s="1">
        <v>45617</v>
      </c>
      <c r="C1210" s="1">
        <v>45618</v>
      </c>
      <c r="D1210" t="s">
        <v>34</v>
      </c>
      <c r="E1210" t="s">
        <v>30</v>
      </c>
      <c r="F1210" t="s">
        <v>31</v>
      </c>
      <c r="G1210" t="s">
        <v>35</v>
      </c>
      <c r="H1210" t="s">
        <v>40</v>
      </c>
      <c r="I1210">
        <v>1</v>
      </c>
      <c r="J1210">
        <v>33.200000000000003</v>
      </c>
      <c r="K1210">
        <v>18</v>
      </c>
      <c r="L1210">
        <v>98</v>
      </c>
      <c r="M1210">
        <v>4.28</v>
      </c>
      <c r="N1210" t="s">
        <v>23</v>
      </c>
      <c r="O1210">
        <v>1</v>
      </c>
      <c r="P1210">
        <v>33.200000000000003</v>
      </c>
      <c r="Q1210">
        <v>51.2</v>
      </c>
      <c r="R1210" t="s">
        <v>2054</v>
      </c>
    </row>
    <row r="1211" spans="1:18" x14ac:dyDescent="0.25">
      <c r="A1211" t="s">
        <v>1262</v>
      </c>
      <c r="B1211" s="1">
        <v>45617</v>
      </c>
      <c r="C1211" s="1">
        <v>45618</v>
      </c>
      <c r="D1211" t="s">
        <v>72</v>
      </c>
      <c r="E1211" t="s">
        <v>44</v>
      </c>
      <c r="F1211" t="s">
        <v>45</v>
      </c>
      <c r="G1211" t="s">
        <v>35</v>
      </c>
      <c r="H1211" t="s">
        <v>40</v>
      </c>
      <c r="I1211">
        <v>1</v>
      </c>
      <c r="J1211">
        <v>535.48</v>
      </c>
      <c r="K1211">
        <v>37.5</v>
      </c>
      <c r="L1211">
        <v>364</v>
      </c>
      <c r="M1211">
        <v>168.67</v>
      </c>
      <c r="N1211" t="s">
        <v>23</v>
      </c>
      <c r="O1211">
        <v>1</v>
      </c>
      <c r="P1211">
        <v>535.48</v>
      </c>
      <c r="Q1211">
        <v>572.98</v>
      </c>
      <c r="R1211" t="s">
        <v>2054</v>
      </c>
    </row>
    <row r="1212" spans="1:18" x14ac:dyDescent="0.25">
      <c r="A1212" t="s">
        <v>1263</v>
      </c>
      <c r="B1212" s="1">
        <v>45618</v>
      </c>
      <c r="C1212" s="1">
        <v>45632</v>
      </c>
      <c r="D1212" t="s">
        <v>82</v>
      </c>
      <c r="E1212" t="s">
        <v>79</v>
      </c>
      <c r="F1212" t="s">
        <v>80</v>
      </c>
      <c r="G1212" t="s">
        <v>35</v>
      </c>
      <c r="H1212" t="s">
        <v>40</v>
      </c>
      <c r="I1212">
        <v>4</v>
      </c>
      <c r="J1212">
        <v>24.28</v>
      </c>
      <c r="K1212">
        <v>18</v>
      </c>
      <c r="L1212">
        <v>313</v>
      </c>
      <c r="M1212">
        <v>34.700000000000003</v>
      </c>
      <c r="N1212" t="s">
        <v>47</v>
      </c>
      <c r="O1212">
        <v>14</v>
      </c>
      <c r="P1212">
        <v>97.12</v>
      </c>
      <c r="Q1212">
        <v>115.12</v>
      </c>
      <c r="R1212" t="s">
        <v>2054</v>
      </c>
    </row>
    <row r="1213" spans="1:18" x14ac:dyDescent="0.25">
      <c r="A1213" t="s">
        <v>1264</v>
      </c>
      <c r="B1213" s="1">
        <v>45619</v>
      </c>
      <c r="C1213" s="1">
        <v>45626</v>
      </c>
      <c r="D1213" t="s">
        <v>72</v>
      </c>
      <c r="E1213" t="s">
        <v>44</v>
      </c>
      <c r="F1213" t="s">
        <v>45</v>
      </c>
      <c r="G1213" t="s">
        <v>35</v>
      </c>
      <c r="H1213" t="s">
        <v>32</v>
      </c>
      <c r="I1213">
        <v>1</v>
      </c>
      <c r="J1213">
        <v>1127.26</v>
      </c>
      <c r="K1213">
        <v>25</v>
      </c>
      <c r="L1213">
        <v>25</v>
      </c>
      <c r="M1213">
        <v>382.04</v>
      </c>
      <c r="N1213" t="s">
        <v>63</v>
      </c>
      <c r="O1213">
        <v>7</v>
      </c>
      <c r="P1213">
        <v>1127.26</v>
      </c>
      <c r="Q1213">
        <v>1152.26</v>
      </c>
      <c r="R1213" t="s">
        <v>2055</v>
      </c>
    </row>
    <row r="1214" spans="1:18" x14ac:dyDescent="0.25">
      <c r="A1214" t="s">
        <v>1265</v>
      </c>
      <c r="B1214" s="1">
        <v>45619</v>
      </c>
      <c r="C1214" s="1">
        <v>45620</v>
      </c>
      <c r="D1214" t="s">
        <v>75</v>
      </c>
      <c r="E1214" t="s">
        <v>44</v>
      </c>
      <c r="F1214" t="s">
        <v>45</v>
      </c>
      <c r="G1214" t="s">
        <v>26</v>
      </c>
      <c r="H1214" t="s">
        <v>27</v>
      </c>
      <c r="I1214">
        <v>1</v>
      </c>
      <c r="J1214">
        <v>412.62</v>
      </c>
      <c r="K1214">
        <v>25</v>
      </c>
      <c r="L1214">
        <v>243</v>
      </c>
      <c r="M1214">
        <v>131.91999999999999</v>
      </c>
      <c r="N1214" t="s">
        <v>23</v>
      </c>
      <c r="O1214">
        <v>1</v>
      </c>
      <c r="P1214">
        <v>412.62</v>
      </c>
      <c r="Q1214">
        <v>437.62</v>
      </c>
      <c r="R1214" t="s">
        <v>2054</v>
      </c>
    </row>
    <row r="1215" spans="1:18" x14ac:dyDescent="0.25">
      <c r="A1215" t="s">
        <v>1266</v>
      </c>
      <c r="B1215" s="1">
        <v>45619</v>
      </c>
      <c r="C1215" s="1">
        <v>45629</v>
      </c>
      <c r="D1215" t="s">
        <v>52</v>
      </c>
      <c r="E1215" t="s">
        <v>30</v>
      </c>
      <c r="F1215" t="s">
        <v>31</v>
      </c>
      <c r="G1215" t="s">
        <v>35</v>
      </c>
      <c r="H1215" t="s">
        <v>40</v>
      </c>
      <c r="I1215">
        <v>1</v>
      </c>
      <c r="J1215">
        <v>58.93</v>
      </c>
      <c r="K1215">
        <v>18</v>
      </c>
      <c r="L1215">
        <v>93</v>
      </c>
      <c r="M1215">
        <v>14.57</v>
      </c>
      <c r="N1215" t="s">
        <v>63</v>
      </c>
      <c r="O1215">
        <v>10</v>
      </c>
      <c r="P1215">
        <v>58.93</v>
      </c>
      <c r="Q1215">
        <v>76.930000000000007</v>
      </c>
      <c r="R1215" t="s">
        <v>2054</v>
      </c>
    </row>
    <row r="1216" spans="1:18" x14ac:dyDescent="0.25">
      <c r="A1216" t="s">
        <v>1267</v>
      </c>
      <c r="B1216" s="1">
        <v>45621</v>
      </c>
      <c r="C1216" s="1">
        <v>45633</v>
      </c>
      <c r="D1216" t="s">
        <v>52</v>
      </c>
      <c r="E1216" t="s">
        <v>30</v>
      </c>
      <c r="F1216" t="s">
        <v>31</v>
      </c>
      <c r="G1216" t="s">
        <v>35</v>
      </c>
      <c r="H1216" t="s">
        <v>40</v>
      </c>
      <c r="I1216">
        <v>2</v>
      </c>
      <c r="J1216">
        <v>99.38</v>
      </c>
      <c r="K1216">
        <v>18</v>
      </c>
      <c r="L1216">
        <v>114</v>
      </c>
      <c r="M1216">
        <v>70.510000000000005</v>
      </c>
      <c r="N1216" t="s">
        <v>47</v>
      </c>
      <c r="O1216">
        <v>12</v>
      </c>
      <c r="P1216">
        <v>198.76</v>
      </c>
      <c r="Q1216">
        <v>216.76</v>
      </c>
      <c r="R1216" t="s">
        <v>2054</v>
      </c>
    </row>
    <row r="1217" spans="1:18" x14ac:dyDescent="0.25">
      <c r="A1217" t="s">
        <v>1268</v>
      </c>
      <c r="B1217" s="1">
        <v>45623</v>
      </c>
      <c r="C1217" s="1">
        <v>45626</v>
      </c>
      <c r="D1217" t="s">
        <v>37</v>
      </c>
      <c r="E1217" t="s">
        <v>38</v>
      </c>
      <c r="F1217" t="s">
        <v>39</v>
      </c>
      <c r="G1217" t="s">
        <v>21</v>
      </c>
      <c r="H1217" t="s">
        <v>27</v>
      </c>
      <c r="I1217">
        <v>2</v>
      </c>
      <c r="J1217">
        <v>477.99</v>
      </c>
      <c r="K1217">
        <v>75</v>
      </c>
      <c r="L1217">
        <v>162</v>
      </c>
      <c r="M1217">
        <v>153.69</v>
      </c>
      <c r="N1217" t="s">
        <v>23</v>
      </c>
      <c r="O1217">
        <v>3</v>
      </c>
      <c r="P1217">
        <v>955.98</v>
      </c>
      <c r="Q1217">
        <v>1030.98</v>
      </c>
      <c r="R1217" t="s">
        <v>2054</v>
      </c>
    </row>
    <row r="1218" spans="1:18" x14ac:dyDescent="0.25">
      <c r="A1218" t="s">
        <v>1269</v>
      </c>
      <c r="B1218" s="1">
        <v>45623</v>
      </c>
      <c r="C1218" s="1">
        <v>45626</v>
      </c>
      <c r="D1218" t="s">
        <v>72</v>
      </c>
      <c r="E1218" t="s">
        <v>44</v>
      </c>
      <c r="F1218" t="s">
        <v>45</v>
      </c>
      <c r="G1218" t="s">
        <v>26</v>
      </c>
      <c r="H1218" t="s">
        <v>22</v>
      </c>
      <c r="I1218">
        <v>2</v>
      </c>
      <c r="J1218">
        <v>965.11</v>
      </c>
      <c r="K1218">
        <v>25</v>
      </c>
      <c r="L1218">
        <v>177</v>
      </c>
      <c r="M1218">
        <v>663.08</v>
      </c>
      <c r="N1218" t="s">
        <v>23</v>
      </c>
      <c r="O1218">
        <v>3</v>
      </c>
      <c r="P1218">
        <v>1930.22</v>
      </c>
      <c r="Q1218">
        <v>1955.22</v>
      </c>
      <c r="R1218" t="s">
        <v>2054</v>
      </c>
    </row>
    <row r="1219" spans="1:18" x14ac:dyDescent="0.25">
      <c r="A1219" t="s">
        <v>1270</v>
      </c>
      <c r="B1219" s="1">
        <v>45624</v>
      </c>
      <c r="C1219" s="1">
        <v>45625</v>
      </c>
      <c r="D1219" t="s">
        <v>82</v>
      </c>
      <c r="E1219" t="s">
        <v>79</v>
      </c>
      <c r="F1219" t="s">
        <v>80</v>
      </c>
      <c r="G1219" t="s">
        <v>21</v>
      </c>
      <c r="H1219" t="s">
        <v>22</v>
      </c>
      <c r="I1219">
        <v>2</v>
      </c>
      <c r="J1219">
        <v>135.6</v>
      </c>
      <c r="K1219">
        <v>12</v>
      </c>
      <c r="L1219">
        <v>237</v>
      </c>
      <c r="M1219">
        <v>116.04</v>
      </c>
      <c r="N1219" t="s">
        <v>23</v>
      </c>
      <c r="O1219">
        <v>1</v>
      </c>
      <c r="P1219">
        <v>271.2</v>
      </c>
      <c r="Q1219">
        <v>283.2</v>
      </c>
      <c r="R1219" t="s">
        <v>2054</v>
      </c>
    </row>
    <row r="1220" spans="1:18" x14ac:dyDescent="0.25">
      <c r="A1220" t="s">
        <v>1271</v>
      </c>
      <c r="B1220" s="1">
        <v>45624</v>
      </c>
      <c r="C1220" s="1">
        <v>45627</v>
      </c>
      <c r="D1220" t="s">
        <v>52</v>
      </c>
      <c r="E1220" t="s">
        <v>30</v>
      </c>
      <c r="F1220" t="s">
        <v>31</v>
      </c>
      <c r="G1220" t="s">
        <v>21</v>
      </c>
      <c r="H1220" t="s">
        <v>22</v>
      </c>
      <c r="I1220">
        <v>3</v>
      </c>
      <c r="J1220">
        <v>96.64</v>
      </c>
      <c r="K1220">
        <v>12</v>
      </c>
      <c r="L1220">
        <v>373</v>
      </c>
      <c r="M1220">
        <v>109.96</v>
      </c>
      <c r="N1220" t="s">
        <v>23</v>
      </c>
      <c r="O1220">
        <v>3</v>
      </c>
      <c r="P1220">
        <v>289.92</v>
      </c>
      <c r="Q1220">
        <v>301.92</v>
      </c>
      <c r="R1220" t="s">
        <v>2054</v>
      </c>
    </row>
    <row r="1221" spans="1:18" x14ac:dyDescent="0.25">
      <c r="A1221" t="s">
        <v>1272</v>
      </c>
      <c r="B1221" s="1">
        <v>45625</v>
      </c>
      <c r="C1221" s="1">
        <v>45630</v>
      </c>
      <c r="D1221" t="s">
        <v>29</v>
      </c>
      <c r="E1221" t="s">
        <v>30</v>
      </c>
      <c r="F1221" t="s">
        <v>31</v>
      </c>
      <c r="G1221" t="s">
        <v>21</v>
      </c>
      <c r="H1221" t="s">
        <v>32</v>
      </c>
      <c r="I1221">
        <v>2</v>
      </c>
      <c r="J1221">
        <v>22.23</v>
      </c>
      <c r="K1221">
        <v>12</v>
      </c>
      <c r="L1221">
        <v>321</v>
      </c>
      <c r="M1221">
        <v>11.78</v>
      </c>
      <c r="N1221" t="s">
        <v>23</v>
      </c>
      <c r="O1221">
        <v>5</v>
      </c>
      <c r="P1221">
        <v>44.46</v>
      </c>
      <c r="Q1221">
        <v>56.46</v>
      </c>
      <c r="R1221" t="s">
        <v>2054</v>
      </c>
    </row>
    <row r="1222" spans="1:18" x14ac:dyDescent="0.25">
      <c r="A1222" t="s">
        <v>1273</v>
      </c>
      <c r="B1222" s="1">
        <v>45625</v>
      </c>
      <c r="C1222" s="1">
        <v>45634</v>
      </c>
      <c r="D1222" t="s">
        <v>34</v>
      </c>
      <c r="E1222" t="s">
        <v>30</v>
      </c>
      <c r="F1222" t="s">
        <v>31</v>
      </c>
      <c r="G1222" t="s">
        <v>35</v>
      </c>
      <c r="H1222" t="s">
        <v>40</v>
      </c>
      <c r="I1222">
        <v>2</v>
      </c>
      <c r="J1222">
        <v>21.08</v>
      </c>
      <c r="K1222">
        <v>18</v>
      </c>
      <c r="L1222">
        <v>21</v>
      </c>
      <c r="M1222">
        <v>7.86</v>
      </c>
      <c r="N1222" t="s">
        <v>63</v>
      </c>
      <c r="O1222">
        <v>9</v>
      </c>
      <c r="P1222">
        <v>42.16</v>
      </c>
      <c r="Q1222">
        <v>60.16</v>
      </c>
      <c r="R1222" t="s">
        <v>2055</v>
      </c>
    </row>
    <row r="1223" spans="1:18" x14ac:dyDescent="0.25">
      <c r="A1223" t="s">
        <v>1274</v>
      </c>
      <c r="B1223" s="1">
        <v>45625</v>
      </c>
      <c r="C1223" s="1">
        <v>45628</v>
      </c>
      <c r="D1223" t="s">
        <v>75</v>
      </c>
      <c r="E1223" t="s">
        <v>44</v>
      </c>
      <c r="F1223" t="s">
        <v>45</v>
      </c>
      <c r="G1223" t="s">
        <v>21</v>
      </c>
      <c r="H1223" t="s">
        <v>32</v>
      </c>
      <c r="I1223">
        <v>3</v>
      </c>
      <c r="J1223">
        <v>812.98</v>
      </c>
      <c r="K1223">
        <v>25</v>
      </c>
      <c r="L1223">
        <v>372</v>
      </c>
      <c r="M1223">
        <v>841.13</v>
      </c>
      <c r="N1223" t="s">
        <v>23</v>
      </c>
      <c r="O1223">
        <v>3</v>
      </c>
      <c r="P1223">
        <v>2438.94</v>
      </c>
      <c r="Q1223">
        <v>2463.94</v>
      </c>
      <c r="R1223" t="s">
        <v>2054</v>
      </c>
    </row>
    <row r="1224" spans="1:18" x14ac:dyDescent="0.25">
      <c r="A1224" t="s">
        <v>1275</v>
      </c>
      <c r="B1224" s="1">
        <v>45626</v>
      </c>
      <c r="C1224" s="1">
        <v>45629</v>
      </c>
      <c r="D1224" t="s">
        <v>50</v>
      </c>
      <c r="E1224" t="s">
        <v>44</v>
      </c>
      <c r="F1224" t="s">
        <v>45</v>
      </c>
      <c r="G1224" t="s">
        <v>35</v>
      </c>
      <c r="H1224" t="s">
        <v>40</v>
      </c>
      <c r="I1224">
        <v>1</v>
      </c>
      <c r="J1224">
        <v>400.02</v>
      </c>
      <c r="K1224">
        <v>37.5</v>
      </c>
      <c r="L1224">
        <v>344</v>
      </c>
      <c r="M1224">
        <v>121.26</v>
      </c>
      <c r="N1224" t="s">
        <v>23</v>
      </c>
      <c r="O1224">
        <v>3</v>
      </c>
      <c r="P1224">
        <v>400.02</v>
      </c>
      <c r="Q1224">
        <v>437.52</v>
      </c>
      <c r="R1224" t="s">
        <v>2054</v>
      </c>
    </row>
    <row r="1225" spans="1:18" x14ac:dyDescent="0.25">
      <c r="A1225" t="s">
        <v>1276</v>
      </c>
      <c r="B1225" s="1">
        <v>45626</v>
      </c>
      <c r="C1225" s="1">
        <v>45629</v>
      </c>
      <c r="D1225" t="s">
        <v>78</v>
      </c>
      <c r="E1225" t="s">
        <v>79</v>
      </c>
      <c r="F1225" t="s">
        <v>80</v>
      </c>
      <c r="G1225" t="s">
        <v>35</v>
      </c>
      <c r="H1225" t="s">
        <v>40</v>
      </c>
      <c r="I1225">
        <v>1</v>
      </c>
      <c r="J1225">
        <v>122.69</v>
      </c>
      <c r="K1225">
        <v>18</v>
      </c>
      <c r="L1225">
        <v>261</v>
      </c>
      <c r="M1225">
        <v>46.21</v>
      </c>
      <c r="N1225" t="s">
        <v>23</v>
      </c>
      <c r="O1225">
        <v>3</v>
      </c>
      <c r="P1225">
        <v>122.69</v>
      </c>
      <c r="Q1225">
        <v>140.69</v>
      </c>
      <c r="R1225" t="s">
        <v>2054</v>
      </c>
    </row>
    <row r="1226" spans="1:18" x14ac:dyDescent="0.25">
      <c r="A1226" t="s">
        <v>1277</v>
      </c>
      <c r="B1226" s="1">
        <v>45626</v>
      </c>
      <c r="C1226" s="1">
        <v>45636</v>
      </c>
      <c r="D1226" t="s">
        <v>54</v>
      </c>
      <c r="E1226" t="s">
        <v>38</v>
      </c>
      <c r="F1226" t="s">
        <v>39</v>
      </c>
      <c r="G1226" t="s">
        <v>35</v>
      </c>
      <c r="H1226" t="s">
        <v>40</v>
      </c>
      <c r="I1226">
        <v>2</v>
      </c>
      <c r="J1226">
        <v>424.46</v>
      </c>
      <c r="K1226">
        <v>112.5</v>
      </c>
      <c r="L1226">
        <v>237</v>
      </c>
      <c r="M1226">
        <v>113.54</v>
      </c>
      <c r="N1226" t="s">
        <v>63</v>
      </c>
      <c r="O1226">
        <v>10</v>
      </c>
      <c r="P1226">
        <v>848.92</v>
      </c>
      <c r="Q1226">
        <v>961.42</v>
      </c>
      <c r="R1226" t="s">
        <v>2054</v>
      </c>
    </row>
    <row r="1227" spans="1:18" x14ac:dyDescent="0.25">
      <c r="A1227" t="s">
        <v>1278</v>
      </c>
      <c r="B1227" s="1">
        <v>45626</v>
      </c>
      <c r="C1227" s="1">
        <v>45629</v>
      </c>
      <c r="D1227" t="s">
        <v>43</v>
      </c>
      <c r="E1227" t="s">
        <v>44</v>
      </c>
      <c r="F1227" t="s">
        <v>45</v>
      </c>
      <c r="G1227" t="s">
        <v>26</v>
      </c>
      <c r="H1227" t="s">
        <v>27</v>
      </c>
      <c r="I1227">
        <v>1</v>
      </c>
      <c r="J1227">
        <v>1030.58</v>
      </c>
      <c r="K1227">
        <v>25</v>
      </c>
      <c r="L1227">
        <v>338</v>
      </c>
      <c r="M1227">
        <v>348.2</v>
      </c>
      <c r="N1227" t="s">
        <v>23</v>
      </c>
      <c r="O1227">
        <v>3</v>
      </c>
      <c r="P1227">
        <v>1030.58</v>
      </c>
      <c r="Q1227">
        <v>1055.58</v>
      </c>
      <c r="R1227" t="s">
        <v>2054</v>
      </c>
    </row>
    <row r="1228" spans="1:18" x14ac:dyDescent="0.25">
      <c r="A1228" t="s">
        <v>1279</v>
      </c>
      <c r="B1228" s="1">
        <v>45626</v>
      </c>
      <c r="C1228" s="1">
        <v>45630</v>
      </c>
      <c r="D1228" t="s">
        <v>72</v>
      </c>
      <c r="E1228" t="s">
        <v>44</v>
      </c>
      <c r="F1228" t="s">
        <v>45</v>
      </c>
      <c r="G1228" t="s">
        <v>21</v>
      </c>
      <c r="H1228" t="s">
        <v>22</v>
      </c>
      <c r="I1228">
        <v>1</v>
      </c>
      <c r="J1228">
        <v>484.8</v>
      </c>
      <c r="K1228">
        <v>25</v>
      </c>
      <c r="L1228">
        <v>209</v>
      </c>
      <c r="M1228">
        <v>157.18</v>
      </c>
      <c r="N1228" t="s">
        <v>23</v>
      </c>
      <c r="O1228">
        <v>4</v>
      </c>
      <c r="P1228">
        <v>484.8</v>
      </c>
      <c r="Q1228">
        <v>509.8</v>
      </c>
      <c r="R1228" t="s">
        <v>2054</v>
      </c>
    </row>
    <row r="1229" spans="1:18" x14ac:dyDescent="0.25">
      <c r="A1229" t="s">
        <v>1280</v>
      </c>
      <c r="B1229" s="1">
        <v>45626</v>
      </c>
      <c r="C1229" s="1">
        <v>45627</v>
      </c>
      <c r="D1229" t="s">
        <v>58</v>
      </c>
      <c r="E1229" t="s">
        <v>19</v>
      </c>
      <c r="F1229" t="s">
        <v>20</v>
      </c>
      <c r="G1229" t="s">
        <v>26</v>
      </c>
      <c r="H1229" t="s">
        <v>22</v>
      </c>
      <c r="I1229">
        <v>13</v>
      </c>
      <c r="J1229">
        <v>39.92</v>
      </c>
      <c r="K1229">
        <v>8</v>
      </c>
      <c r="L1229">
        <v>235</v>
      </c>
      <c r="M1229">
        <v>37.520000000000003</v>
      </c>
      <c r="N1229" t="s">
        <v>23</v>
      </c>
      <c r="O1229">
        <v>1</v>
      </c>
      <c r="P1229">
        <v>518.96</v>
      </c>
      <c r="Q1229">
        <v>526.96</v>
      </c>
      <c r="R1229" t="s">
        <v>2054</v>
      </c>
    </row>
    <row r="1230" spans="1:18" x14ac:dyDescent="0.25">
      <c r="A1230" t="s">
        <v>1281</v>
      </c>
      <c r="B1230" s="1">
        <v>45626</v>
      </c>
      <c r="C1230" s="1">
        <v>45631</v>
      </c>
      <c r="D1230" t="s">
        <v>43</v>
      </c>
      <c r="E1230" t="s">
        <v>44</v>
      </c>
      <c r="F1230" t="s">
        <v>45</v>
      </c>
      <c r="G1230" t="s">
        <v>21</v>
      </c>
      <c r="H1230" t="s">
        <v>32</v>
      </c>
      <c r="I1230">
        <v>1</v>
      </c>
      <c r="J1230">
        <v>1160.74</v>
      </c>
      <c r="K1230">
        <v>25</v>
      </c>
      <c r="L1230">
        <v>218</v>
      </c>
      <c r="M1230">
        <v>393.76</v>
      </c>
      <c r="N1230" t="s">
        <v>23</v>
      </c>
      <c r="O1230">
        <v>5</v>
      </c>
      <c r="P1230">
        <v>1160.74</v>
      </c>
      <c r="Q1230">
        <v>1185.74</v>
      </c>
      <c r="R1230" t="s">
        <v>2054</v>
      </c>
    </row>
    <row r="1231" spans="1:18" x14ac:dyDescent="0.25">
      <c r="A1231" t="s">
        <v>1282</v>
      </c>
      <c r="B1231" s="1">
        <v>45628</v>
      </c>
      <c r="C1231" s="1">
        <v>45629</v>
      </c>
      <c r="D1231" t="s">
        <v>52</v>
      </c>
      <c r="E1231" t="s">
        <v>30</v>
      </c>
      <c r="F1231" t="s">
        <v>31</v>
      </c>
      <c r="G1231" t="s">
        <v>21</v>
      </c>
      <c r="H1231" t="s">
        <v>27</v>
      </c>
      <c r="I1231">
        <v>5</v>
      </c>
      <c r="J1231">
        <v>53.88</v>
      </c>
      <c r="K1231">
        <v>12</v>
      </c>
      <c r="L1231">
        <v>138</v>
      </c>
      <c r="M1231">
        <v>101.76</v>
      </c>
      <c r="N1231" t="s">
        <v>23</v>
      </c>
      <c r="O1231">
        <v>1</v>
      </c>
      <c r="P1231">
        <v>269.40000000000003</v>
      </c>
      <c r="Q1231">
        <v>281.40000000000003</v>
      </c>
      <c r="R1231" t="s">
        <v>2054</v>
      </c>
    </row>
    <row r="1232" spans="1:18" x14ac:dyDescent="0.25">
      <c r="A1232" t="s">
        <v>1283</v>
      </c>
      <c r="B1232" s="1">
        <v>45629</v>
      </c>
      <c r="C1232" s="1">
        <v>45634</v>
      </c>
      <c r="D1232" t="s">
        <v>37</v>
      </c>
      <c r="E1232" t="s">
        <v>38</v>
      </c>
      <c r="F1232" t="s">
        <v>39</v>
      </c>
      <c r="G1232" t="s">
        <v>26</v>
      </c>
      <c r="H1232" t="s">
        <v>22</v>
      </c>
      <c r="I1232">
        <v>1</v>
      </c>
      <c r="J1232">
        <v>117.42</v>
      </c>
      <c r="K1232">
        <v>75</v>
      </c>
      <c r="L1232">
        <v>58</v>
      </c>
      <c r="M1232">
        <v>-14.02</v>
      </c>
      <c r="N1232" t="s">
        <v>23</v>
      </c>
      <c r="O1232">
        <v>5</v>
      </c>
      <c r="P1232">
        <v>117.42</v>
      </c>
      <c r="Q1232">
        <v>192.42000000000002</v>
      </c>
      <c r="R1232" t="s">
        <v>2054</v>
      </c>
    </row>
    <row r="1233" spans="1:18" x14ac:dyDescent="0.25">
      <c r="A1233" t="s">
        <v>1284</v>
      </c>
      <c r="B1233" s="1">
        <v>45629</v>
      </c>
      <c r="C1233" s="1">
        <v>45631</v>
      </c>
      <c r="D1233" t="s">
        <v>50</v>
      </c>
      <c r="E1233" t="s">
        <v>44</v>
      </c>
      <c r="F1233" t="s">
        <v>45</v>
      </c>
      <c r="G1233" t="s">
        <v>35</v>
      </c>
      <c r="H1233" t="s">
        <v>27</v>
      </c>
      <c r="I1233">
        <v>1</v>
      </c>
      <c r="J1233">
        <v>600.75</v>
      </c>
      <c r="K1233">
        <v>25</v>
      </c>
      <c r="L1233">
        <v>318</v>
      </c>
      <c r="M1233">
        <v>197.76</v>
      </c>
      <c r="N1233" t="s">
        <v>23</v>
      </c>
      <c r="O1233">
        <v>2</v>
      </c>
      <c r="P1233">
        <v>600.75</v>
      </c>
      <c r="Q1233">
        <v>625.75</v>
      </c>
      <c r="R1233" t="s">
        <v>2054</v>
      </c>
    </row>
    <row r="1234" spans="1:18" x14ac:dyDescent="0.25">
      <c r="A1234" t="s">
        <v>1285</v>
      </c>
      <c r="B1234" s="1">
        <v>45630</v>
      </c>
      <c r="C1234" s="1">
        <v>45631</v>
      </c>
      <c r="D1234" t="s">
        <v>18</v>
      </c>
      <c r="E1234" t="s">
        <v>19</v>
      </c>
      <c r="F1234" t="s">
        <v>20</v>
      </c>
      <c r="G1234" t="s">
        <v>21</v>
      </c>
      <c r="H1234" t="s">
        <v>22</v>
      </c>
      <c r="I1234">
        <v>13</v>
      </c>
      <c r="J1234">
        <v>27.38</v>
      </c>
      <c r="K1234">
        <v>8</v>
      </c>
      <c r="L1234">
        <v>313</v>
      </c>
      <c r="M1234">
        <v>24.47</v>
      </c>
      <c r="N1234" t="s">
        <v>23</v>
      </c>
      <c r="O1234">
        <v>1</v>
      </c>
      <c r="P1234">
        <v>355.94</v>
      </c>
      <c r="Q1234">
        <v>363.94</v>
      </c>
      <c r="R1234" t="s">
        <v>2054</v>
      </c>
    </row>
    <row r="1235" spans="1:18" x14ac:dyDescent="0.25">
      <c r="A1235" t="s">
        <v>1286</v>
      </c>
      <c r="B1235" s="1">
        <v>45630</v>
      </c>
      <c r="C1235" s="1">
        <v>45632</v>
      </c>
      <c r="D1235" t="s">
        <v>34</v>
      </c>
      <c r="E1235" t="s">
        <v>30</v>
      </c>
      <c r="F1235" t="s">
        <v>31</v>
      </c>
      <c r="G1235" t="s">
        <v>26</v>
      </c>
      <c r="H1235" t="s">
        <v>27</v>
      </c>
      <c r="I1235">
        <v>2</v>
      </c>
      <c r="J1235">
        <v>131.63999999999999</v>
      </c>
      <c r="K1235">
        <v>12</v>
      </c>
      <c r="L1235">
        <v>264</v>
      </c>
      <c r="M1235">
        <v>99.31</v>
      </c>
      <c r="N1235" t="s">
        <v>23</v>
      </c>
      <c r="O1235">
        <v>2</v>
      </c>
      <c r="P1235">
        <v>263.27999999999997</v>
      </c>
      <c r="Q1235">
        <v>275.27999999999997</v>
      </c>
      <c r="R1235" t="s">
        <v>2054</v>
      </c>
    </row>
    <row r="1236" spans="1:18" x14ac:dyDescent="0.25">
      <c r="A1236" t="s">
        <v>1287</v>
      </c>
      <c r="B1236" s="1">
        <v>45630</v>
      </c>
      <c r="C1236" s="1">
        <v>45640</v>
      </c>
      <c r="D1236" t="s">
        <v>72</v>
      </c>
      <c r="E1236" t="s">
        <v>44</v>
      </c>
      <c r="F1236" t="s">
        <v>45</v>
      </c>
      <c r="G1236" t="s">
        <v>35</v>
      </c>
      <c r="H1236" t="s">
        <v>40</v>
      </c>
      <c r="I1236">
        <v>2</v>
      </c>
      <c r="J1236">
        <v>531.69000000000005</v>
      </c>
      <c r="K1236">
        <v>37.5</v>
      </c>
      <c r="L1236">
        <v>248</v>
      </c>
      <c r="M1236">
        <v>353.43</v>
      </c>
      <c r="N1236" t="s">
        <v>63</v>
      </c>
      <c r="O1236">
        <v>10</v>
      </c>
      <c r="P1236">
        <v>1063.3800000000001</v>
      </c>
      <c r="Q1236">
        <v>1100.8800000000001</v>
      </c>
      <c r="R1236" t="s">
        <v>2054</v>
      </c>
    </row>
    <row r="1237" spans="1:18" x14ac:dyDescent="0.25">
      <c r="A1237" t="s">
        <v>1288</v>
      </c>
      <c r="B1237" s="1">
        <v>45631</v>
      </c>
      <c r="C1237" s="1">
        <v>45635</v>
      </c>
      <c r="D1237" t="s">
        <v>118</v>
      </c>
      <c r="E1237" t="s">
        <v>79</v>
      </c>
      <c r="F1237" t="s">
        <v>80</v>
      </c>
      <c r="G1237" t="s">
        <v>35</v>
      </c>
      <c r="H1237" t="s">
        <v>40</v>
      </c>
      <c r="I1237">
        <v>4</v>
      </c>
      <c r="J1237">
        <v>94.97</v>
      </c>
      <c r="K1237">
        <v>18</v>
      </c>
      <c r="L1237">
        <v>197</v>
      </c>
      <c r="M1237">
        <v>161.94</v>
      </c>
      <c r="N1237" t="s">
        <v>23</v>
      </c>
      <c r="O1237">
        <v>4</v>
      </c>
      <c r="P1237">
        <v>379.88</v>
      </c>
      <c r="Q1237">
        <v>397.88</v>
      </c>
      <c r="R1237" t="s">
        <v>2054</v>
      </c>
    </row>
    <row r="1238" spans="1:18" x14ac:dyDescent="0.25">
      <c r="A1238" t="s">
        <v>1289</v>
      </c>
      <c r="B1238" s="1">
        <v>45631</v>
      </c>
      <c r="C1238" s="1">
        <v>45642</v>
      </c>
      <c r="D1238" t="s">
        <v>58</v>
      </c>
      <c r="E1238" t="s">
        <v>19</v>
      </c>
      <c r="F1238" t="s">
        <v>20</v>
      </c>
      <c r="G1238" t="s">
        <v>35</v>
      </c>
      <c r="H1238" t="s">
        <v>40</v>
      </c>
      <c r="I1238">
        <v>5</v>
      </c>
      <c r="J1238">
        <v>15.99</v>
      </c>
      <c r="K1238">
        <v>12</v>
      </c>
      <c r="L1238">
        <v>150</v>
      </c>
      <c r="M1238">
        <v>0.39</v>
      </c>
      <c r="N1238" t="s">
        <v>47</v>
      </c>
      <c r="O1238">
        <v>11</v>
      </c>
      <c r="P1238">
        <v>79.95</v>
      </c>
      <c r="Q1238">
        <v>91.95</v>
      </c>
      <c r="R1238" t="s">
        <v>2054</v>
      </c>
    </row>
    <row r="1239" spans="1:18" x14ac:dyDescent="0.25">
      <c r="A1239" t="s">
        <v>1290</v>
      </c>
      <c r="B1239" s="1">
        <v>45633</v>
      </c>
      <c r="C1239" s="1">
        <v>45637</v>
      </c>
      <c r="D1239" t="s">
        <v>25</v>
      </c>
      <c r="E1239" t="s">
        <v>19</v>
      </c>
      <c r="F1239" t="s">
        <v>20</v>
      </c>
      <c r="G1239" t="s">
        <v>26</v>
      </c>
      <c r="H1239" t="s">
        <v>27</v>
      </c>
      <c r="I1239">
        <v>14</v>
      </c>
      <c r="J1239">
        <v>27.28</v>
      </c>
      <c r="K1239">
        <v>8</v>
      </c>
      <c r="L1239">
        <v>3</v>
      </c>
      <c r="M1239">
        <v>26.56</v>
      </c>
      <c r="N1239" t="s">
        <v>23</v>
      </c>
      <c r="O1239">
        <v>4</v>
      </c>
      <c r="P1239">
        <v>381.92</v>
      </c>
      <c r="Q1239">
        <v>389.92</v>
      </c>
      <c r="R1239" t="s">
        <v>2056</v>
      </c>
    </row>
    <row r="1240" spans="1:18" x14ac:dyDescent="0.25">
      <c r="A1240" t="s">
        <v>1291</v>
      </c>
      <c r="B1240" s="1">
        <v>45634</v>
      </c>
      <c r="C1240" s="1">
        <v>45637</v>
      </c>
      <c r="D1240" t="s">
        <v>18</v>
      </c>
      <c r="E1240" t="s">
        <v>19</v>
      </c>
      <c r="F1240" t="s">
        <v>20</v>
      </c>
      <c r="G1240" t="s">
        <v>26</v>
      </c>
      <c r="H1240" t="s">
        <v>27</v>
      </c>
      <c r="I1240">
        <v>6</v>
      </c>
      <c r="J1240">
        <v>21.69</v>
      </c>
      <c r="K1240">
        <v>8</v>
      </c>
      <c r="L1240">
        <v>316</v>
      </c>
      <c r="M1240">
        <v>6.41</v>
      </c>
      <c r="N1240" t="s">
        <v>23</v>
      </c>
      <c r="O1240">
        <v>3</v>
      </c>
      <c r="P1240">
        <v>130.14000000000001</v>
      </c>
      <c r="Q1240">
        <v>138.14000000000001</v>
      </c>
      <c r="R1240" t="s">
        <v>2054</v>
      </c>
    </row>
    <row r="1241" spans="1:18" x14ac:dyDescent="0.25">
      <c r="A1241" t="s">
        <v>1292</v>
      </c>
      <c r="B1241" s="1">
        <v>45635</v>
      </c>
      <c r="C1241" s="1">
        <v>45639</v>
      </c>
      <c r="D1241" t="s">
        <v>54</v>
      </c>
      <c r="E1241" t="s">
        <v>38</v>
      </c>
      <c r="F1241" t="s">
        <v>39</v>
      </c>
      <c r="G1241" t="s">
        <v>35</v>
      </c>
      <c r="H1241" t="s">
        <v>40</v>
      </c>
      <c r="I1241">
        <v>2</v>
      </c>
      <c r="J1241">
        <v>255.19</v>
      </c>
      <c r="K1241">
        <v>112.5</v>
      </c>
      <c r="L1241">
        <v>311</v>
      </c>
      <c r="M1241">
        <v>45.83</v>
      </c>
      <c r="N1241" t="s">
        <v>23</v>
      </c>
      <c r="O1241">
        <v>4</v>
      </c>
      <c r="P1241">
        <v>510.38</v>
      </c>
      <c r="Q1241">
        <v>622.88</v>
      </c>
      <c r="R1241" t="s">
        <v>2054</v>
      </c>
    </row>
    <row r="1242" spans="1:18" x14ac:dyDescent="0.25">
      <c r="A1242" t="s">
        <v>1293</v>
      </c>
      <c r="B1242" s="1">
        <v>45635</v>
      </c>
      <c r="C1242" s="1">
        <v>45639</v>
      </c>
      <c r="D1242" t="s">
        <v>43</v>
      </c>
      <c r="E1242" t="s">
        <v>44</v>
      </c>
      <c r="F1242" t="s">
        <v>45</v>
      </c>
      <c r="G1242" t="s">
        <v>26</v>
      </c>
      <c r="H1242" t="s">
        <v>22</v>
      </c>
      <c r="I1242">
        <v>1</v>
      </c>
      <c r="J1242">
        <v>426.27</v>
      </c>
      <c r="K1242">
        <v>25</v>
      </c>
      <c r="L1242">
        <v>331</v>
      </c>
      <c r="M1242">
        <v>136.69</v>
      </c>
      <c r="N1242" t="s">
        <v>23</v>
      </c>
      <c r="O1242">
        <v>4</v>
      </c>
      <c r="P1242">
        <v>426.27</v>
      </c>
      <c r="Q1242">
        <v>451.27</v>
      </c>
      <c r="R1242" t="s">
        <v>2054</v>
      </c>
    </row>
    <row r="1243" spans="1:18" x14ac:dyDescent="0.25">
      <c r="A1243" t="s">
        <v>1294</v>
      </c>
      <c r="B1243" s="1">
        <v>45635</v>
      </c>
      <c r="C1243" s="1">
        <v>45640</v>
      </c>
      <c r="D1243" t="s">
        <v>25</v>
      </c>
      <c r="E1243" t="s">
        <v>19</v>
      </c>
      <c r="F1243" t="s">
        <v>20</v>
      </c>
      <c r="G1243" t="s">
        <v>35</v>
      </c>
      <c r="H1243" t="s">
        <v>40</v>
      </c>
      <c r="I1243">
        <v>13</v>
      </c>
      <c r="J1243">
        <v>21.97</v>
      </c>
      <c r="K1243">
        <v>12</v>
      </c>
      <c r="L1243">
        <v>223</v>
      </c>
      <c r="M1243">
        <v>16.84</v>
      </c>
      <c r="N1243" t="s">
        <v>23</v>
      </c>
      <c r="O1243">
        <v>5</v>
      </c>
      <c r="P1243">
        <v>285.61</v>
      </c>
      <c r="Q1243">
        <v>297.61</v>
      </c>
      <c r="R1243" t="s">
        <v>2054</v>
      </c>
    </row>
    <row r="1244" spans="1:18" x14ac:dyDescent="0.25">
      <c r="A1244" t="s">
        <v>1295</v>
      </c>
      <c r="B1244" s="1">
        <v>45636</v>
      </c>
      <c r="C1244" s="1">
        <v>45639</v>
      </c>
      <c r="D1244" t="s">
        <v>37</v>
      </c>
      <c r="E1244" t="s">
        <v>38</v>
      </c>
      <c r="F1244" t="s">
        <v>39</v>
      </c>
      <c r="G1244" t="s">
        <v>26</v>
      </c>
      <c r="H1244" t="s">
        <v>32</v>
      </c>
      <c r="I1244">
        <v>1</v>
      </c>
      <c r="J1244">
        <v>482.62</v>
      </c>
      <c r="K1244">
        <v>75</v>
      </c>
      <c r="L1244">
        <v>299</v>
      </c>
      <c r="M1244">
        <v>59.02</v>
      </c>
      <c r="N1244" t="s">
        <v>23</v>
      </c>
      <c r="O1244">
        <v>3</v>
      </c>
      <c r="P1244">
        <v>482.62</v>
      </c>
      <c r="Q1244">
        <v>557.62</v>
      </c>
      <c r="R1244" t="s">
        <v>2054</v>
      </c>
    </row>
    <row r="1245" spans="1:18" x14ac:dyDescent="0.25">
      <c r="A1245" t="s">
        <v>1296</v>
      </c>
      <c r="B1245" s="1">
        <v>45636</v>
      </c>
      <c r="C1245" s="1">
        <v>45640</v>
      </c>
      <c r="D1245" t="s">
        <v>78</v>
      </c>
      <c r="E1245" t="s">
        <v>79</v>
      </c>
      <c r="F1245" t="s">
        <v>80</v>
      </c>
      <c r="G1245" t="s">
        <v>35</v>
      </c>
      <c r="H1245" t="s">
        <v>40</v>
      </c>
      <c r="I1245">
        <v>5</v>
      </c>
      <c r="J1245">
        <v>148.55000000000001</v>
      </c>
      <c r="K1245">
        <v>18</v>
      </c>
      <c r="L1245">
        <v>104</v>
      </c>
      <c r="M1245">
        <v>325.23</v>
      </c>
      <c r="N1245" t="s">
        <v>23</v>
      </c>
      <c r="O1245">
        <v>4</v>
      </c>
      <c r="P1245">
        <v>742.75</v>
      </c>
      <c r="Q1245">
        <v>760.75</v>
      </c>
      <c r="R1245" t="s">
        <v>2054</v>
      </c>
    </row>
    <row r="1246" spans="1:18" x14ac:dyDescent="0.25">
      <c r="A1246" t="s">
        <v>1297</v>
      </c>
      <c r="B1246" s="1">
        <v>45636</v>
      </c>
      <c r="C1246" s="1">
        <v>45641</v>
      </c>
      <c r="D1246" t="s">
        <v>56</v>
      </c>
      <c r="E1246" t="s">
        <v>38</v>
      </c>
      <c r="F1246" t="s">
        <v>39</v>
      </c>
      <c r="G1246" t="s">
        <v>26</v>
      </c>
      <c r="H1246" t="s">
        <v>22</v>
      </c>
      <c r="I1246">
        <v>1</v>
      </c>
      <c r="J1246">
        <v>209.03</v>
      </c>
      <c r="K1246">
        <v>75</v>
      </c>
      <c r="L1246">
        <v>306</v>
      </c>
      <c r="M1246">
        <v>4.3099999999999996</v>
      </c>
      <c r="N1246" t="s">
        <v>23</v>
      </c>
      <c r="O1246">
        <v>5</v>
      </c>
      <c r="P1246">
        <v>209.03</v>
      </c>
      <c r="Q1246">
        <v>284.02999999999997</v>
      </c>
      <c r="R1246" t="s">
        <v>2054</v>
      </c>
    </row>
    <row r="1247" spans="1:18" x14ac:dyDescent="0.25">
      <c r="A1247" t="s">
        <v>1298</v>
      </c>
      <c r="B1247" s="1">
        <v>45636</v>
      </c>
      <c r="C1247" s="1">
        <v>45649</v>
      </c>
      <c r="D1247" t="s">
        <v>18</v>
      </c>
      <c r="E1247" t="s">
        <v>19</v>
      </c>
      <c r="F1247" t="s">
        <v>20</v>
      </c>
      <c r="G1247" t="s">
        <v>35</v>
      </c>
      <c r="H1247" t="s">
        <v>40</v>
      </c>
      <c r="I1247">
        <v>8</v>
      </c>
      <c r="J1247">
        <v>23.32</v>
      </c>
      <c r="K1247">
        <v>12</v>
      </c>
      <c r="L1247">
        <v>192</v>
      </c>
      <c r="M1247">
        <v>8.93</v>
      </c>
      <c r="N1247" t="s">
        <v>47</v>
      </c>
      <c r="O1247">
        <v>13</v>
      </c>
      <c r="P1247">
        <v>186.56</v>
      </c>
      <c r="Q1247">
        <v>198.56</v>
      </c>
      <c r="R1247" t="s">
        <v>2054</v>
      </c>
    </row>
    <row r="1248" spans="1:18" x14ac:dyDescent="0.25">
      <c r="A1248" t="s">
        <v>1299</v>
      </c>
      <c r="B1248" s="1">
        <v>45637</v>
      </c>
      <c r="C1248" s="1">
        <v>45646</v>
      </c>
      <c r="D1248" t="s">
        <v>25</v>
      </c>
      <c r="E1248" t="s">
        <v>19</v>
      </c>
      <c r="F1248" t="s">
        <v>20</v>
      </c>
      <c r="G1248" t="s">
        <v>35</v>
      </c>
      <c r="H1248" t="s">
        <v>27</v>
      </c>
      <c r="I1248">
        <v>9</v>
      </c>
      <c r="J1248">
        <v>26.61</v>
      </c>
      <c r="K1248">
        <v>8</v>
      </c>
      <c r="L1248">
        <v>39</v>
      </c>
      <c r="M1248">
        <v>15.16</v>
      </c>
      <c r="N1248" t="s">
        <v>63</v>
      </c>
      <c r="O1248">
        <v>9</v>
      </c>
      <c r="P1248">
        <v>239.49</v>
      </c>
      <c r="Q1248">
        <v>247.49</v>
      </c>
      <c r="R1248" t="s">
        <v>2055</v>
      </c>
    </row>
    <row r="1249" spans="1:18" x14ac:dyDescent="0.25">
      <c r="A1249" t="s">
        <v>1300</v>
      </c>
      <c r="B1249" s="1">
        <v>45637</v>
      </c>
      <c r="C1249" s="1">
        <v>45640</v>
      </c>
      <c r="D1249" t="s">
        <v>43</v>
      </c>
      <c r="E1249" t="s">
        <v>44</v>
      </c>
      <c r="F1249" t="s">
        <v>45</v>
      </c>
      <c r="G1249" t="s">
        <v>35</v>
      </c>
      <c r="H1249" t="s">
        <v>32</v>
      </c>
      <c r="I1249">
        <v>1</v>
      </c>
      <c r="J1249">
        <v>834.99</v>
      </c>
      <c r="K1249">
        <v>25</v>
      </c>
      <c r="L1249">
        <v>30</v>
      </c>
      <c r="M1249">
        <v>279.75</v>
      </c>
      <c r="N1249" t="s">
        <v>23</v>
      </c>
      <c r="O1249">
        <v>3</v>
      </c>
      <c r="P1249">
        <v>834.99</v>
      </c>
      <c r="Q1249">
        <v>859.99</v>
      </c>
      <c r="R1249" t="s">
        <v>2055</v>
      </c>
    </row>
    <row r="1250" spans="1:18" x14ac:dyDescent="0.25">
      <c r="A1250" t="s">
        <v>1301</v>
      </c>
      <c r="B1250" s="1">
        <v>45638</v>
      </c>
      <c r="C1250" s="1">
        <v>45639</v>
      </c>
      <c r="D1250" t="s">
        <v>58</v>
      </c>
      <c r="E1250" t="s">
        <v>19</v>
      </c>
      <c r="F1250" t="s">
        <v>20</v>
      </c>
      <c r="G1250" t="s">
        <v>35</v>
      </c>
      <c r="H1250" t="s">
        <v>40</v>
      </c>
      <c r="I1250">
        <v>8</v>
      </c>
      <c r="J1250">
        <v>41.37</v>
      </c>
      <c r="K1250">
        <v>12</v>
      </c>
      <c r="L1250">
        <v>388</v>
      </c>
      <c r="M1250">
        <v>20.48</v>
      </c>
      <c r="N1250" t="s">
        <v>23</v>
      </c>
      <c r="O1250">
        <v>1</v>
      </c>
      <c r="P1250">
        <v>330.96</v>
      </c>
      <c r="Q1250">
        <v>342.96</v>
      </c>
      <c r="R1250" t="s">
        <v>2054</v>
      </c>
    </row>
    <row r="1251" spans="1:18" x14ac:dyDescent="0.25">
      <c r="A1251" t="s">
        <v>1302</v>
      </c>
      <c r="B1251" s="1">
        <v>45639</v>
      </c>
      <c r="C1251" s="1">
        <v>45650</v>
      </c>
      <c r="D1251" t="s">
        <v>29</v>
      </c>
      <c r="E1251" t="s">
        <v>30</v>
      </c>
      <c r="F1251" t="s">
        <v>31</v>
      </c>
      <c r="G1251" t="s">
        <v>35</v>
      </c>
      <c r="H1251" t="s">
        <v>40</v>
      </c>
      <c r="I1251">
        <v>5</v>
      </c>
      <c r="J1251">
        <v>64.84</v>
      </c>
      <c r="K1251">
        <v>18</v>
      </c>
      <c r="L1251">
        <v>294</v>
      </c>
      <c r="M1251">
        <v>120.67</v>
      </c>
      <c r="N1251" t="s">
        <v>47</v>
      </c>
      <c r="O1251">
        <v>11</v>
      </c>
      <c r="P1251">
        <v>324.20000000000005</v>
      </c>
      <c r="Q1251">
        <v>342.20000000000005</v>
      </c>
      <c r="R1251" t="s">
        <v>2054</v>
      </c>
    </row>
    <row r="1252" spans="1:18" x14ac:dyDescent="0.25">
      <c r="A1252" t="s">
        <v>1303</v>
      </c>
      <c r="B1252" s="1">
        <v>45640</v>
      </c>
      <c r="C1252" s="1">
        <v>45643</v>
      </c>
      <c r="D1252" t="s">
        <v>50</v>
      </c>
      <c r="E1252" t="s">
        <v>44</v>
      </c>
      <c r="F1252" t="s">
        <v>45</v>
      </c>
      <c r="G1252" t="s">
        <v>35</v>
      </c>
      <c r="H1252" t="s">
        <v>22</v>
      </c>
      <c r="I1252">
        <v>1</v>
      </c>
      <c r="J1252">
        <v>271.89</v>
      </c>
      <c r="K1252">
        <v>25</v>
      </c>
      <c r="L1252">
        <v>139</v>
      </c>
      <c r="M1252">
        <v>82.66</v>
      </c>
      <c r="N1252" t="s">
        <v>23</v>
      </c>
      <c r="O1252">
        <v>3</v>
      </c>
      <c r="P1252">
        <v>271.89</v>
      </c>
      <c r="Q1252">
        <v>296.89</v>
      </c>
      <c r="R1252" t="s">
        <v>2054</v>
      </c>
    </row>
    <row r="1253" spans="1:18" x14ac:dyDescent="0.25">
      <c r="A1253" t="s">
        <v>1304</v>
      </c>
      <c r="B1253" s="1">
        <v>45640</v>
      </c>
      <c r="C1253" s="1">
        <v>45644</v>
      </c>
      <c r="D1253" t="s">
        <v>58</v>
      </c>
      <c r="E1253" t="s">
        <v>19</v>
      </c>
      <c r="F1253" t="s">
        <v>20</v>
      </c>
      <c r="G1253" t="s">
        <v>35</v>
      </c>
      <c r="H1253" t="s">
        <v>32</v>
      </c>
      <c r="I1253">
        <v>14</v>
      </c>
      <c r="J1253">
        <v>25.51</v>
      </c>
      <c r="K1253">
        <v>8</v>
      </c>
      <c r="L1253">
        <v>26</v>
      </c>
      <c r="M1253">
        <v>24.57</v>
      </c>
      <c r="N1253" t="s">
        <v>23</v>
      </c>
      <c r="O1253">
        <v>4</v>
      </c>
      <c r="P1253">
        <v>357.14000000000004</v>
      </c>
      <c r="Q1253">
        <v>365.14000000000004</v>
      </c>
      <c r="R1253" t="s">
        <v>2055</v>
      </c>
    </row>
    <row r="1254" spans="1:18" x14ac:dyDescent="0.25">
      <c r="A1254" t="s">
        <v>1305</v>
      </c>
      <c r="B1254" s="1">
        <v>45640</v>
      </c>
      <c r="C1254" s="1">
        <v>45649</v>
      </c>
      <c r="D1254" t="s">
        <v>29</v>
      </c>
      <c r="E1254" t="s">
        <v>30</v>
      </c>
      <c r="F1254" t="s">
        <v>31</v>
      </c>
      <c r="G1254" t="s">
        <v>35</v>
      </c>
      <c r="H1254" t="s">
        <v>27</v>
      </c>
      <c r="I1254">
        <v>1</v>
      </c>
      <c r="J1254">
        <v>78.650000000000006</v>
      </c>
      <c r="K1254">
        <v>12</v>
      </c>
      <c r="L1254">
        <v>295</v>
      </c>
      <c r="M1254">
        <v>25.46</v>
      </c>
      <c r="N1254" t="s">
        <v>63</v>
      </c>
      <c r="O1254">
        <v>9</v>
      </c>
      <c r="P1254">
        <v>78.650000000000006</v>
      </c>
      <c r="Q1254">
        <v>90.65</v>
      </c>
      <c r="R1254" t="s">
        <v>2054</v>
      </c>
    </row>
    <row r="1255" spans="1:18" x14ac:dyDescent="0.25">
      <c r="A1255" t="s">
        <v>1306</v>
      </c>
      <c r="B1255" s="1">
        <v>45640</v>
      </c>
      <c r="C1255" s="1">
        <v>45641</v>
      </c>
      <c r="D1255" t="s">
        <v>43</v>
      </c>
      <c r="E1255" t="s">
        <v>44</v>
      </c>
      <c r="F1255" t="s">
        <v>45</v>
      </c>
      <c r="G1255" t="s">
        <v>35</v>
      </c>
      <c r="H1255" t="s">
        <v>40</v>
      </c>
      <c r="I1255">
        <v>2</v>
      </c>
      <c r="J1255">
        <v>1186.3599999999999</v>
      </c>
      <c r="K1255">
        <v>37.5</v>
      </c>
      <c r="L1255">
        <v>40</v>
      </c>
      <c r="M1255">
        <v>811.71</v>
      </c>
      <c r="N1255" t="s">
        <v>23</v>
      </c>
      <c r="O1255">
        <v>1</v>
      </c>
      <c r="P1255">
        <v>2372.7199999999998</v>
      </c>
      <c r="Q1255">
        <v>2410.2199999999998</v>
      </c>
      <c r="R1255" t="s">
        <v>2055</v>
      </c>
    </row>
    <row r="1256" spans="1:18" x14ac:dyDescent="0.25">
      <c r="A1256" t="s">
        <v>1307</v>
      </c>
      <c r="B1256" s="1">
        <v>45640</v>
      </c>
      <c r="C1256" s="1">
        <v>45643</v>
      </c>
      <c r="D1256" t="s">
        <v>25</v>
      </c>
      <c r="E1256" t="s">
        <v>19</v>
      </c>
      <c r="F1256" t="s">
        <v>20</v>
      </c>
      <c r="G1256" t="s">
        <v>26</v>
      </c>
      <c r="H1256" t="s">
        <v>27</v>
      </c>
      <c r="I1256">
        <v>13</v>
      </c>
      <c r="J1256">
        <v>13.86</v>
      </c>
      <c r="K1256">
        <v>8</v>
      </c>
      <c r="L1256">
        <v>312</v>
      </c>
      <c r="M1256">
        <v>10.42</v>
      </c>
      <c r="N1256" t="s">
        <v>23</v>
      </c>
      <c r="O1256">
        <v>3</v>
      </c>
      <c r="P1256">
        <v>180.18</v>
      </c>
      <c r="Q1256">
        <v>188.18</v>
      </c>
      <c r="R1256" t="s">
        <v>2054</v>
      </c>
    </row>
    <row r="1257" spans="1:18" x14ac:dyDescent="0.25">
      <c r="A1257" t="s">
        <v>1308</v>
      </c>
      <c r="B1257" s="1">
        <v>45641</v>
      </c>
      <c r="C1257" s="1">
        <v>45646</v>
      </c>
      <c r="D1257" t="s">
        <v>52</v>
      </c>
      <c r="E1257" t="s">
        <v>30</v>
      </c>
      <c r="F1257" t="s">
        <v>31</v>
      </c>
      <c r="G1257" t="s">
        <v>35</v>
      </c>
      <c r="H1257" t="s">
        <v>40</v>
      </c>
      <c r="I1257">
        <v>2</v>
      </c>
      <c r="J1257">
        <v>113.44</v>
      </c>
      <c r="K1257">
        <v>18</v>
      </c>
      <c r="L1257">
        <v>240</v>
      </c>
      <c r="M1257">
        <v>81.760000000000005</v>
      </c>
      <c r="N1257" t="s">
        <v>23</v>
      </c>
      <c r="O1257">
        <v>5</v>
      </c>
      <c r="P1257">
        <v>226.88</v>
      </c>
      <c r="Q1257">
        <v>244.88</v>
      </c>
      <c r="R1257" t="s">
        <v>2054</v>
      </c>
    </row>
    <row r="1258" spans="1:18" x14ac:dyDescent="0.25">
      <c r="A1258" t="s">
        <v>1309</v>
      </c>
      <c r="B1258" s="1">
        <v>45641</v>
      </c>
      <c r="C1258" s="1">
        <v>45643</v>
      </c>
      <c r="D1258" t="s">
        <v>34</v>
      </c>
      <c r="E1258" t="s">
        <v>30</v>
      </c>
      <c r="F1258" t="s">
        <v>31</v>
      </c>
      <c r="G1258" t="s">
        <v>21</v>
      </c>
      <c r="H1258" t="s">
        <v>27</v>
      </c>
      <c r="I1258">
        <v>5</v>
      </c>
      <c r="J1258">
        <v>64.900000000000006</v>
      </c>
      <c r="K1258">
        <v>12</v>
      </c>
      <c r="L1258">
        <v>339</v>
      </c>
      <c r="M1258">
        <v>123.8</v>
      </c>
      <c r="N1258" t="s">
        <v>23</v>
      </c>
      <c r="O1258">
        <v>2</v>
      </c>
      <c r="P1258">
        <v>324.5</v>
      </c>
      <c r="Q1258">
        <v>336.5</v>
      </c>
      <c r="R1258" t="s">
        <v>2054</v>
      </c>
    </row>
    <row r="1259" spans="1:18" x14ac:dyDescent="0.25">
      <c r="A1259" t="s">
        <v>1310</v>
      </c>
      <c r="B1259" s="1">
        <v>45641</v>
      </c>
      <c r="C1259" s="1">
        <v>45657</v>
      </c>
      <c r="D1259" t="s">
        <v>56</v>
      </c>
      <c r="E1259" t="s">
        <v>38</v>
      </c>
      <c r="F1259" t="s">
        <v>39</v>
      </c>
      <c r="G1259" t="s">
        <v>35</v>
      </c>
      <c r="H1259" t="s">
        <v>40</v>
      </c>
      <c r="I1259">
        <v>2</v>
      </c>
      <c r="J1259">
        <v>476.75</v>
      </c>
      <c r="K1259">
        <v>112.5</v>
      </c>
      <c r="L1259">
        <v>198</v>
      </c>
      <c r="M1259">
        <v>134.44999999999999</v>
      </c>
      <c r="N1259" t="s">
        <v>47</v>
      </c>
      <c r="O1259">
        <v>16</v>
      </c>
      <c r="P1259">
        <v>953.5</v>
      </c>
      <c r="Q1259">
        <v>1066</v>
      </c>
      <c r="R1259" t="s">
        <v>2054</v>
      </c>
    </row>
    <row r="1260" spans="1:18" x14ac:dyDescent="0.25">
      <c r="A1260" t="s">
        <v>1311</v>
      </c>
      <c r="B1260" s="1">
        <v>45642</v>
      </c>
      <c r="C1260" s="1">
        <v>45646</v>
      </c>
      <c r="D1260" t="s">
        <v>43</v>
      </c>
      <c r="E1260" t="s">
        <v>44</v>
      </c>
      <c r="F1260" t="s">
        <v>45</v>
      </c>
      <c r="G1260" t="s">
        <v>26</v>
      </c>
      <c r="H1260" t="s">
        <v>22</v>
      </c>
      <c r="I1260">
        <v>1</v>
      </c>
      <c r="J1260">
        <v>1076.03</v>
      </c>
      <c r="K1260">
        <v>25</v>
      </c>
      <c r="L1260">
        <v>169</v>
      </c>
      <c r="M1260">
        <v>364.11</v>
      </c>
      <c r="N1260" t="s">
        <v>23</v>
      </c>
      <c r="O1260">
        <v>4</v>
      </c>
      <c r="P1260">
        <v>1076.03</v>
      </c>
      <c r="Q1260">
        <v>1101.03</v>
      </c>
      <c r="R1260" t="s">
        <v>2054</v>
      </c>
    </row>
    <row r="1261" spans="1:18" x14ac:dyDescent="0.25">
      <c r="A1261" t="s">
        <v>1312</v>
      </c>
      <c r="B1261" s="1">
        <v>45642</v>
      </c>
      <c r="C1261" s="1">
        <v>45643</v>
      </c>
      <c r="D1261" t="s">
        <v>43</v>
      </c>
      <c r="E1261" t="s">
        <v>44</v>
      </c>
      <c r="F1261" t="s">
        <v>45</v>
      </c>
      <c r="G1261" t="s">
        <v>21</v>
      </c>
      <c r="H1261" t="s">
        <v>32</v>
      </c>
      <c r="I1261">
        <v>3</v>
      </c>
      <c r="J1261">
        <v>683.86</v>
      </c>
      <c r="K1261">
        <v>25</v>
      </c>
      <c r="L1261">
        <v>147</v>
      </c>
      <c r="M1261">
        <v>705.55</v>
      </c>
      <c r="N1261" t="s">
        <v>23</v>
      </c>
      <c r="O1261">
        <v>1</v>
      </c>
      <c r="P1261">
        <v>2051.58</v>
      </c>
      <c r="Q1261">
        <v>2076.58</v>
      </c>
      <c r="R1261" t="s">
        <v>2054</v>
      </c>
    </row>
    <row r="1262" spans="1:18" x14ac:dyDescent="0.25">
      <c r="A1262" t="s">
        <v>1313</v>
      </c>
      <c r="B1262" s="1">
        <v>45643</v>
      </c>
      <c r="C1262" s="1">
        <v>45656</v>
      </c>
      <c r="D1262" t="s">
        <v>43</v>
      </c>
      <c r="E1262" t="s">
        <v>44</v>
      </c>
      <c r="F1262" t="s">
        <v>45</v>
      </c>
      <c r="G1262" t="s">
        <v>35</v>
      </c>
      <c r="H1262" t="s">
        <v>40</v>
      </c>
      <c r="I1262">
        <v>1</v>
      </c>
      <c r="J1262">
        <v>350.66</v>
      </c>
      <c r="K1262">
        <v>37.5</v>
      </c>
      <c r="L1262">
        <v>385</v>
      </c>
      <c r="M1262">
        <v>103.98</v>
      </c>
      <c r="N1262" t="s">
        <v>47</v>
      </c>
      <c r="O1262">
        <v>13</v>
      </c>
      <c r="P1262">
        <v>350.66</v>
      </c>
      <c r="Q1262">
        <v>388.16</v>
      </c>
      <c r="R1262" t="s">
        <v>2054</v>
      </c>
    </row>
    <row r="1263" spans="1:18" x14ac:dyDescent="0.25">
      <c r="A1263" t="s">
        <v>1314</v>
      </c>
      <c r="B1263" s="1">
        <v>45644</v>
      </c>
      <c r="C1263" s="1">
        <v>45648</v>
      </c>
      <c r="D1263" t="s">
        <v>118</v>
      </c>
      <c r="E1263" t="s">
        <v>79</v>
      </c>
      <c r="F1263" t="s">
        <v>80</v>
      </c>
      <c r="G1263" t="s">
        <v>35</v>
      </c>
      <c r="H1263" t="s">
        <v>40</v>
      </c>
      <c r="I1263">
        <v>3</v>
      </c>
      <c r="J1263">
        <v>103.15</v>
      </c>
      <c r="K1263">
        <v>18</v>
      </c>
      <c r="L1263">
        <v>399</v>
      </c>
      <c r="M1263">
        <v>130.25</v>
      </c>
      <c r="N1263" t="s">
        <v>23</v>
      </c>
      <c r="O1263">
        <v>4</v>
      </c>
      <c r="P1263">
        <v>309.45000000000005</v>
      </c>
      <c r="Q1263">
        <v>327.45000000000005</v>
      </c>
      <c r="R1263" t="s">
        <v>2054</v>
      </c>
    </row>
    <row r="1264" spans="1:18" x14ac:dyDescent="0.25">
      <c r="A1264" t="s">
        <v>1315</v>
      </c>
      <c r="B1264" s="1">
        <v>45645</v>
      </c>
      <c r="C1264" s="1">
        <v>45647</v>
      </c>
      <c r="D1264" t="s">
        <v>18</v>
      </c>
      <c r="E1264" t="s">
        <v>19</v>
      </c>
      <c r="F1264" t="s">
        <v>20</v>
      </c>
      <c r="G1264" t="s">
        <v>21</v>
      </c>
      <c r="H1264" t="s">
        <v>22</v>
      </c>
      <c r="I1264">
        <v>13</v>
      </c>
      <c r="J1264">
        <v>38.89</v>
      </c>
      <c r="K1264">
        <v>8</v>
      </c>
      <c r="L1264">
        <v>7</v>
      </c>
      <c r="M1264">
        <v>36.44</v>
      </c>
      <c r="N1264" t="s">
        <v>23</v>
      </c>
      <c r="O1264">
        <v>2</v>
      </c>
      <c r="P1264">
        <v>505.57</v>
      </c>
      <c r="Q1264">
        <v>513.56999999999994</v>
      </c>
      <c r="R1264" t="s">
        <v>2056</v>
      </c>
    </row>
    <row r="1265" spans="1:18" x14ac:dyDescent="0.25">
      <c r="A1265" t="s">
        <v>1316</v>
      </c>
      <c r="B1265" s="1">
        <v>45646</v>
      </c>
      <c r="C1265" s="1">
        <v>45648</v>
      </c>
      <c r="D1265" t="s">
        <v>54</v>
      </c>
      <c r="E1265" t="s">
        <v>38</v>
      </c>
      <c r="F1265" t="s">
        <v>39</v>
      </c>
      <c r="G1265" t="s">
        <v>26</v>
      </c>
      <c r="H1265" t="s">
        <v>27</v>
      </c>
      <c r="I1265">
        <v>2</v>
      </c>
      <c r="J1265">
        <v>401.81</v>
      </c>
      <c r="K1265">
        <v>75</v>
      </c>
      <c r="L1265">
        <v>62</v>
      </c>
      <c r="M1265">
        <v>123.22</v>
      </c>
      <c r="N1265" t="s">
        <v>23</v>
      </c>
      <c r="O1265">
        <v>2</v>
      </c>
      <c r="P1265">
        <v>803.62</v>
      </c>
      <c r="Q1265">
        <v>878.62</v>
      </c>
      <c r="R1265" t="s">
        <v>2054</v>
      </c>
    </row>
    <row r="1266" spans="1:18" x14ac:dyDescent="0.25">
      <c r="A1266" t="s">
        <v>1317</v>
      </c>
      <c r="B1266" s="1">
        <v>45646</v>
      </c>
      <c r="C1266" s="1">
        <v>45648</v>
      </c>
      <c r="D1266" t="s">
        <v>34</v>
      </c>
      <c r="E1266" t="s">
        <v>30</v>
      </c>
      <c r="F1266" t="s">
        <v>31</v>
      </c>
      <c r="G1266" t="s">
        <v>35</v>
      </c>
      <c r="H1266" t="s">
        <v>40</v>
      </c>
      <c r="I1266">
        <v>2</v>
      </c>
      <c r="J1266">
        <v>61.15</v>
      </c>
      <c r="K1266">
        <v>18</v>
      </c>
      <c r="L1266">
        <v>240</v>
      </c>
      <c r="M1266">
        <v>39.92</v>
      </c>
      <c r="N1266" t="s">
        <v>23</v>
      </c>
      <c r="O1266">
        <v>2</v>
      </c>
      <c r="P1266">
        <v>122.3</v>
      </c>
      <c r="Q1266">
        <v>140.30000000000001</v>
      </c>
      <c r="R1266" t="s">
        <v>2054</v>
      </c>
    </row>
    <row r="1267" spans="1:18" x14ac:dyDescent="0.25">
      <c r="A1267" t="s">
        <v>1318</v>
      </c>
      <c r="B1267" s="1">
        <v>45647</v>
      </c>
      <c r="C1267" s="1">
        <v>45648</v>
      </c>
      <c r="D1267" t="s">
        <v>25</v>
      </c>
      <c r="E1267" t="s">
        <v>19</v>
      </c>
      <c r="F1267" t="s">
        <v>20</v>
      </c>
      <c r="G1267" t="s">
        <v>35</v>
      </c>
      <c r="H1267" t="s">
        <v>40</v>
      </c>
      <c r="I1267">
        <v>13</v>
      </c>
      <c r="J1267">
        <v>43.49</v>
      </c>
      <c r="K1267">
        <v>12</v>
      </c>
      <c r="L1267">
        <v>8</v>
      </c>
      <c r="M1267">
        <v>39.229999999999997</v>
      </c>
      <c r="N1267" t="s">
        <v>23</v>
      </c>
      <c r="O1267">
        <v>1</v>
      </c>
      <c r="P1267">
        <v>565.37</v>
      </c>
      <c r="Q1267">
        <v>577.37</v>
      </c>
      <c r="R1267" t="s">
        <v>2056</v>
      </c>
    </row>
    <row r="1268" spans="1:18" x14ac:dyDescent="0.25">
      <c r="A1268" t="s">
        <v>1319</v>
      </c>
      <c r="B1268" s="1">
        <v>45647</v>
      </c>
      <c r="C1268" s="1">
        <v>45650</v>
      </c>
      <c r="D1268" t="s">
        <v>25</v>
      </c>
      <c r="E1268" t="s">
        <v>19</v>
      </c>
      <c r="F1268" t="s">
        <v>20</v>
      </c>
      <c r="G1268" t="s">
        <v>35</v>
      </c>
      <c r="H1268" t="s">
        <v>40</v>
      </c>
      <c r="I1268">
        <v>12</v>
      </c>
      <c r="J1268">
        <v>22.24</v>
      </c>
      <c r="K1268">
        <v>12</v>
      </c>
      <c r="L1268">
        <v>124</v>
      </c>
      <c r="M1268">
        <v>15.35</v>
      </c>
      <c r="N1268" t="s">
        <v>23</v>
      </c>
      <c r="O1268">
        <v>3</v>
      </c>
      <c r="P1268">
        <v>266.88</v>
      </c>
      <c r="Q1268">
        <v>278.88</v>
      </c>
      <c r="R1268" t="s">
        <v>2054</v>
      </c>
    </row>
    <row r="1269" spans="1:18" x14ac:dyDescent="0.25">
      <c r="A1269" t="s">
        <v>1320</v>
      </c>
      <c r="B1269" s="1">
        <v>45648</v>
      </c>
      <c r="C1269" s="1">
        <v>45653</v>
      </c>
      <c r="D1269" t="s">
        <v>52</v>
      </c>
      <c r="E1269" t="s">
        <v>30</v>
      </c>
      <c r="F1269" t="s">
        <v>31</v>
      </c>
      <c r="G1269" t="s">
        <v>21</v>
      </c>
      <c r="H1269" t="s">
        <v>27</v>
      </c>
      <c r="I1269">
        <v>3</v>
      </c>
      <c r="J1269">
        <v>30.85</v>
      </c>
      <c r="K1269">
        <v>12</v>
      </c>
      <c r="L1269">
        <v>25</v>
      </c>
      <c r="M1269">
        <v>31.02</v>
      </c>
      <c r="N1269" t="s">
        <v>23</v>
      </c>
      <c r="O1269">
        <v>5</v>
      </c>
      <c r="P1269">
        <v>92.550000000000011</v>
      </c>
      <c r="Q1269">
        <v>104.55000000000001</v>
      </c>
      <c r="R1269" t="s">
        <v>2055</v>
      </c>
    </row>
    <row r="1270" spans="1:18" x14ac:dyDescent="0.25">
      <c r="A1270" t="s">
        <v>1321</v>
      </c>
      <c r="B1270" s="1">
        <v>45649</v>
      </c>
      <c r="C1270" s="1">
        <v>45659</v>
      </c>
      <c r="D1270" t="s">
        <v>25</v>
      </c>
      <c r="E1270" t="s">
        <v>19</v>
      </c>
      <c r="F1270" t="s">
        <v>20</v>
      </c>
      <c r="G1270" t="s">
        <v>35</v>
      </c>
      <c r="H1270" t="s">
        <v>22</v>
      </c>
      <c r="I1270">
        <v>12</v>
      </c>
      <c r="J1270">
        <v>30.65</v>
      </c>
      <c r="K1270">
        <v>8</v>
      </c>
      <c r="L1270">
        <v>0</v>
      </c>
      <c r="M1270">
        <v>25.43</v>
      </c>
      <c r="N1270" t="s">
        <v>63</v>
      </c>
      <c r="O1270">
        <v>10</v>
      </c>
      <c r="P1270">
        <v>367.79999999999995</v>
      </c>
      <c r="Q1270">
        <v>375.79999999999995</v>
      </c>
      <c r="R1270" t="s">
        <v>2056</v>
      </c>
    </row>
    <row r="1271" spans="1:18" x14ac:dyDescent="0.25">
      <c r="A1271" t="s">
        <v>1322</v>
      </c>
      <c r="B1271" s="1">
        <v>45650</v>
      </c>
      <c r="C1271" s="1">
        <v>45655</v>
      </c>
      <c r="D1271" t="s">
        <v>18</v>
      </c>
      <c r="E1271" t="s">
        <v>19</v>
      </c>
      <c r="F1271" t="s">
        <v>20</v>
      </c>
      <c r="G1271" t="s">
        <v>21</v>
      </c>
      <c r="H1271" t="s">
        <v>27</v>
      </c>
      <c r="I1271">
        <v>14</v>
      </c>
      <c r="J1271">
        <v>24.93</v>
      </c>
      <c r="K1271">
        <v>8</v>
      </c>
      <c r="L1271">
        <v>276</v>
      </c>
      <c r="M1271">
        <v>23.92</v>
      </c>
      <c r="N1271" t="s">
        <v>23</v>
      </c>
      <c r="O1271">
        <v>5</v>
      </c>
      <c r="P1271">
        <v>349.02</v>
      </c>
      <c r="Q1271">
        <v>357.02</v>
      </c>
      <c r="R1271" t="s">
        <v>2054</v>
      </c>
    </row>
    <row r="1272" spans="1:18" x14ac:dyDescent="0.25">
      <c r="A1272" t="s">
        <v>1323</v>
      </c>
      <c r="B1272" s="1">
        <v>45651</v>
      </c>
      <c r="C1272" s="1">
        <v>45652</v>
      </c>
      <c r="D1272" t="s">
        <v>58</v>
      </c>
      <c r="E1272" t="s">
        <v>19</v>
      </c>
      <c r="F1272" t="s">
        <v>20</v>
      </c>
      <c r="G1272" t="s">
        <v>35</v>
      </c>
      <c r="H1272" t="s">
        <v>40</v>
      </c>
      <c r="I1272">
        <v>5</v>
      </c>
      <c r="J1272">
        <v>35.11</v>
      </c>
      <c r="K1272">
        <v>12</v>
      </c>
      <c r="L1272">
        <v>6</v>
      </c>
      <c r="M1272">
        <v>8.0399999999999991</v>
      </c>
      <c r="N1272" t="s">
        <v>23</v>
      </c>
      <c r="O1272">
        <v>1</v>
      </c>
      <c r="P1272">
        <v>175.55</v>
      </c>
      <c r="Q1272">
        <v>187.55</v>
      </c>
      <c r="R1272" t="s">
        <v>2056</v>
      </c>
    </row>
    <row r="1273" spans="1:18" x14ac:dyDescent="0.25">
      <c r="A1273" t="s">
        <v>1324</v>
      </c>
      <c r="B1273" s="1">
        <v>45651</v>
      </c>
      <c r="C1273" s="1">
        <v>45656</v>
      </c>
      <c r="D1273" t="s">
        <v>75</v>
      </c>
      <c r="E1273" t="s">
        <v>44</v>
      </c>
      <c r="F1273" t="s">
        <v>45</v>
      </c>
      <c r="G1273" t="s">
        <v>26</v>
      </c>
      <c r="H1273" t="s">
        <v>22</v>
      </c>
      <c r="I1273">
        <v>2</v>
      </c>
      <c r="J1273">
        <v>619.39</v>
      </c>
      <c r="K1273">
        <v>25</v>
      </c>
      <c r="L1273">
        <v>177</v>
      </c>
      <c r="M1273">
        <v>421.07</v>
      </c>
      <c r="N1273" t="s">
        <v>23</v>
      </c>
      <c r="O1273">
        <v>5</v>
      </c>
      <c r="P1273">
        <v>1238.78</v>
      </c>
      <c r="Q1273">
        <v>1263.78</v>
      </c>
      <c r="R1273" t="s">
        <v>2054</v>
      </c>
    </row>
    <row r="1274" spans="1:18" x14ac:dyDescent="0.25">
      <c r="A1274" t="s">
        <v>1325</v>
      </c>
      <c r="B1274" s="1">
        <v>45652</v>
      </c>
      <c r="C1274" s="1">
        <v>45655</v>
      </c>
      <c r="D1274" t="s">
        <v>50</v>
      </c>
      <c r="E1274" t="s">
        <v>44</v>
      </c>
      <c r="F1274" t="s">
        <v>45</v>
      </c>
      <c r="G1274" t="s">
        <v>35</v>
      </c>
      <c r="H1274" t="s">
        <v>40</v>
      </c>
      <c r="I1274">
        <v>1</v>
      </c>
      <c r="J1274">
        <v>450.37</v>
      </c>
      <c r="K1274">
        <v>37.5</v>
      </c>
      <c r="L1274">
        <v>36</v>
      </c>
      <c r="M1274">
        <v>138.88</v>
      </c>
      <c r="N1274" t="s">
        <v>23</v>
      </c>
      <c r="O1274">
        <v>3</v>
      </c>
      <c r="P1274">
        <v>450.37</v>
      </c>
      <c r="Q1274">
        <v>487.87</v>
      </c>
      <c r="R1274" t="s">
        <v>2055</v>
      </c>
    </row>
    <row r="1275" spans="1:18" x14ac:dyDescent="0.25">
      <c r="A1275" t="s">
        <v>1326</v>
      </c>
      <c r="B1275" s="1">
        <v>45652</v>
      </c>
      <c r="C1275" s="1">
        <v>45664</v>
      </c>
      <c r="D1275" t="s">
        <v>34</v>
      </c>
      <c r="E1275" t="s">
        <v>30</v>
      </c>
      <c r="F1275" t="s">
        <v>31</v>
      </c>
      <c r="G1275" t="s">
        <v>35</v>
      </c>
      <c r="H1275" t="s">
        <v>27</v>
      </c>
      <c r="I1275">
        <v>5</v>
      </c>
      <c r="J1275">
        <v>147</v>
      </c>
      <c r="K1275">
        <v>12</v>
      </c>
      <c r="L1275">
        <v>282</v>
      </c>
      <c r="M1275">
        <v>288</v>
      </c>
      <c r="N1275" t="s">
        <v>47</v>
      </c>
      <c r="O1275">
        <v>12</v>
      </c>
      <c r="P1275">
        <v>735</v>
      </c>
      <c r="Q1275">
        <v>747</v>
      </c>
      <c r="R1275" t="s">
        <v>2054</v>
      </c>
    </row>
    <row r="1276" spans="1:18" x14ac:dyDescent="0.25">
      <c r="A1276" t="s">
        <v>1327</v>
      </c>
      <c r="B1276" s="1">
        <v>45652</v>
      </c>
      <c r="C1276" s="1">
        <v>45654</v>
      </c>
      <c r="D1276" t="s">
        <v>58</v>
      </c>
      <c r="E1276" t="s">
        <v>19</v>
      </c>
      <c r="F1276" t="s">
        <v>20</v>
      </c>
      <c r="G1276" t="s">
        <v>26</v>
      </c>
      <c r="H1276" t="s">
        <v>22</v>
      </c>
      <c r="I1276">
        <v>5</v>
      </c>
      <c r="J1276">
        <v>19.77</v>
      </c>
      <c r="K1276">
        <v>8</v>
      </c>
      <c r="L1276">
        <v>120</v>
      </c>
      <c r="M1276">
        <v>3.91</v>
      </c>
      <c r="N1276" t="s">
        <v>23</v>
      </c>
      <c r="O1276">
        <v>2</v>
      </c>
      <c r="P1276">
        <v>98.85</v>
      </c>
      <c r="Q1276">
        <v>106.85</v>
      </c>
      <c r="R1276" t="s">
        <v>2054</v>
      </c>
    </row>
    <row r="1277" spans="1:18" x14ac:dyDescent="0.25">
      <c r="A1277" t="s">
        <v>1328</v>
      </c>
      <c r="B1277" s="1">
        <v>45652</v>
      </c>
      <c r="C1277" s="1">
        <v>45656</v>
      </c>
      <c r="D1277" t="s">
        <v>25</v>
      </c>
      <c r="E1277" t="s">
        <v>19</v>
      </c>
      <c r="F1277" t="s">
        <v>20</v>
      </c>
      <c r="G1277" t="s">
        <v>21</v>
      </c>
      <c r="H1277" t="s">
        <v>32</v>
      </c>
      <c r="I1277">
        <v>10</v>
      </c>
      <c r="J1277">
        <v>14.35</v>
      </c>
      <c r="K1277">
        <v>8</v>
      </c>
      <c r="L1277">
        <v>362</v>
      </c>
      <c r="M1277">
        <v>7.48</v>
      </c>
      <c r="N1277" t="s">
        <v>23</v>
      </c>
      <c r="O1277">
        <v>4</v>
      </c>
      <c r="P1277">
        <v>143.5</v>
      </c>
      <c r="Q1277">
        <v>151.5</v>
      </c>
      <c r="R1277" t="s">
        <v>2054</v>
      </c>
    </row>
    <row r="1278" spans="1:18" x14ac:dyDescent="0.25">
      <c r="A1278" t="s">
        <v>1329</v>
      </c>
      <c r="B1278" s="1">
        <v>45652</v>
      </c>
      <c r="C1278" s="1">
        <v>45667</v>
      </c>
      <c r="D1278" t="s">
        <v>75</v>
      </c>
      <c r="E1278" t="s">
        <v>44</v>
      </c>
      <c r="F1278" t="s">
        <v>45</v>
      </c>
      <c r="G1278" t="s">
        <v>35</v>
      </c>
      <c r="H1278" t="s">
        <v>40</v>
      </c>
      <c r="I1278">
        <v>1</v>
      </c>
      <c r="J1278">
        <v>1182.42</v>
      </c>
      <c r="K1278">
        <v>37.5</v>
      </c>
      <c r="L1278">
        <v>393</v>
      </c>
      <c r="M1278">
        <v>395.1</v>
      </c>
      <c r="N1278" t="s">
        <v>47</v>
      </c>
      <c r="O1278">
        <v>15</v>
      </c>
      <c r="P1278">
        <v>1182.42</v>
      </c>
      <c r="Q1278">
        <v>1219.92</v>
      </c>
      <c r="R1278" t="s">
        <v>2054</v>
      </c>
    </row>
    <row r="1279" spans="1:18" x14ac:dyDescent="0.25">
      <c r="A1279" t="s">
        <v>1330</v>
      </c>
      <c r="B1279" s="1">
        <v>45653</v>
      </c>
      <c r="C1279" s="1">
        <v>45663</v>
      </c>
      <c r="D1279" t="s">
        <v>118</v>
      </c>
      <c r="E1279" t="s">
        <v>79</v>
      </c>
      <c r="F1279" t="s">
        <v>80</v>
      </c>
      <c r="G1279" t="s">
        <v>35</v>
      </c>
      <c r="H1279" t="s">
        <v>40</v>
      </c>
      <c r="I1279">
        <v>2</v>
      </c>
      <c r="J1279">
        <v>98.06</v>
      </c>
      <c r="K1279">
        <v>18</v>
      </c>
      <c r="L1279">
        <v>128</v>
      </c>
      <c r="M1279">
        <v>79.25</v>
      </c>
      <c r="N1279" t="s">
        <v>63</v>
      </c>
      <c r="O1279">
        <v>10</v>
      </c>
      <c r="P1279">
        <v>196.12</v>
      </c>
      <c r="Q1279">
        <v>214.12</v>
      </c>
      <c r="R1279" t="s">
        <v>2054</v>
      </c>
    </row>
    <row r="1280" spans="1:18" x14ac:dyDescent="0.25">
      <c r="A1280" t="s">
        <v>1331</v>
      </c>
      <c r="B1280" s="1">
        <v>45653</v>
      </c>
      <c r="C1280" s="1">
        <v>45656</v>
      </c>
      <c r="D1280" t="s">
        <v>58</v>
      </c>
      <c r="E1280" t="s">
        <v>19</v>
      </c>
      <c r="F1280" t="s">
        <v>20</v>
      </c>
      <c r="G1280" t="s">
        <v>35</v>
      </c>
      <c r="H1280" t="s">
        <v>32</v>
      </c>
      <c r="I1280">
        <v>14</v>
      </c>
      <c r="J1280">
        <v>17.690000000000001</v>
      </c>
      <c r="K1280">
        <v>8</v>
      </c>
      <c r="L1280">
        <v>215</v>
      </c>
      <c r="M1280">
        <v>15.82</v>
      </c>
      <c r="N1280" t="s">
        <v>23</v>
      </c>
      <c r="O1280">
        <v>3</v>
      </c>
      <c r="P1280">
        <v>247.66000000000003</v>
      </c>
      <c r="Q1280">
        <v>255.66000000000003</v>
      </c>
      <c r="R1280" t="s">
        <v>2054</v>
      </c>
    </row>
    <row r="1281" spans="1:18" x14ac:dyDescent="0.25">
      <c r="A1281" t="s">
        <v>1332</v>
      </c>
      <c r="B1281" s="1">
        <v>45653</v>
      </c>
      <c r="C1281" s="1">
        <v>45657</v>
      </c>
      <c r="D1281" t="s">
        <v>37</v>
      </c>
      <c r="E1281" t="s">
        <v>38</v>
      </c>
      <c r="F1281" t="s">
        <v>39</v>
      </c>
      <c r="G1281" t="s">
        <v>21</v>
      </c>
      <c r="H1281" t="s">
        <v>32</v>
      </c>
      <c r="I1281">
        <v>2</v>
      </c>
      <c r="J1281">
        <v>133.56</v>
      </c>
      <c r="K1281">
        <v>75</v>
      </c>
      <c r="L1281">
        <v>270</v>
      </c>
      <c r="M1281">
        <v>15.92</v>
      </c>
      <c r="N1281" t="s">
        <v>23</v>
      </c>
      <c r="O1281">
        <v>4</v>
      </c>
      <c r="P1281">
        <v>267.12</v>
      </c>
      <c r="Q1281">
        <v>342.12</v>
      </c>
      <c r="R1281" t="s">
        <v>2054</v>
      </c>
    </row>
    <row r="1282" spans="1:18" x14ac:dyDescent="0.25">
      <c r="A1282" t="s">
        <v>1333</v>
      </c>
      <c r="B1282" s="1">
        <v>45653</v>
      </c>
      <c r="C1282" s="1">
        <v>45667</v>
      </c>
      <c r="D1282" t="s">
        <v>43</v>
      </c>
      <c r="E1282" t="s">
        <v>44</v>
      </c>
      <c r="F1282" t="s">
        <v>45</v>
      </c>
      <c r="G1282" t="s">
        <v>35</v>
      </c>
      <c r="H1282" t="s">
        <v>40</v>
      </c>
      <c r="I1282">
        <v>3</v>
      </c>
      <c r="J1282">
        <v>1000.32</v>
      </c>
      <c r="K1282">
        <v>37.5</v>
      </c>
      <c r="L1282">
        <v>356</v>
      </c>
      <c r="M1282">
        <v>1031.5899999999999</v>
      </c>
      <c r="N1282" t="s">
        <v>47</v>
      </c>
      <c r="O1282">
        <v>14</v>
      </c>
      <c r="P1282">
        <v>3000.96</v>
      </c>
      <c r="Q1282">
        <v>3038.46</v>
      </c>
      <c r="R1282" t="s">
        <v>2054</v>
      </c>
    </row>
    <row r="1283" spans="1:18" x14ac:dyDescent="0.25">
      <c r="A1283" t="s">
        <v>1334</v>
      </c>
      <c r="B1283" s="1">
        <v>45653</v>
      </c>
      <c r="C1283" s="1">
        <v>45656</v>
      </c>
      <c r="D1283" t="s">
        <v>82</v>
      </c>
      <c r="E1283" t="s">
        <v>79</v>
      </c>
      <c r="F1283" t="s">
        <v>80</v>
      </c>
      <c r="G1283" t="s">
        <v>26</v>
      </c>
      <c r="H1283" t="s">
        <v>27</v>
      </c>
      <c r="I1283">
        <v>5</v>
      </c>
      <c r="J1283">
        <v>114.89</v>
      </c>
      <c r="K1283">
        <v>12</v>
      </c>
      <c r="L1283">
        <v>266</v>
      </c>
      <c r="M1283">
        <v>252.5</v>
      </c>
      <c r="N1283" t="s">
        <v>23</v>
      </c>
      <c r="O1283">
        <v>3</v>
      </c>
      <c r="P1283">
        <v>574.45000000000005</v>
      </c>
      <c r="Q1283">
        <v>586.45000000000005</v>
      </c>
      <c r="R1283" t="s">
        <v>2054</v>
      </c>
    </row>
    <row r="1284" spans="1:18" x14ac:dyDescent="0.25">
      <c r="A1284" t="s">
        <v>1335</v>
      </c>
      <c r="B1284" s="1">
        <v>45655</v>
      </c>
      <c r="C1284" s="1">
        <v>45657</v>
      </c>
      <c r="D1284" t="s">
        <v>18</v>
      </c>
      <c r="E1284" t="s">
        <v>19</v>
      </c>
      <c r="F1284" t="s">
        <v>20</v>
      </c>
      <c r="G1284" t="s">
        <v>21</v>
      </c>
      <c r="H1284" t="s">
        <v>32</v>
      </c>
      <c r="I1284">
        <v>9</v>
      </c>
      <c r="J1284">
        <v>13.01</v>
      </c>
      <c r="K1284">
        <v>8</v>
      </c>
      <c r="L1284">
        <v>162</v>
      </c>
      <c r="M1284">
        <v>5.37</v>
      </c>
      <c r="N1284" t="s">
        <v>23</v>
      </c>
      <c r="O1284">
        <v>2</v>
      </c>
      <c r="P1284">
        <v>117.09</v>
      </c>
      <c r="Q1284">
        <v>125.09</v>
      </c>
      <c r="R1284" t="s">
        <v>2054</v>
      </c>
    </row>
    <row r="1285" spans="1:18" x14ac:dyDescent="0.25">
      <c r="A1285" t="s">
        <v>1336</v>
      </c>
      <c r="B1285" s="1">
        <v>45655</v>
      </c>
      <c r="C1285" s="1">
        <v>45663</v>
      </c>
      <c r="D1285" t="s">
        <v>43</v>
      </c>
      <c r="E1285" t="s">
        <v>44</v>
      </c>
      <c r="F1285" t="s">
        <v>45</v>
      </c>
      <c r="G1285" t="s">
        <v>35</v>
      </c>
      <c r="H1285" t="s">
        <v>27</v>
      </c>
      <c r="I1285">
        <v>1</v>
      </c>
      <c r="J1285">
        <v>752.98</v>
      </c>
      <c r="K1285">
        <v>25</v>
      </c>
      <c r="L1285">
        <v>333</v>
      </c>
      <c r="M1285">
        <v>251.04</v>
      </c>
      <c r="N1285" t="s">
        <v>63</v>
      </c>
      <c r="O1285">
        <v>8</v>
      </c>
      <c r="P1285">
        <v>752.98</v>
      </c>
      <c r="Q1285">
        <v>777.98</v>
      </c>
      <c r="R1285" t="s">
        <v>2054</v>
      </c>
    </row>
    <row r="1286" spans="1:18" x14ac:dyDescent="0.25">
      <c r="A1286" t="s">
        <v>1337</v>
      </c>
      <c r="B1286" s="1">
        <v>45655</v>
      </c>
      <c r="C1286" s="1">
        <v>45658</v>
      </c>
      <c r="D1286" t="s">
        <v>82</v>
      </c>
      <c r="E1286" t="s">
        <v>79</v>
      </c>
      <c r="F1286" t="s">
        <v>80</v>
      </c>
      <c r="G1286" t="s">
        <v>26</v>
      </c>
      <c r="H1286" t="s">
        <v>27</v>
      </c>
      <c r="I1286">
        <v>4</v>
      </c>
      <c r="J1286">
        <v>87.29</v>
      </c>
      <c r="K1286">
        <v>12</v>
      </c>
      <c r="L1286">
        <v>239</v>
      </c>
      <c r="M1286">
        <v>151.13</v>
      </c>
      <c r="N1286" t="s">
        <v>23</v>
      </c>
      <c r="O1286">
        <v>3</v>
      </c>
      <c r="P1286">
        <v>349.16</v>
      </c>
      <c r="Q1286">
        <v>361.16</v>
      </c>
      <c r="R1286" t="s">
        <v>2054</v>
      </c>
    </row>
    <row r="1287" spans="1:18" x14ac:dyDescent="0.25">
      <c r="A1287" t="s">
        <v>1338</v>
      </c>
      <c r="B1287" s="1">
        <v>45656</v>
      </c>
      <c r="C1287" s="1">
        <v>45658</v>
      </c>
      <c r="D1287" t="s">
        <v>50</v>
      </c>
      <c r="E1287" t="s">
        <v>44</v>
      </c>
      <c r="F1287" t="s">
        <v>45</v>
      </c>
      <c r="G1287" t="s">
        <v>26</v>
      </c>
      <c r="H1287" t="s">
        <v>22</v>
      </c>
      <c r="I1287">
        <v>1</v>
      </c>
      <c r="J1287">
        <v>533.4</v>
      </c>
      <c r="K1287">
        <v>25</v>
      </c>
      <c r="L1287">
        <v>362</v>
      </c>
      <c r="M1287">
        <v>174.19</v>
      </c>
      <c r="N1287" t="s">
        <v>23</v>
      </c>
      <c r="O1287">
        <v>2</v>
      </c>
      <c r="P1287">
        <v>533.4</v>
      </c>
      <c r="Q1287">
        <v>558.4</v>
      </c>
      <c r="R1287" t="s">
        <v>2054</v>
      </c>
    </row>
    <row r="1288" spans="1:18" x14ac:dyDescent="0.25">
      <c r="A1288" t="s">
        <v>1339</v>
      </c>
      <c r="B1288" s="1">
        <v>45656</v>
      </c>
      <c r="C1288" s="1">
        <v>45657</v>
      </c>
      <c r="D1288" t="s">
        <v>18</v>
      </c>
      <c r="E1288" t="s">
        <v>19</v>
      </c>
      <c r="F1288" t="s">
        <v>20</v>
      </c>
      <c r="G1288" t="s">
        <v>21</v>
      </c>
      <c r="H1288" t="s">
        <v>32</v>
      </c>
      <c r="I1288">
        <v>13</v>
      </c>
      <c r="J1288">
        <v>32.979999999999997</v>
      </c>
      <c r="K1288">
        <v>8</v>
      </c>
      <c r="L1288">
        <v>199</v>
      </c>
      <c r="M1288">
        <v>30.3</v>
      </c>
      <c r="N1288" t="s">
        <v>23</v>
      </c>
      <c r="O1288">
        <v>1</v>
      </c>
      <c r="P1288">
        <v>428.73999999999995</v>
      </c>
      <c r="Q1288">
        <v>436.73999999999995</v>
      </c>
      <c r="R1288" t="s">
        <v>2054</v>
      </c>
    </row>
    <row r="1289" spans="1:18" x14ac:dyDescent="0.25">
      <c r="A1289" t="s">
        <v>1340</v>
      </c>
      <c r="B1289" s="1">
        <v>45657</v>
      </c>
      <c r="C1289" s="1">
        <v>45669</v>
      </c>
      <c r="D1289" t="s">
        <v>29</v>
      </c>
      <c r="E1289" t="s">
        <v>30</v>
      </c>
      <c r="F1289" t="s">
        <v>31</v>
      </c>
      <c r="G1289" t="s">
        <v>35</v>
      </c>
      <c r="H1289" t="s">
        <v>40</v>
      </c>
      <c r="I1289">
        <v>3</v>
      </c>
      <c r="J1289">
        <v>130.44</v>
      </c>
      <c r="K1289">
        <v>18</v>
      </c>
      <c r="L1289">
        <v>166</v>
      </c>
      <c r="M1289">
        <v>147.53</v>
      </c>
      <c r="N1289" t="s">
        <v>47</v>
      </c>
      <c r="O1289">
        <v>12</v>
      </c>
      <c r="P1289">
        <v>391.32</v>
      </c>
      <c r="Q1289">
        <v>409.32</v>
      </c>
      <c r="R1289" t="s">
        <v>2054</v>
      </c>
    </row>
    <row r="1290" spans="1:18" x14ac:dyDescent="0.25">
      <c r="A1290" t="s">
        <v>1341</v>
      </c>
      <c r="B1290" s="1">
        <v>45657</v>
      </c>
      <c r="C1290" s="1">
        <v>45658</v>
      </c>
      <c r="D1290" t="s">
        <v>58</v>
      </c>
      <c r="E1290" t="s">
        <v>19</v>
      </c>
      <c r="F1290" t="s">
        <v>20</v>
      </c>
      <c r="G1290" t="s">
        <v>35</v>
      </c>
      <c r="H1290" t="s">
        <v>32</v>
      </c>
      <c r="I1290">
        <v>7</v>
      </c>
      <c r="J1290">
        <v>34.53</v>
      </c>
      <c r="K1290">
        <v>8</v>
      </c>
      <c r="L1290">
        <v>3</v>
      </c>
      <c r="M1290">
        <v>-36.26</v>
      </c>
      <c r="N1290" t="s">
        <v>23</v>
      </c>
      <c r="O1290">
        <v>1</v>
      </c>
      <c r="P1290">
        <v>241.71</v>
      </c>
      <c r="Q1290">
        <v>249.71</v>
      </c>
      <c r="R1290" t="s">
        <v>2056</v>
      </c>
    </row>
    <row r="1291" spans="1:18" x14ac:dyDescent="0.25">
      <c r="A1291" t="s">
        <v>1342</v>
      </c>
      <c r="B1291" s="1">
        <v>45658</v>
      </c>
      <c r="C1291" s="1">
        <v>45659</v>
      </c>
      <c r="D1291" t="s">
        <v>58</v>
      </c>
      <c r="E1291" t="s">
        <v>19</v>
      </c>
      <c r="F1291" t="s">
        <v>20</v>
      </c>
      <c r="G1291" t="s">
        <v>35</v>
      </c>
      <c r="H1291" t="s">
        <v>22</v>
      </c>
      <c r="I1291">
        <v>10</v>
      </c>
      <c r="J1291">
        <v>36.32</v>
      </c>
      <c r="K1291">
        <v>8</v>
      </c>
      <c r="L1291">
        <v>239</v>
      </c>
      <c r="M1291">
        <v>25.05</v>
      </c>
      <c r="N1291" t="s">
        <v>23</v>
      </c>
      <c r="O1291">
        <v>1</v>
      </c>
      <c r="P1291">
        <v>363.2</v>
      </c>
      <c r="Q1291">
        <v>371.2</v>
      </c>
      <c r="R1291" t="s">
        <v>2054</v>
      </c>
    </row>
    <row r="1292" spans="1:18" x14ac:dyDescent="0.25">
      <c r="A1292" t="s">
        <v>1343</v>
      </c>
      <c r="B1292" s="1">
        <v>45658</v>
      </c>
      <c r="C1292" s="1">
        <v>45661</v>
      </c>
      <c r="D1292" t="s">
        <v>72</v>
      </c>
      <c r="E1292" t="s">
        <v>44</v>
      </c>
      <c r="F1292" t="s">
        <v>45</v>
      </c>
      <c r="G1292" t="s">
        <v>26</v>
      </c>
      <c r="H1292" t="s">
        <v>27</v>
      </c>
      <c r="I1292">
        <v>1</v>
      </c>
      <c r="J1292">
        <v>510.02</v>
      </c>
      <c r="K1292">
        <v>25</v>
      </c>
      <c r="L1292">
        <v>96</v>
      </c>
      <c r="M1292">
        <v>166.01</v>
      </c>
      <c r="N1292" t="s">
        <v>23</v>
      </c>
      <c r="O1292">
        <v>3</v>
      </c>
      <c r="P1292">
        <v>510.02</v>
      </c>
      <c r="Q1292">
        <v>535.02</v>
      </c>
      <c r="R1292" t="s">
        <v>2054</v>
      </c>
    </row>
    <row r="1293" spans="1:18" x14ac:dyDescent="0.25">
      <c r="A1293" t="s">
        <v>1344</v>
      </c>
      <c r="B1293" s="1">
        <v>45658</v>
      </c>
      <c r="C1293" s="1">
        <v>45659</v>
      </c>
      <c r="D1293" t="s">
        <v>18</v>
      </c>
      <c r="E1293" t="s">
        <v>19</v>
      </c>
      <c r="F1293" t="s">
        <v>20</v>
      </c>
      <c r="G1293" t="s">
        <v>35</v>
      </c>
      <c r="H1293" t="s">
        <v>40</v>
      </c>
      <c r="I1293">
        <v>14</v>
      </c>
      <c r="J1293">
        <v>26.83</v>
      </c>
      <c r="K1293">
        <v>12</v>
      </c>
      <c r="L1293">
        <v>327</v>
      </c>
      <c r="M1293">
        <v>24.05</v>
      </c>
      <c r="N1293" t="s">
        <v>23</v>
      </c>
      <c r="O1293">
        <v>1</v>
      </c>
      <c r="P1293">
        <v>375.62</v>
      </c>
      <c r="Q1293">
        <v>387.62</v>
      </c>
      <c r="R1293" t="s">
        <v>2054</v>
      </c>
    </row>
    <row r="1294" spans="1:18" x14ac:dyDescent="0.25">
      <c r="A1294" t="s">
        <v>1345</v>
      </c>
      <c r="B1294" s="1">
        <v>45659</v>
      </c>
      <c r="C1294" s="1">
        <v>45660</v>
      </c>
      <c r="D1294" t="s">
        <v>118</v>
      </c>
      <c r="E1294" t="s">
        <v>79</v>
      </c>
      <c r="F1294" t="s">
        <v>80</v>
      </c>
      <c r="G1294" t="s">
        <v>35</v>
      </c>
      <c r="H1294" t="s">
        <v>40</v>
      </c>
      <c r="I1294">
        <v>3</v>
      </c>
      <c r="J1294">
        <v>37.729999999999997</v>
      </c>
      <c r="K1294">
        <v>18</v>
      </c>
      <c r="L1294">
        <v>130</v>
      </c>
      <c r="M1294">
        <v>41.93</v>
      </c>
      <c r="N1294" t="s">
        <v>23</v>
      </c>
      <c r="O1294">
        <v>1</v>
      </c>
      <c r="P1294">
        <v>113.19</v>
      </c>
      <c r="Q1294">
        <v>131.19</v>
      </c>
      <c r="R1294" t="s">
        <v>2054</v>
      </c>
    </row>
    <row r="1295" spans="1:18" x14ac:dyDescent="0.25">
      <c r="A1295" t="s">
        <v>1346</v>
      </c>
      <c r="B1295" s="1">
        <v>45660</v>
      </c>
      <c r="C1295" s="1">
        <v>45663</v>
      </c>
      <c r="D1295" t="s">
        <v>82</v>
      </c>
      <c r="E1295" t="s">
        <v>79</v>
      </c>
      <c r="F1295" t="s">
        <v>80</v>
      </c>
      <c r="G1295" t="s">
        <v>21</v>
      </c>
      <c r="H1295" t="s">
        <v>32</v>
      </c>
      <c r="I1295">
        <v>1</v>
      </c>
      <c r="J1295">
        <v>113.61</v>
      </c>
      <c r="K1295">
        <v>12</v>
      </c>
      <c r="L1295">
        <v>279</v>
      </c>
      <c r="M1295">
        <v>45.12</v>
      </c>
      <c r="N1295" t="s">
        <v>23</v>
      </c>
      <c r="O1295">
        <v>3</v>
      </c>
      <c r="P1295">
        <v>113.61</v>
      </c>
      <c r="Q1295">
        <v>125.61</v>
      </c>
      <c r="R1295" t="s">
        <v>2054</v>
      </c>
    </row>
    <row r="1296" spans="1:18" x14ac:dyDescent="0.25">
      <c r="A1296" t="s">
        <v>1347</v>
      </c>
      <c r="B1296" s="1">
        <v>45661</v>
      </c>
      <c r="C1296" s="1">
        <v>45665</v>
      </c>
      <c r="D1296" t="s">
        <v>37</v>
      </c>
      <c r="E1296" t="s">
        <v>38</v>
      </c>
      <c r="F1296" t="s">
        <v>39</v>
      </c>
      <c r="G1296" t="s">
        <v>26</v>
      </c>
      <c r="H1296" t="s">
        <v>32</v>
      </c>
      <c r="I1296">
        <v>2</v>
      </c>
      <c r="J1296">
        <v>137.30000000000001</v>
      </c>
      <c r="K1296">
        <v>75</v>
      </c>
      <c r="L1296">
        <v>290</v>
      </c>
      <c r="M1296">
        <v>17.420000000000002</v>
      </c>
      <c r="N1296" t="s">
        <v>23</v>
      </c>
      <c r="O1296">
        <v>4</v>
      </c>
      <c r="P1296">
        <v>274.60000000000002</v>
      </c>
      <c r="Q1296">
        <v>349.6</v>
      </c>
      <c r="R1296" t="s">
        <v>2054</v>
      </c>
    </row>
    <row r="1297" spans="1:18" x14ac:dyDescent="0.25">
      <c r="A1297" t="s">
        <v>1348</v>
      </c>
      <c r="B1297" s="1">
        <v>45661</v>
      </c>
      <c r="C1297" s="1">
        <v>45664</v>
      </c>
      <c r="D1297" t="s">
        <v>78</v>
      </c>
      <c r="E1297" t="s">
        <v>79</v>
      </c>
      <c r="F1297" t="s">
        <v>80</v>
      </c>
      <c r="G1297" t="s">
        <v>35</v>
      </c>
      <c r="H1297" t="s">
        <v>40</v>
      </c>
      <c r="I1297">
        <v>3</v>
      </c>
      <c r="J1297">
        <v>138.13</v>
      </c>
      <c r="K1297">
        <v>18</v>
      </c>
      <c r="L1297">
        <v>33</v>
      </c>
      <c r="M1297">
        <v>177.48</v>
      </c>
      <c r="N1297" t="s">
        <v>23</v>
      </c>
      <c r="O1297">
        <v>3</v>
      </c>
      <c r="P1297">
        <v>414.39</v>
      </c>
      <c r="Q1297">
        <v>432.39</v>
      </c>
      <c r="R1297" t="s">
        <v>2055</v>
      </c>
    </row>
    <row r="1298" spans="1:18" x14ac:dyDescent="0.25">
      <c r="A1298" t="s">
        <v>1349</v>
      </c>
      <c r="B1298" s="1">
        <v>45662</v>
      </c>
      <c r="C1298" s="1">
        <v>45665</v>
      </c>
      <c r="D1298" t="s">
        <v>82</v>
      </c>
      <c r="E1298" t="s">
        <v>79</v>
      </c>
      <c r="F1298" t="s">
        <v>80</v>
      </c>
      <c r="G1298" t="s">
        <v>35</v>
      </c>
      <c r="H1298" t="s">
        <v>40</v>
      </c>
      <c r="I1298">
        <v>1</v>
      </c>
      <c r="J1298">
        <v>82.69</v>
      </c>
      <c r="K1298">
        <v>18</v>
      </c>
      <c r="L1298">
        <v>261</v>
      </c>
      <c r="M1298">
        <v>28.21</v>
      </c>
      <c r="N1298" t="s">
        <v>23</v>
      </c>
      <c r="O1298">
        <v>3</v>
      </c>
      <c r="P1298">
        <v>82.69</v>
      </c>
      <c r="Q1298">
        <v>100.69</v>
      </c>
      <c r="R1298" t="s">
        <v>2054</v>
      </c>
    </row>
    <row r="1299" spans="1:18" x14ac:dyDescent="0.25">
      <c r="A1299" t="s">
        <v>1350</v>
      </c>
      <c r="B1299" s="1">
        <v>45662</v>
      </c>
      <c r="C1299" s="1">
        <v>45667</v>
      </c>
      <c r="D1299" t="s">
        <v>37</v>
      </c>
      <c r="E1299" t="s">
        <v>38</v>
      </c>
      <c r="F1299" t="s">
        <v>39</v>
      </c>
      <c r="G1299" t="s">
        <v>35</v>
      </c>
      <c r="H1299" t="s">
        <v>40</v>
      </c>
      <c r="I1299">
        <v>2</v>
      </c>
      <c r="J1299">
        <v>486.25</v>
      </c>
      <c r="K1299">
        <v>112.5</v>
      </c>
      <c r="L1299">
        <v>162</v>
      </c>
      <c r="M1299">
        <v>138.25</v>
      </c>
      <c r="N1299" t="s">
        <v>23</v>
      </c>
      <c r="O1299">
        <v>5</v>
      </c>
      <c r="P1299">
        <v>972.5</v>
      </c>
      <c r="Q1299">
        <v>1085</v>
      </c>
      <c r="R1299" t="s">
        <v>2054</v>
      </c>
    </row>
    <row r="1300" spans="1:18" x14ac:dyDescent="0.25">
      <c r="A1300" t="s">
        <v>1351</v>
      </c>
      <c r="B1300" s="1">
        <v>45662</v>
      </c>
      <c r="C1300" s="1">
        <v>45664</v>
      </c>
      <c r="D1300" t="s">
        <v>34</v>
      </c>
      <c r="E1300" t="s">
        <v>30</v>
      </c>
      <c r="F1300" t="s">
        <v>31</v>
      </c>
      <c r="G1300" t="s">
        <v>35</v>
      </c>
      <c r="H1300" t="s">
        <v>40</v>
      </c>
      <c r="I1300">
        <v>4</v>
      </c>
      <c r="J1300">
        <v>130.12</v>
      </c>
      <c r="K1300">
        <v>18</v>
      </c>
      <c r="L1300">
        <v>50</v>
      </c>
      <c r="M1300">
        <v>199.18</v>
      </c>
      <c r="N1300" t="s">
        <v>23</v>
      </c>
      <c r="O1300">
        <v>2</v>
      </c>
      <c r="P1300">
        <v>520.48</v>
      </c>
      <c r="Q1300">
        <v>538.48</v>
      </c>
      <c r="R1300" t="s">
        <v>2055</v>
      </c>
    </row>
    <row r="1301" spans="1:18" x14ac:dyDescent="0.25">
      <c r="A1301" t="s">
        <v>1352</v>
      </c>
      <c r="B1301" s="1">
        <v>45664</v>
      </c>
      <c r="C1301" s="1">
        <v>45665</v>
      </c>
      <c r="D1301" t="s">
        <v>34</v>
      </c>
      <c r="E1301" t="s">
        <v>30</v>
      </c>
      <c r="F1301" t="s">
        <v>31</v>
      </c>
      <c r="G1301" t="s">
        <v>26</v>
      </c>
      <c r="H1301" t="s">
        <v>27</v>
      </c>
      <c r="I1301">
        <v>2</v>
      </c>
      <c r="J1301">
        <v>76.23</v>
      </c>
      <c r="K1301">
        <v>12</v>
      </c>
      <c r="L1301">
        <v>362</v>
      </c>
      <c r="M1301">
        <v>54.99</v>
      </c>
      <c r="N1301" t="s">
        <v>23</v>
      </c>
      <c r="O1301">
        <v>1</v>
      </c>
      <c r="P1301">
        <v>152.46</v>
      </c>
      <c r="Q1301">
        <v>164.46</v>
      </c>
      <c r="R1301" t="s">
        <v>2054</v>
      </c>
    </row>
    <row r="1302" spans="1:18" x14ac:dyDescent="0.25">
      <c r="A1302" t="s">
        <v>1353</v>
      </c>
      <c r="B1302" s="1">
        <v>45664</v>
      </c>
      <c r="C1302" s="1">
        <v>45666</v>
      </c>
      <c r="D1302" t="s">
        <v>58</v>
      </c>
      <c r="E1302" t="s">
        <v>19</v>
      </c>
      <c r="F1302" t="s">
        <v>20</v>
      </c>
      <c r="G1302" t="s">
        <v>35</v>
      </c>
      <c r="H1302" t="s">
        <v>40</v>
      </c>
      <c r="I1302">
        <v>11</v>
      </c>
      <c r="J1302">
        <v>13.95</v>
      </c>
      <c r="K1302">
        <v>12</v>
      </c>
      <c r="L1302">
        <v>327</v>
      </c>
      <c r="M1302">
        <v>6.28</v>
      </c>
      <c r="N1302" t="s">
        <v>23</v>
      </c>
      <c r="O1302">
        <v>2</v>
      </c>
      <c r="P1302">
        <v>153.44999999999999</v>
      </c>
      <c r="Q1302">
        <v>165.45</v>
      </c>
      <c r="R1302" t="s">
        <v>2054</v>
      </c>
    </row>
    <row r="1303" spans="1:18" x14ac:dyDescent="0.25">
      <c r="A1303" t="s">
        <v>1354</v>
      </c>
      <c r="B1303" s="1">
        <v>45664</v>
      </c>
      <c r="C1303" s="1">
        <v>45666</v>
      </c>
      <c r="D1303" t="s">
        <v>25</v>
      </c>
      <c r="E1303" t="s">
        <v>19</v>
      </c>
      <c r="F1303" t="s">
        <v>20</v>
      </c>
      <c r="G1303" t="s">
        <v>21</v>
      </c>
      <c r="H1303" t="s">
        <v>22</v>
      </c>
      <c r="I1303">
        <v>9</v>
      </c>
      <c r="J1303">
        <v>43.58</v>
      </c>
      <c r="K1303">
        <v>8</v>
      </c>
      <c r="L1303">
        <v>8</v>
      </c>
      <c r="M1303">
        <v>27.38</v>
      </c>
      <c r="N1303" t="s">
        <v>23</v>
      </c>
      <c r="O1303">
        <v>2</v>
      </c>
      <c r="P1303">
        <v>392.21999999999997</v>
      </c>
      <c r="Q1303">
        <v>400.21999999999997</v>
      </c>
      <c r="R1303" t="s">
        <v>2056</v>
      </c>
    </row>
    <row r="1304" spans="1:18" x14ac:dyDescent="0.25">
      <c r="A1304" t="s">
        <v>1355</v>
      </c>
      <c r="B1304" s="1">
        <v>45664</v>
      </c>
      <c r="C1304" s="1">
        <v>45667</v>
      </c>
      <c r="D1304" t="s">
        <v>43</v>
      </c>
      <c r="E1304" t="s">
        <v>44</v>
      </c>
      <c r="F1304" t="s">
        <v>45</v>
      </c>
      <c r="G1304" t="s">
        <v>21</v>
      </c>
      <c r="H1304" t="s">
        <v>27</v>
      </c>
      <c r="I1304">
        <v>3</v>
      </c>
      <c r="J1304">
        <v>1123.0899999999999</v>
      </c>
      <c r="K1304">
        <v>25</v>
      </c>
      <c r="L1304">
        <v>45</v>
      </c>
      <c r="M1304">
        <v>1166.74</v>
      </c>
      <c r="N1304" t="s">
        <v>23</v>
      </c>
      <c r="O1304">
        <v>3</v>
      </c>
      <c r="P1304">
        <v>3369.2699999999995</v>
      </c>
      <c r="Q1304">
        <v>3394.2699999999995</v>
      </c>
      <c r="R1304" t="s">
        <v>2055</v>
      </c>
    </row>
    <row r="1305" spans="1:18" x14ac:dyDescent="0.25">
      <c r="A1305" t="s">
        <v>1356</v>
      </c>
      <c r="B1305" s="1">
        <v>45665</v>
      </c>
      <c r="C1305" s="1">
        <v>45673</v>
      </c>
      <c r="D1305" t="s">
        <v>29</v>
      </c>
      <c r="E1305" t="s">
        <v>30</v>
      </c>
      <c r="F1305" t="s">
        <v>31</v>
      </c>
      <c r="G1305" t="s">
        <v>35</v>
      </c>
      <c r="H1305" t="s">
        <v>40</v>
      </c>
      <c r="I1305">
        <v>2</v>
      </c>
      <c r="J1305">
        <v>55.84</v>
      </c>
      <c r="K1305">
        <v>18</v>
      </c>
      <c r="L1305">
        <v>311</v>
      </c>
      <c r="M1305">
        <v>35.68</v>
      </c>
      <c r="N1305" t="s">
        <v>63</v>
      </c>
      <c r="O1305">
        <v>8</v>
      </c>
      <c r="P1305">
        <v>111.68</v>
      </c>
      <c r="Q1305">
        <v>129.68</v>
      </c>
      <c r="R1305" t="s">
        <v>2054</v>
      </c>
    </row>
    <row r="1306" spans="1:18" x14ac:dyDescent="0.25">
      <c r="A1306" t="s">
        <v>1357</v>
      </c>
      <c r="B1306" s="1">
        <v>45665</v>
      </c>
      <c r="C1306" s="1">
        <v>45673</v>
      </c>
      <c r="D1306" t="s">
        <v>18</v>
      </c>
      <c r="E1306" t="s">
        <v>19</v>
      </c>
      <c r="F1306" t="s">
        <v>20</v>
      </c>
      <c r="G1306" t="s">
        <v>35</v>
      </c>
      <c r="H1306" t="s">
        <v>40</v>
      </c>
      <c r="I1306">
        <v>12</v>
      </c>
      <c r="J1306">
        <v>20.75</v>
      </c>
      <c r="K1306">
        <v>12</v>
      </c>
      <c r="L1306">
        <v>1</v>
      </c>
      <c r="M1306">
        <v>13.92</v>
      </c>
      <c r="N1306" t="s">
        <v>63</v>
      </c>
      <c r="O1306">
        <v>8</v>
      </c>
      <c r="P1306">
        <v>249</v>
      </c>
      <c r="Q1306">
        <v>261</v>
      </c>
      <c r="R1306" t="s">
        <v>2056</v>
      </c>
    </row>
    <row r="1307" spans="1:18" x14ac:dyDescent="0.25">
      <c r="A1307" t="s">
        <v>1358</v>
      </c>
      <c r="B1307" s="1">
        <v>45665</v>
      </c>
      <c r="C1307" s="1">
        <v>45670</v>
      </c>
      <c r="D1307" t="s">
        <v>54</v>
      </c>
      <c r="E1307" t="s">
        <v>38</v>
      </c>
      <c r="F1307" t="s">
        <v>39</v>
      </c>
      <c r="G1307" t="s">
        <v>26</v>
      </c>
      <c r="H1307" t="s">
        <v>27</v>
      </c>
      <c r="I1307">
        <v>2</v>
      </c>
      <c r="J1307">
        <v>167.86</v>
      </c>
      <c r="K1307">
        <v>75</v>
      </c>
      <c r="L1307">
        <v>353</v>
      </c>
      <c r="M1307">
        <v>29.65</v>
      </c>
      <c r="N1307" t="s">
        <v>23</v>
      </c>
      <c r="O1307">
        <v>5</v>
      </c>
      <c r="P1307">
        <v>335.72</v>
      </c>
      <c r="Q1307">
        <v>410.72</v>
      </c>
      <c r="R1307" t="s">
        <v>2054</v>
      </c>
    </row>
    <row r="1308" spans="1:18" x14ac:dyDescent="0.25">
      <c r="A1308" t="s">
        <v>1359</v>
      </c>
      <c r="B1308" s="1">
        <v>45666</v>
      </c>
      <c r="C1308" s="1">
        <v>45670</v>
      </c>
      <c r="D1308" t="s">
        <v>43</v>
      </c>
      <c r="E1308" t="s">
        <v>44</v>
      </c>
      <c r="F1308" t="s">
        <v>45</v>
      </c>
      <c r="G1308" t="s">
        <v>21</v>
      </c>
      <c r="H1308" t="s">
        <v>40</v>
      </c>
      <c r="I1308">
        <v>3</v>
      </c>
      <c r="J1308">
        <v>796.45</v>
      </c>
      <c r="K1308">
        <v>37.5</v>
      </c>
      <c r="L1308">
        <v>353</v>
      </c>
      <c r="M1308">
        <v>817.52</v>
      </c>
      <c r="N1308" t="s">
        <v>23</v>
      </c>
      <c r="O1308">
        <v>4</v>
      </c>
      <c r="P1308">
        <v>2389.3500000000004</v>
      </c>
      <c r="Q1308">
        <v>2426.8500000000004</v>
      </c>
      <c r="R1308" t="s">
        <v>2054</v>
      </c>
    </row>
    <row r="1309" spans="1:18" x14ac:dyDescent="0.25">
      <c r="A1309" t="s">
        <v>1360</v>
      </c>
      <c r="B1309" s="1">
        <v>45667</v>
      </c>
      <c r="C1309" s="1">
        <v>45672</v>
      </c>
      <c r="D1309" t="s">
        <v>72</v>
      </c>
      <c r="E1309" t="s">
        <v>44</v>
      </c>
      <c r="F1309" t="s">
        <v>45</v>
      </c>
      <c r="G1309" t="s">
        <v>21</v>
      </c>
      <c r="H1309" t="s">
        <v>40</v>
      </c>
      <c r="I1309">
        <v>1</v>
      </c>
      <c r="J1309">
        <v>955.19</v>
      </c>
      <c r="K1309">
        <v>37.5</v>
      </c>
      <c r="L1309">
        <v>43</v>
      </c>
      <c r="M1309">
        <v>315.57</v>
      </c>
      <c r="N1309" t="s">
        <v>23</v>
      </c>
      <c r="O1309">
        <v>5</v>
      </c>
      <c r="P1309">
        <v>955.19</v>
      </c>
      <c r="Q1309">
        <v>992.69</v>
      </c>
      <c r="R1309" t="s">
        <v>2055</v>
      </c>
    </row>
    <row r="1310" spans="1:18" x14ac:dyDescent="0.25">
      <c r="A1310" t="s">
        <v>1361</v>
      </c>
      <c r="B1310" s="1">
        <v>45668</v>
      </c>
      <c r="C1310" s="1">
        <v>45677</v>
      </c>
      <c r="D1310" t="s">
        <v>34</v>
      </c>
      <c r="E1310" t="s">
        <v>30</v>
      </c>
      <c r="F1310" t="s">
        <v>31</v>
      </c>
      <c r="G1310" t="s">
        <v>35</v>
      </c>
      <c r="H1310" t="s">
        <v>40</v>
      </c>
      <c r="I1310">
        <v>1</v>
      </c>
      <c r="J1310">
        <v>119.61</v>
      </c>
      <c r="K1310">
        <v>18</v>
      </c>
      <c r="L1310">
        <v>189</v>
      </c>
      <c r="M1310">
        <v>38.840000000000003</v>
      </c>
      <c r="N1310" t="s">
        <v>63</v>
      </c>
      <c r="O1310">
        <v>9</v>
      </c>
      <c r="P1310">
        <v>119.61</v>
      </c>
      <c r="Q1310">
        <v>137.61000000000001</v>
      </c>
      <c r="R1310" t="s">
        <v>2054</v>
      </c>
    </row>
    <row r="1311" spans="1:18" x14ac:dyDescent="0.25">
      <c r="A1311" t="s">
        <v>1362</v>
      </c>
      <c r="B1311" s="1">
        <v>45669</v>
      </c>
      <c r="C1311" s="1">
        <v>45674</v>
      </c>
      <c r="D1311" t="s">
        <v>18</v>
      </c>
      <c r="E1311" t="s">
        <v>19</v>
      </c>
      <c r="F1311" t="s">
        <v>20</v>
      </c>
      <c r="G1311" t="s">
        <v>21</v>
      </c>
      <c r="H1311" t="s">
        <v>32</v>
      </c>
      <c r="I1311">
        <v>14</v>
      </c>
      <c r="J1311">
        <v>11.82</v>
      </c>
      <c r="K1311">
        <v>8</v>
      </c>
      <c r="L1311">
        <v>157</v>
      </c>
      <c r="M1311">
        <v>9.24</v>
      </c>
      <c r="N1311" t="s">
        <v>23</v>
      </c>
      <c r="O1311">
        <v>5</v>
      </c>
      <c r="P1311">
        <v>165.48000000000002</v>
      </c>
      <c r="Q1311">
        <v>173.48000000000002</v>
      </c>
      <c r="R1311" t="s">
        <v>2054</v>
      </c>
    </row>
    <row r="1312" spans="1:18" x14ac:dyDescent="0.25">
      <c r="A1312" t="s">
        <v>1363</v>
      </c>
      <c r="B1312" s="1">
        <v>45670</v>
      </c>
      <c r="C1312" s="1">
        <v>45671</v>
      </c>
      <c r="D1312" t="s">
        <v>52</v>
      </c>
      <c r="E1312" t="s">
        <v>30</v>
      </c>
      <c r="F1312" t="s">
        <v>31</v>
      </c>
      <c r="G1312" t="s">
        <v>35</v>
      </c>
      <c r="H1312" t="s">
        <v>40</v>
      </c>
      <c r="I1312">
        <v>2</v>
      </c>
      <c r="J1312">
        <v>46.78</v>
      </c>
      <c r="K1312">
        <v>18</v>
      </c>
      <c r="L1312">
        <v>354</v>
      </c>
      <c r="M1312">
        <v>28.42</v>
      </c>
      <c r="N1312" t="s">
        <v>23</v>
      </c>
      <c r="O1312">
        <v>1</v>
      </c>
      <c r="P1312">
        <v>93.56</v>
      </c>
      <c r="Q1312">
        <v>111.56</v>
      </c>
      <c r="R1312" t="s">
        <v>2054</v>
      </c>
    </row>
    <row r="1313" spans="1:18" x14ac:dyDescent="0.25">
      <c r="A1313" t="s">
        <v>1364</v>
      </c>
      <c r="B1313" s="1">
        <v>45670</v>
      </c>
      <c r="C1313" s="1">
        <v>45672</v>
      </c>
      <c r="D1313" t="s">
        <v>37</v>
      </c>
      <c r="E1313" t="s">
        <v>38</v>
      </c>
      <c r="F1313" t="s">
        <v>39</v>
      </c>
      <c r="G1313" t="s">
        <v>21</v>
      </c>
      <c r="H1313" t="s">
        <v>40</v>
      </c>
      <c r="I1313">
        <v>1</v>
      </c>
      <c r="J1313">
        <v>469.95</v>
      </c>
      <c r="K1313">
        <v>112.5</v>
      </c>
      <c r="L1313">
        <v>237</v>
      </c>
      <c r="M1313">
        <v>37.74</v>
      </c>
      <c r="N1313" t="s">
        <v>23</v>
      </c>
      <c r="O1313">
        <v>2</v>
      </c>
      <c r="P1313">
        <v>469.95</v>
      </c>
      <c r="Q1313">
        <v>582.45000000000005</v>
      </c>
      <c r="R1313" t="s">
        <v>2054</v>
      </c>
    </row>
    <row r="1314" spans="1:18" x14ac:dyDescent="0.25">
      <c r="A1314" t="s">
        <v>1365</v>
      </c>
      <c r="B1314" s="1">
        <v>45670</v>
      </c>
      <c r="C1314" s="1">
        <v>45683</v>
      </c>
      <c r="D1314" t="s">
        <v>34</v>
      </c>
      <c r="E1314" t="s">
        <v>30</v>
      </c>
      <c r="F1314" t="s">
        <v>31</v>
      </c>
      <c r="G1314" t="s">
        <v>35</v>
      </c>
      <c r="H1314" t="s">
        <v>27</v>
      </c>
      <c r="I1314">
        <v>3</v>
      </c>
      <c r="J1314">
        <v>65.94</v>
      </c>
      <c r="K1314">
        <v>12</v>
      </c>
      <c r="L1314">
        <v>128</v>
      </c>
      <c r="M1314">
        <v>73.12</v>
      </c>
      <c r="N1314" t="s">
        <v>47</v>
      </c>
      <c r="O1314">
        <v>13</v>
      </c>
      <c r="P1314">
        <v>197.82</v>
      </c>
      <c r="Q1314">
        <v>209.82</v>
      </c>
      <c r="R1314" t="s">
        <v>2054</v>
      </c>
    </row>
    <row r="1315" spans="1:18" x14ac:dyDescent="0.25">
      <c r="A1315" t="s">
        <v>1366</v>
      </c>
      <c r="B1315" s="1">
        <v>45670</v>
      </c>
      <c r="C1315" s="1">
        <v>45671</v>
      </c>
      <c r="D1315" t="s">
        <v>118</v>
      </c>
      <c r="E1315" t="s">
        <v>79</v>
      </c>
      <c r="F1315" t="s">
        <v>80</v>
      </c>
      <c r="G1315" t="s">
        <v>35</v>
      </c>
      <c r="H1315" t="s">
        <v>27</v>
      </c>
      <c r="I1315">
        <v>1</v>
      </c>
      <c r="J1315">
        <v>142.76</v>
      </c>
      <c r="K1315">
        <v>12</v>
      </c>
      <c r="L1315">
        <v>323</v>
      </c>
      <c r="M1315">
        <v>58.24</v>
      </c>
      <c r="N1315" t="s">
        <v>23</v>
      </c>
      <c r="O1315">
        <v>1</v>
      </c>
      <c r="P1315">
        <v>142.76</v>
      </c>
      <c r="Q1315">
        <v>154.76</v>
      </c>
      <c r="R1315" t="s">
        <v>2054</v>
      </c>
    </row>
    <row r="1316" spans="1:18" x14ac:dyDescent="0.25">
      <c r="A1316" t="s">
        <v>1367</v>
      </c>
      <c r="B1316" s="1">
        <v>45672</v>
      </c>
      <c r="C1316" s="1">
        <v>45676</v>
      </c>
      <c r="D1316" t="s">
        <v>25</v>
      </c>
      <c r="E1316" t="s">
        <v>19</v>
      </c>
      <c r="F1316" t="s">
        <v>20</v>
      </c>
      <c r="G1316" t="s">
        <v>35</v>
      </c>
      <c r="H1316" t="s">
        <v>40</v>
      </c>
      <c r="I1316">
        <v>6</v>
      </c>
      <c r="J1316">
        <v>19.66</v>
      </c>
      <c r="K1316">
        <v>12</v>
      </c>
      <c r="L1316">
        <v>71</v>
      </c>
      <c r="M1316">
        <v>3.44</v>
      </c>
      <c r="N1316" t="s">
        <v>23</v>
      </c>
      <c r="O1316">
        <v>4</v>
      </c>
      <c r="P1316">
        <v>117.96000000000001</v>
      </c>
      <c r="Q1316">
        <v>129.96</v>
      </c>
      <c r="R1316" t="s">
        <v>2054</v>
      </c>
    </row>
    <row r="1317" spans="1:18" x14ac:dyDescent="0.25">
      <c r="A1317" t="s">
        <v>1368</v>
      </c>
      <c r="B1317" s="1">
        <v>45672</v>
      </c>
      <c r="C1317" s="1">
        <v>45674</v>
      </c>
      <c r="D1317" t="s">
        <v>54</v>
      </c>
      <c r="E1317" t="s">
        <v>38</v>
      </c>
      <c r="F1317" t="s">
        <v>39</v>
      </c>
      <c r="G1317" t="s">
        <v>26</v>
      </c>
      <c r="H1317" t="s">
        <v>27</v>
      </c>
      <c r="I1317">
        <v>2</v>
      </c>
      <c r="J1317">
        <v>317.7</v>
      </c>
      <c r="K1317">
        <v>75</v>
      </c>
      <c r="L1317">
        <v>205</v>
      </c>
      <c r="M1317">
        <v>89.58</v>
      </c>
      <c r="N1317" t="s">
        <v>23</v>
      </c>
      <c r="O1317">
        <v>2</v>
      </c>
      <c r="P1317">
        <v>635.4</v>
      </c>
      <c r="Q1317">
        <v>710.4</v>
      </c>
      <c r="R1317" t="s">
        <v>2054</v>
      </c>
    </row>
    <row r="1318" spans="1:18" x14ac:dyDescent="0.25">
      <c r="A1318" t="s">
        <v>1369</v>
      </c>
      <c r="B1318" s="1">
        <v>45674</v>
      </c>
      <c r="C1318" s="1">
        <v>45679</v>
      </c>
      <c r="D1318" t="s">
        <v>52</v>
      </c>
      <c r="E1318" t="s">
        <v>30</v>
      </c>
      <c r="F1318" t="s">
        <v>31</v>
      </c>
      <c r="G1318" t="s">
        <v>35</v>
      </c>
      <c r="H1318" t="s">
        <v>27</v>
      </c>
      <c r="I1318">
        <v>3</v>
      </c>
      <c r="J1318">
        <v>76.45</v>
      </c>
      <c r="K1318">
        <v>12</v>
      </c>
      <c r="L1318">
        <v>76</v>
      </c>
      <c r="M1318">
        <v>85.74</v>
      </c>
      <c r="N1318" t="s">
        <v>23</v>
      </c>
      <c r="O1318">
        <v>5</v>
      </c>
      <c r="P1318">
        <v>229.35000000000002</v>
      </c>
      <c r="Q1318">
        <v>241.35000000000002</v>
      </c>
      <c r="R1318" t="s">
        <v>2054</v>
      </c>
    </row>
    <row r="1319" spans="1:18" x14ac:dyDescent="0.25">
      <c r="A1319" t="s">
        <v>1370</v>
      </c>
      <c r="B1319" s="1">
        <v>45674</v>
      </c>
      <c r="C1319" s="1">
        <v>45679</v>
      </c>
      <c r="D1319" t="s">
        <v>18</v>
      </c>
      <c r="E1319" t="s">
        <v>19</v>
      </c>
      <c r="F1319" t="s">
        <v>20</v>
      </c>
      <c r="G1319" t="s">
        <v>21</v>
      </c>
      <c r="H1319" t="s">
        <v>22</v>
      </c>
      <c r="I1319">
        <v>10</v>
      </c>
      <c r="J1319">
        <v>28.82</v>
      </c>
      <c r="K1319">
        <v>8</v>
      </c>
      <c r="L1319">
        <v>173</v>
      </c>
      <c r="M1319">
        <v>19.059999999999999</v>
      </c>
      <c r="N1319" t="s">
        <v>23</v>
      </c>
      <c r="O1319">
        <v>5</v>
      </c>
      <c r="P1319">
        <v>288.2</v>
      </c>
      <c r="Q1319">
        <v>296.2</v>
      </c>
      <c r="R1319" t="s">
        <v>2054</v>
      </c>
    </row>
    <row r="1320" spans="1:18" x14ac:dyDescent="0.25">
      <c r="A1320" t="s">
        <v>1371</v>
      </c>
      <c r="B1320" s="1">
        <v>45674</v>
      </c>
      <c r="C1320" s="1">
        <v>45678</v>
      </c>
      <c r="D1320" t="s">
        <v>29</v>
      </c>
      <c r="E1320" t="s">
        <v>30</v>
      </c>
      <c r="F1320" t="s">
        <v>31</v>
      </c>
      <c r="G1320" t="s">
        <v>35</v>
      </c>
      <c r="H1320" t="s">
        <v>32</v>
      </c>
      <c r="I1320">
        <v>3</v>
      </c>
      <c r="J1320">
        <v>141.57</v>
      </c>
      <c r="K1320">
        <v>12</v>
      </c>
      <c r="L1320">
        <v>313</v>
      </c>
      <c r="M1320">
        <v>163.88</v>
      </c>
      <c r="N1320" t="s">
        <v>23</v>
      </c>
      <c r="O1320">
        <v>4</v>
      </c>
      <c r="P1320">
        <v>424.71</v>
      </c>
      <c r="Q1320">
        <v>436.71</v>
      </c>
      <c r="R1320" t="s">
        <v>2054</v>
      </c>
    </row>
    <row r="1321" spans="1:18" x14ac:dyDescent="0.25">
      <c r="A1321" t="s">
        <v>1372</v>
      </c>
      <c r="B1321" s="1">
        <v>45674</v>
      </c>
      <c r="C1321" s="1">
        <v>45678</v>
      </c>
      <c r="D1321" t="s">
        <v>75</v>
      </c>
      <c r="E1321" t="s">
        <v>44</v>
      </c>
      <c r="F1321" t="s">
        <v>45</v>
      </c>
      <c r="G1321" t="s">
        <v>21</v>
      </c>
      <c r="H1321" t="s">
        <v>40</v>
      </c>
      <c r="I1321">
        <v>1</v>
      </c>
      <c r="J1321">
        <v>545.20000000000005</v>
      </c>
      <c r="K1321">
        <v>37.5</v>
      </c>
      <c r="L1321">
        <v>132</v>
      </c>
      <c r="M1321">
        <v>172.07</v>
      </c>
      <c r="N1321" t="s">
        <v>23</v>
      </c>
      <c r="O1321">
        <v>4</v>
      </c>
      <c r="P1321">
        <v>545.20000000000005</v>
      </c>
      <c r="Q1321">
        <v>582.70000000000005</v>
      </c>
      <c r="R1321" t="s">
        <v>2054</v>
      </c>
    </row>
    <row r="1322" spans="1:18" x14ac:dyDescent="0.25">
      <c r="A1322" t="s">
        <v>1373</v>
      </c>
      <c r="B1322" s="1">
        <v>45675</v>
      </c>
      <c r="C1322" s="1">
        <v>45692</v>
      </c>
      <c r="D1322" t="s">
        <v>52</v>
      </c>
      <c r="E1322" t="s">
        <v>30</v>
      </c>
      <c r="F1322" t="s">
        <v>31</v>
      </c>
      <c r="G1322" t="s">
        <v>35</v>
      </c>
      <c r="H1322" t="s">
        <v>32</v>
      </c>
      <c r="I1322">
        <v>4</v>
      </c>
      <c r="J1322">
        <v>139.13999999999999</v>
      </c>
      <c r="K1322">
        <v>12</v>
      </c>
      <c r="L1322">
        <v>382</v>
      </c>
      <c r="M1322">
        <v>216.62</v>
      </c>
      <c r="N1322" t="s">
        <v>47</v>
      </c>
      <c r="O1322">
        <v>17</v>
      </c>
      <c r="P1322">
        <v>556.55999999999995</v>
      </c>
      <c r="Q1322">
        <v>568.55999999999995</v>
      </c>
      <c r="R1322" t="s">
        <v>2054</v>
      </c>
    </row>
    <row r="1323" spans="1:18" x14ac:dyDescent="0.25">
      <c r="A1323" t="s">
        <v>1374</v>
      </c>
      <c r="B1323" s="1">
        <v>45675</v>
      </c>
      <c r="C1323" s="1">
        <v>45677</v>
      </c>
      <c r="D1323" t="s">
        <v>43</v>
      </c>
      <c r="E1323" t="s">
        <v>44</v>
      </c>
      <c r="F1323" t="s">
        <v>45</v>
      </c>
      <c r="G1323" t="s">
        <v>21</v>
      </c>
      <c r="H1323" t="s">
        <v>40</v>
      </c>
      <c r="I1323">
        <v>3</v>
      </c>
      <c r="J1323">
        <v>686.35</v>
      </c>
      <c r="K1323">
        <v>37.5</v>
      </c>
      <c r="L1323">
        <v>25</v>
      </c>
      <c r="M1323">
        <v>701.92</v>
      </c>
      <c r="N1323" t="s">
        <v>23</v>
      </c>
      <c r="O1323">
        <v>2</v>
      </c>
      <c r="P1323">
        <v>2059.0500000000002</v>
      </c>
      <c r="Q1323">
        <v>2096.5500000000002</v>
      </c>
      <c r="R1323" t="s">
        <v>2055</v>
      </c>
    </row>
    <row r="1324" spans="1:18" x14ac:dyDescent="0.25">
      <c r="A1324" t="s">
        <v>1375</v>
      </c>
      <c r="B1324" s="1">
        <v>45676</v>
      </c>
      <c r="C1324" s="1">
        <v>45680</v>
      </c>
      <c r="D1324" t="s">
        <v>25</v>
      </c>
      <c r="E1324" t="s">
        <v>19</v>
      </c>
      <c r="F1324" t="s">
        <v>20</v>
      </c>
      <c r="G1324" t="s">
        <v>21</v>
      </c>
      <c r="H1324" t="s">
        <v>27</v>
      </c>
      <c r="I1324">
        <v>14</v>
      </c>
      <c r="J1324">
        <v>41.36</v>
      </c>
      <c r="K1324">
        <v>8</v>
      </c>
      <c r="L1324">
        <v>244</v>
      </c>
      <c r="M1324">
        <v>-86.85</v>
      </c>
      <c r="N1324" t="s">
        <v>23</v>
      </c>
      <c r="O1324">
        <v>4</v>
      </c>
      <c r="P1324">
        <v>579.04</v>
      </c>
      <c r="Q1324">
        <v>587.04</v>
      </c>
      <c r="R1324" t="s">
        <v>2054</v>
      </c>
    </row>
    <row r="1325" spans="1:18" x14ac:dyDescent="0.25">
      <c r="A1325" t="s">
        <v>1376</v>
      </c>
      <c r="B1325" s="1">
        <v>45676</v>
      </c>
      <c r="C1325" s="1">
        <v>45679</v>
      </c>
      <c r="D1325" t="s">
        <v>34</v>
      </c>
      <c r="E1325" t="s">
        <v>30</v>
      </c>
      <c r="F1325" t="s">
        <v>31</v>
      </c>
      <c r="G1325" t="s">
        <v>35</v>
      </c>
      <c r="H1325" t="s">
        <v>40</v>
      </c>
      <c r="I1325">
        <v>2</v>
      </c>
      <c r="J1325">
        <v>98.41</v>
      </c>
      <c r="K1325">
        <v>18</v>
      </c>
      <c r="L1325">
        <v>28</v>
      </c>
      <c r="M1325">
        <v>69.73</v>
      </c>
      <c r="N1325" t="s">
        <v>23</v>
      </c>
      <c r="O1325">
        <v>3</v>
      </c>
      <c r="P1325">
        <v>196.82</v>
      </c>
      <c r="Q1325">
        <v>214.82</v>
      </c>
      <c r="R1325" t="s">
        <v>2055</v>
      </c>
    </row>
    <row r="1326" spans="1:18" x14ac:dyDescent="0.25">
      <c r="A1326" t="s">
        <v>1377</v>
      </c>
      <c r="B1326" s="1">
        <v>45676</v>
      </c>
      <c r="C1326" s="1">
        <v>45687</v>
      </c>
      <c r="D1326" t="s">
        <v>118</v>
      </c>
      <c r="E1326" t="s">
        <v>79</v>
      </c>
      <c r="F1326" t="s">
        <v>80</v>
      </c>
      <c r="G1326" t="s">
        <v>35</v>
      </c>
      <c r="H1326" t="s">
        <v>40</v>
      </c>
      <c r="I1326">
        <v>1</v>
      </c>
      <c r="J1326">
        <v>115.44</v>
      </c>
      <c r="K1326">
        <v>18</v>
      </c>
      <c r="L1326">
        <v>321</v>
      </c>
      <c r="M1326">
        <v>42.95</v>
      </c>
      <c r="N1326" t="s">
        <v>47</v>
      </c>
      <c r="O1326">
        <v>11</v>
      </c>
      <c r="P1326">
        <v>115.44</v>
      </c>
      <c r="Q1326">
        <v>133.44</v>
      </c>
      <c r="R1326" t="s">
        <v>2054</v>
      </c>
    </row>
    <row r="1327" spans="1:18" x14ac:dyDescent="0.25">
      <c r="A1327" t="s">
        <v>1378</v>
      </c>
      <c r="B1327" s="1">
        <v>45677</v>
      </c>
      <c r="C1327" s="1">
        <v>45689</v>
      </c>
      <c r="D1327" t="s">
        <v>18</v>
      </c>
      <c r="E1327" t="s">
        <v>19</v>
      </c>
      <c r="F1327" t="s">
        <v>20</v>
      </c>
      <c r="G1327" t="s">
        <v>35</v>
      </c>
      <c r="H1327" t="s">
        <v>40</v>
      </c>
      <c r="I1327">
        <v>11</v>
      </c>
      <c r="J1327">
        <v>20.91</v>
      </c>
      <c r="K1327">
        <v>12</v>
      </c>
      <c r="L1327">
        <v>371</v>
      </c>
      <c r="M1327">
        <v>12.4</v>
      </c>
      <c r="N1327" t="s">
        <v>47</v>
      </c>
      <c r="O1327">
        <v>12</v>
      </c>
      <c r="P1327">
        <v>230.01</v>
      </c>
      <c r="Q1327">
        <v>242.01</v>
      </c>
      <c r="R1327" t="s">
        <v>2054</v>
      </c>
    </row>
    <row r="1328" spans="1:18" x14ac:dyDescent="0.25">
      <c r="A1328" t="s">
        <v>1379</v>
      </c>
      <c r="B1328" s="1">
        <v>45677</v>
      </c>
      <c r="C1328" s="1">
        <v>45680</v>
      </c>
      <c r="D1328" t="s">
        <v>118</v>
      </c>
      <c r="E1328" t="s">
        <v>79</v>
      </c>
      <c r="F1328" t="s">
        <v>80</v>
      </c>
      <c r="G1328" t="s">
        <v>26</v>
      </c>
      <c r="H1328" t="s">
        <v>32</v>
      </c>
      <c r="I1328">
        <v>4</v>
      </c>
      <c r="J1328">
        <v>143.21</v>
      </c>
      <c r="K1328">
        <v>12</v>
      </c>
      <c r="L1328">
        <v>129</v>
      </c>
      <c r="M1328">
        <v>-85.92</v>
      </c>
      <c r="N1328" t="s">
        <v>23</v>
      </c>
      <c r="O1328">
        <v>3</v>
      </c>
      <c r="P1328">
        <v>572.84</v>
      </c>
      <c r="Q1328">
        <v>584.84</v>
      </c>
      <c r="R1328" t="s">
        <v>2054</v>
      </c>
    </row>
    <row r="1329" spans="1:18" x14ac:dyDescent="0.25">
      <c r="A1329" t="s">
        <v>1380</v>
      </c>
      <c r="B1329" s="1">
        <v>45677</v>
      </c>
      <c r="C1329" s="1">
        <v>45681</v>
      </c>
      <c r="D1329" t="s">
        <v>43</v>
      </c>
      <c r="E1329" t="s">
        <v>44</v>
      </c>
      <c r="F1329" t="s">
        <v>45</v>
      </c>
      <c r="G1329" t="s">
        <v>35</v>
      </c>
      <c r="H1329" t="s">
        <v>40</v>
      </c>
      <c r="I1329">
        <v>3</v>
      </c>
      <c r="J1329">
        <v>1158.7</v>
      </c>
      <c r="K1329">
        <v>37.5</v>
      </c>
      <c r="L1329">
        <v>285</v>
      </c>
      <c r="M1329">
        <v>1197.8800000000001</v>
      </c>
      <c r="N1329" t="s">
        <v>23</v>
      </c>
      <c r="O1329">
        <v>4</v>
      </c>
      <c r="P1329">
        <v>3476.1000000000004</v>
      </c>
      <c r="Q1329">
        <v>3513.6000000000004</v>
      </c>
      <c r="R1329" t="s">
        <v>2054</v>
      </c>
    </row>
    <row r="1330" spans="1:18" x14ac:dyDescent="0.25">
      <c r="A1330" t="s">
        <v>1381</v>
      </c>
      <c r="B1330" s="1">
        <v>45678</v>
      </c>
      <c r="C1330" s="1">
        <v>45680</v>
      </c>
      <c r="D1330" t="s">
        <v>52</v>
      </c>
      <c r="E1330" t="s">
        <v>30</v>
      </c>
      <c r="F1330" t="s">
        <v>31</v>
      </c>
      <c r="G1330" t="s">
        <v>21</v>
      </c>
      <c r="H1330" t="s">
        <v>27</v>
      </c>
      <c r="I1330">
        <v>2</v>
      </c>
      <c r="J1330">
        <v>98.17</v>
      </c>
      <c r="K1330">
        <v>12</v>
      </c>
      <c r="L1330">
        <v>93</v>
      </c>
      <c r="M1330">
        <v>72.540000000000006</v>
      </c>
      <c r="N1330" t="s">
        <v>23</v>
      </c>
      <c r="O1330">
        <v>2</v>
      </c>
      <c r="P1330">
        <v>196.34</v>
      </c>
      <c r="Q1330">
        <v>208.34</v>
      </c>
      <c r="R1330" t="s">
        <v>2054</v>
      </c>
    </row>
    <row r="1331" spans="1:18" x14ac:dyDescent="0.25">
      <c r="A1331" t="s">
        <v>1382</v>
      </c>
      <c r="B1331" s="1">
        <v>45678</v>
      </c>
      <c r="C1331" s="1">
        <v>45683</v>
      </c>
      <c r="D1331" t="s">
        <v>25</v>
      </c>
      <c r="E1331" t="s">
        <v>19</v>
      </c>
      <c r="F1331" t="s">
        <v>20</v>
      </c>
      <c r="G1331" t="s">
        <v>21</v>
      </c>
      <c r="H1331" t="s">
        <v>22</v>
      </c>
      <c r="I1331">
        <v>13</v>
      </c>
      <c r="J1331">
        <v>40.86</v>
      </c>
      <c r="K1331">
        <v>8</v>
      </c>
      <c r="L1331">
        <v>97</v>
      </c>
      <c r="M1331">
        <v>38.5</v>
      </c>
      <c r="N1331" t="s">
        <v>23</v>
      </c>
      <c r="O1331">
        <v>5</v>
      </c>
      <c r="P1331">
        <v>531.17999999999995</v>
      </c>
      <c r="Q1331">
        <v>539.17999999999995</v>
      </c>
      <c r="R1331" t="s">
        <v>2054</v>
      </c>
    </row>
    <row r="1332" spans="1:18" x14ac:dyDescent="0.25">
      <c r="A1332" t="s">
        <v>1383</v>
      </c>
      <c r="B1332" s="1">
        <v>45678</v>
      </c>
      <c r="C1332" s="1">
        <v>45681</v>
      </c>
      <c r="D1332" t="s">
        <v>78</v>
      </c>
      <c r="E1332" t="s">
        <v>79</v>
      </c>
      <c r="F1332" t="s">
        <v>80</v>
      </c>
      <c r="G1332" t="s">
        <v>26</v>
      </c>
      <c r="H1332" t="s">
        <v>32</v>
      </c>
      <c r="I1332">
        <v>2</v>
      </c>
      <c r="J1332">
        <v>117.17</v>
      </c>
      <c r="K1332">
        <v>12</v>
      </c>
      <c r="L1332">
        <v>251</v>
      </c>
      <c r="M1332">
        <v>99.46</v>
      </c>
      <c r="N1332" t="s">
        <v>23</v>
      </c>
      <c r="O1332">
        <v>3</v>
      </c>
      <c r="P1332">
        <v>234.34</v>
      </c>
      <c r="Q1332">
        <v>246.34</v>
      </c>
      <c r="R1332" t="s">
        <v>2054</v>
      </c>
    </row>
    <row r="1333" spans="1:18" x14ac:dyDescent="0.25">
      <c r="A1333" t="s">
        <v>1384</v>
      </c>
      <c r="B1333" s="1">
        <v>45679</v>
      </c>
      <c r="C1333" s="1">
        <v>45691</v>
      </c>
      <c r="D1333" t="s">
        <v>29</v>
      </c>
      <c r="E1333" t="s">
        <v>30</v>
      </c>
      <c r="F1333" t="s">
        <v>31</v>
      </c>
      <c r="G1333" t="s">
        <v>35</v>
      </c>
      <c r="H1333" t="s">
        <v>40</v>
      </c>
      <c r="I1333">
        <v>2</v>
      </c>
      <c r="J1333">
        <v>138.51</v>
      </c>
      <c r="K1333">
        <v>18</v>
      </c>
      <c r="L1333">
        <v>332</v>
      </c>
      <c r="M1333">
        <v>101.8</v>
      </c>
      <c r="N1333" t="s">
        <v>47</v>
      </c>
      <c r="O1333">
        <v>12</v>
      </c>
      <c r="P1333">
        <v>277.02</v>
      </c>
      <c r="Q1333">
        <v>295.02</v>
      </c>
      <c r="R1333" t="s">
        <v>2054</v>
      </c>
    </row>
    <row r="1334" spans="1:18" x14ac:dyDescent="0.25">
      <c r="A1334" t="s">
        <v>1385</v>
      </c>
      <c r="B1334" s="1">
        <v>45680</v>
      </c>
      <c r="C1334" s="1">
        <v>45685</v>
      </c>
      <c r="D1334" t="s">
        <v>118</v>
      </c>
      <c r="E1334" t="s">
        <v>79</v>
      </c>
      <c r="F1334" t="s">
        <v>80</v>
      </c>
      <c r="G1334" t="s">
        <v>35</v>
      </c>
      <c r="H1334" t="s">
        <v>40</v>
      </c>
      <c r="I1334">
        <v>3</v>
      </c>
      <c r="J1334">
        <v>140.54</v>
      </c>
      <c r="K1334">
        <v>18</v>
      </c>
      <c r="L1334">
        <v>232</v>
      </c>
      <c r="M1334">
        <v>-63.24</v>
      </c>
      <c r="N1334" t="s">
        <v>23</v>
      </c>
      <c r="O1334">
        <v>5</v>
      </c>
      <c r="P1334">
        <v>421.62</v>
      </c>
      <c r="Q1334">
        <v>439.62</v>
      </c>
      <c r="R1334" t="s">
        <v>2054</v>
      </c>
    </row>
    <row r="1335" spans="1:18" x14ac:dyDescent="0.25">
      <c r="A1335" t="s">
        <v>1386</v>
      </c>
      <c r="B1335" s="1">
        <v>45680</v>
      </c>
      <c r="C1335" s="1">
        <v>45697</v>
      </c>
      <c r="D1335" t="s">
        <v>25</v>
      </c>
      <c r="E1335" t="s">
        <v>19</v>
      </c>
      <c r="F1335" t="s">
        <v>20</v>
      </c>
      <c r="G1335" t="s">
        <v>35</v>
      </c>
      <c r="H1335" t="s">
        <v>40</v>
      </c>
      <c r="I1335">
        <v>6</v>
      </c>
      <c r="J1335">
        <v>14.13</v>
      </c>
      <c r="K1335">
        <v>12</v>
      </c>
      <c r="L1335">
        <v>165</v>
      </c>
      <c r="M1335">
        <v>0.78</v>
      </c>
      <c r="N1335" t="s">
        <v>47</v>
      </c>
      <c r="O1335">
        <v>17</v>
      </c>
      <c r="P1335">
        <v>84.78</v>
      </c>
      <c r="Q1335">
        <v>96.78</v>
      </c>
      <c r="R1335" t="s">
        <v>2054</v>
      </c>
    </row>
    <row r="1336" spans="1:18" x14ac:dyDescent="0.25">
      <c r="A1336" t="s">
        <v>1387</v>
      </c>
      <c r="B1336" s="1">
        <v>45681</v>
      </c>
      <c r="C1336" s="1">
        <v>45695</v>
      </c>
      <c r="D1336" t="s">
        <v>52</v>
      </c>
      <c r="E1336" t="s">
        <v>30</v>
      </c>
      <c r="F1336" t="s">
        <v>31</v>
      </c>
      <c r="G1336" t="s">
        <v>35</v>
      </c>
      <c r="H1336" t="s">
        <v>22</v>
      </c>
      <c r="I1336">
        <v>3</v>
      </c>
      <c r="J1336">
        <v>94.29</v>
      </c>
      <c r="K1336">
        <v>12</v>
      </c>
      <c r="L1336">
        <v>325</v>
      </c>
      <c r="M1336">
        <v>107.14</v>
      </c>
      <c r="N1336" t="s">
        <v>47</v>
      </c>
      <c r="O1336">
        <v>14</v>
      </c>
      <c r="P1336">
        <v>282.87</v>
      </c>
      <c r="Q1336">
        <v>294.87</v>
      </c>
      <c r="R1336" t="s">
        <v>2054</v>
      </c>
    </row>
    <row r="1337" spans="1:18" x14ac:dyDescent="0.25">
      <c r="A1337" t="s">
        <v>1388</v>
      </c>
      <c r="B1337" s="1">
        <v>45681</v>
      </c>
      <c r="C1337" s="1">
        <v>45686</v>
      </c>
      <c r="D1337" t="s">
        <v>75</v>
      </c>
      <c r="E1337" t="s">
        <v>44</v>
      </c>
      <c r="F1337" t="s">
        <v>45</v>
      </c>
      <c r="G1337" t="s">
        <v>21</v>
      </c>
      <c r="H1337" t="s">
        <v>40</v>
      </c>
      <c r="I1337">
        <v>1</v>
      </c>
      <c r="J1337">
        <v>1056.3699999999999</v>
      </c>
      <c r="K1337">
        <v>37.5</v>
      </c>
      <c r="L1337">
        <v>25</v>
      </c>
      <c r="M1337">
        <v>350.98</v>
      </c>
      <c r="N1337" t="s">
        <v>23</v>
      </c>
      <c r="O1337">
        <v>5</v>
      </c>
      <c r="P1337">
        <v>1056.3699999999999</v>
      </c>
      <c r="Q1337">
        <v>1093.8699999999999</v>
      </c>
      <c r="R1337" t="s">
        <v>2055</v>
      </c>
    </row>
    <row r="1338" spans="1:18" x14ac:dyDescent="0.25">
      <c r="A1338" t="s">
        <v>1389</v>
      </c>
      <c r="B1338" s="1">
        <v>45681</v>
      </c>
      <c r="C1338" s="1">
        <v>45684</v>
      </c>
      <c r="D1338" t="s">
        <v>75</v>
      </c>
      <c r="E1338" t="s">
        <v>44</v>
      </c>
      <c r="F1338" t="s">
        <v>45</v>
      </c>
      <c r="G1338" t="s">
        <v>21</v>
      </c>
      <c r="H1338" t="s">
        <v>22</v>
      </c>
      <c r="I1338">
        <v>2</v>
      </c>
      <c r="J1338">
        <v>879.41</v>
      </c>
      <c r="K1338">
        <v>25</v>
      </c>
      <c r="L1338">
        <v>288</v>
      </c>
      <c r="M1338">
        <v>603.09</v>
      </c>
      <c r="N1338" t="s">
        <v>23</v>
      </c>
      <c r="O1338">
        <v>3</v>
      </c>
      <c r="P1338">
        <v>1758.82</v>
      </c>
      <c r="Q1338">
        <v>1783.82</v>
      </c>
      <c r="R1338" t="s">
        <v>2054</v>
      </c>
    </row>
    <row r="1339" spans="1:18" x14ac:dyDescent="0.25">
      <c r="A1339" t="s">
        <v>1390</v>
      </c>
      <c r="B1339" s="1">
        <v>45684</v>
      </c>
      <c r="C1339" s="1">
        <v>45699</v>
      </c>
      <c r="D1339" t="s">
        <v>54</v>
      </c>
      <c r="E1339" t="s">
        <v>38</v>
      </c>
      <c r="F1339" t="s">
        <v>39</v>
      </c>
      <c r="G1339" t="s">
        <v>35</v>
      </c>
      <c r="H1339" t="s">
        <v>40</v>
      </c>
      <c r="I1339">
        <v>1</v>
      </c>
      <c r="J1339">
        <v>460.48</v>
      </c>
      <c r="K1339">
        <v>112.5</v>
      </c>
      <c r="L1339">
        <v>328</v>
      </c>
      <c r="M1339">
        <v>35.85</v>
      </c>
      <c r="N1339" t="s">
        <v>47</v>
      </c>
      <c r="O1339">
        <v>15</v>
      </c>
      <c r="P1339">
        <v>460.48</v>
      </c>
      <c r="Q1339">
        <v>572.98</v>
      </c>
      <c r="R1339" t="s">
        <v>2054</v>
      </c>
    </row>
    <row r="1340" spans="1:18" x14ac:dyDescent="0.25">
      <c r="A1340" t="s">
        <v>1391</v>
      </c>
      <c r="B1340" s="1">
        <v>45685</v>
      </c>
      <c r="C1340" s="1">
        <v>45699</v>
      </c>
      <c r="D1340" t="s">
        <v>58</v>
      </c>
      <c r="E1340" t="s">
        <v>19</v>
      </c>
      <c r="F1340" t="s">
        <v>20</v>
      </c>
      <c r="G1340" t="s">
        <v>35</v>
      </c>
      <c r="H1340" t="s">
        <v>40</v>
      </c>
      <c r="I1340">
        <v>14</v>
      </c>
      <c r="J1340">
        <v>21.89</v>
      </c>
      <c r="K1340">
        <v>12</v>
      </c>
      <c r="L1340">
        <v>21</v>
      </c>
      <c r="M1340">
        <v>18.52</v>
      </c>
      <c r="N1340" t="s">
        <v>47</v>
      </c>
      <c r="O1340">
        <v>14</v>
      </c>
      <c r="P1340">
        <v>306.46000000000004</v>
      </c>
      <c r="Q1340">
        <v>318.46000000000004</v>
      </c>
      <c r="R1340" t="s">
        <v>2055</v>
      </c>
    </row>
    <row r="1341" spans="1:18" x14ac:dyDescent="0.25">
      <c r="A1341" t="s">
        <v>1392</v>
      </c>
      <c r="B1341" s="1">
        <v>45685</v>
      </c>
      <c r="C1341" s="1">
        <v>45686</v>
      </c>
      <c r="D1341" t="s">
        <v>50</v>
      </c>
      <c r="E1341" t="s">
        <v>44</v>
      </c>
      <c r="F1341" t="s">
        <v>45</v>
      </c>
      <c r="G1341" t="s">
        <v>21</v>
      </c>
      <c r="H1341" t="s">
        <v>32</v>
      </c>
      <c r="I1341">
        <v>2</v>
      </c>
      <c r="J1341">
        <v>1052.73</v>
      </c>
      <c r="K1341">
        <v>25</v>
      </c>
      <c r="L1341">
        <v>293</v>
      </c>
      <c r="M1341">
        <v>-315.82</v>
      </c>
      <c r="N1341" t="s">
        <v>23</v>
      </c>
      <c r="O1341">
        <v>1</v>
      </c>
      <c r="P1341">
        <v>2105.46</v>
      </c>
      <c r="Q1341">
        <v>2130.46</v>
      </c>
      <c r="R1341" t="s">
        <v>2054</v>
      </c>
    </row>
    <row r="1342" spans="1:18" x14ac:dyDescent="0.25">
      <c r="A1342" t="s">
        <v>1393</v>
      </c>
      <c r="B1342" s="1">
        <v>45685</v>
      </c>
      <c r="C1342" s="1">
        <v>45687</v>
      </c>
      <c r="D1342" t="s">
        <v>52</v>
      </c>
      <c r="E1342" t="s">
        <v>30</v>
      </c>
      <c r="F1342" t="s">
        <v>31</v>
      </c>
      <c r="G1342" t="s">
        <v>21</v>
      </c>
      <c r="H1342" t="s">
        <v>27</v>
      </c>
      <c r="I1342">
        <v>5</v>
      </c>
      <c r="J1342">
        <v>146.09</v>
      </c>
      <c r="K1342">
        <v>12</v>
      </c>
      <c r="L1342">
        <v>324</v>
      </c>
      <c r="M1342">
        <v>286.18</v>
      </c>
      <c r="N1342" t="s">
        <v>23</v>
      </c>
      <c r="O1342">
        <v>2</v>
      </c>
      <c r="P1342">
        <v>730.45</v>
      </c>
      <c r="Q1342">
        <v>742.45</v>
      </c>
      <c r="R1342" t="s">
        <v>2054</v>
      </c>
    </row>
    <row r="1343" spans="1:18" x14ac:dyDescent="0.25">
      <c r="A1343" t="s">
        <v>1394</v>
      </c>
      <c r="B1343" s="1">
        <v>45685</v>
      </c>
      <c r="C1343" s="1">
        <v>45690</v>
      </c>
      <c r="D1343" t="s">
        <v>50</v>
      </c>
      <c r="E1343" t="s">
        <v>44</v>
      </c>
      <c r="F1343" t="s">
        <v>45</v>
      </c>
      <c r="G1343" t="s">
        <v>35</v>
      </c>
      <c r="H1343" t="s">
        <v>27</v>
      </c>
      <c r="I1343">
        <v>3</v>
      </c>
      <c r="J1343">
        <v>645.97</v>
      </c>
      <c r="K1343">
        <v>25</v>
      </c>
      <c r="L1343">
        <v>339</v>
      </c>
      <c r="M1343">
        <v>665.76</v>
      </c>
      <c r="N1343" t="s">
        <v>23</v>
      </c>
      <c r="O1343">
        <v>5</v>
      </c>
      <c r="P1343">
        <v>1937.91</v>
      </c>
      <c r="Q1343">
        <v>1962.91</v>
      </c>
      <c r="R1343" t="s">
        <v>2054</v>
      </c>
    </row>
    <row r="1344" spans="1:18" x14ac:dyDescent="0.25">
      <c r="A1344" t="s">
        <v>1395</v>
      </c>
      <c r="B1344" s="1">
        <v>45685</v>
      </c>
      <c r="C1344" s="1">
        <v>45686</v>
      </c>
      <c r="D1344" t="s">
        <v>56</v>
      </c>
      <c r="E1344" t="s">
        <v>38</v>
      </c>
      <c r="F1344" t="s">
        <v>39</v>
      </c>
      <c r="G1344" t="s">
        <v>21</v>
      </c>
      <c r="H1344" t="s">
        <v>22</v>
      </c>
      <c r="I1344">
        <v>1</v>
      </c>
      <c r="J1344">
        <v>389.6</v>
      </c>
      <c r="K1344">
        <v>75</v>
      </c>
      <c r="L1344">
        <v>69</v>
      </c>
      <c r="M1344">
        <v>40.42</v>
      </c>
      <c r="N1344" t="s">
        <v>23</v>
      </c>
      <c r="O1344">
        <v>1</v>
      </c>
      <c r="P1344">
        <v>389.6</v>
      </c>
      <c r="Q1344">
        <v>464.6</v>
      </c>
      <c r="R1344" t="s">
        <v>2054</v>
      </c>
    </row>
    <row r="1345" spans="1:18" x14ac:dyDescent="0.25">
      <c r="A1345" t="s">
        <v>1396</v>
      </c>
      <c r="B1345" s="1">
        <v>45685</v>
      </c>
      <c r="C1345" s="1">
        <v>45686</v>
      </c>
      <c r="D1345" t="s">
        <v>72</v>
      </c>
      <c r="E1345" t="s">
        <v>44</v>
      </c>
      <c r="F1345" t="s">
        <v>45</v>
      </c>
      <c r="G1345" t="s">
        <v>26</v>
      </c>
      <c r="H1345" t="s">
        <v>32</v>
      </c>
      <c r="I1345">
        <v>3</v>
      </c>
      <c r="J1345">
        <v>565.41</v>
      </c>
      <c r="K1345">
        <v>25</v>
      </c>
      <c r="L1345">
        <v>117</v>
      </c>
      <c r="M1345">
        <v>581.17999999999995</v>
      </c>
      <c r="N1345" t="s">
        <v>23</v>
      </c>
      <c r="O1345">
        <v>1</v>
      </c>
      <c r="P1345">
        <v>1696.23</v>
      </c>
      <c r="Q1345">
        <v>1721.23</v>
      </c>
      <c r="R1345" t="s">
        <v>2054</v>
      </c>
    </row>
    <row r="1346" spans="1:18" x14ac:dyDescent="0.25">
      <c r="A1346" t="s">
        <v>1397</v>
      </c>
      <c r="B1346" s="1">
        <v>45687</v>
      </c>
      <c r="C1346" s="1">
        <v>45692</v>
      </c>
      <c r="D1346" t="s">
        <v>82</v>
      </c>
      <c r="E1346" t="s">
        <v>79</v>
      </c>
      <c r="F1346" t="s">
        <v>80</v>
      </c>
      <c r="G1346" t="s">
        <v>35</v>
      </c>
      <c r="H1346" t="s">
        <v>40</v>
      </c>
      <c r="I1346">
        <v>4</v>
      </c>
      <c r="J1346">
        <v>102.85</v>
      </c>
      <c r="K1346">
        <v>18</v>
      </c>
      <c r="L1346">
        <v>276</v>
      </c>
      <c r="M1346">
        <v>-61.71</v>
      </c>
      <c r="N1346" t="s">
        <v>23</v>
      </c>
      <c r="O1346">
        <v>5</v>
      </c>
      <c r="P1346">
        <v>411.4</v>
      </c>
      <c r="Q1346">
        <v>429.4</v>
      </c>
      <c r="R1346" t="s">
        <v>2054</v>
      </c>
    </row>
    <row r="1347" spans="1:18" x14ac:dyDescent="0.25">
      <c r="A1347" t="s">
        <v>1398</v>
      </c>
      <c r="B1347" s="1">
        <v>45687</v>
      </c>
      <c r="C1347" s="1">
        <v>45692</v>
      </c>
      <c r="D1347" t="s">
        <v>34</v>
      </c>
      <c r="E1347" t="s">
        <v>30</v>
      </c>
      <c r="F1347" t="s">
        <v>31</v>
      </c>
      <c r="G1347" t="s">
        <v>21</v>
      </c>
      <c r="H1347" t="s">
        <v>40</v>
      </c>
      <c r="I1347">
        <v>5</v>
      </c>
      <c r="J1347">
        <v>81.99</v>
      </c>
      <c r="K1347">
        <v>18</v>
      </c>
      <c r="L1347">
        <v>223</v>
      </c>
      <c r="M1347">
        <v>154.97999999999999</v>
      </c>
      <c r="N1347" t="s">
        <v>23</v>
      </c>
      <c r="O1347">
        <v>5</v>
      </c>
      <c r="P1347">
        <v>409.95</v>
      </c>
      <c r="Q1347">
        <v>427.95</v>
      </c>
      <c r="R1347" t="s">
        <v>2054</v>
      </c>
    </row>
    <row r="1348" spans="1:18" x14ac:dyDescent="0.25">
      <c r="A1348" t="s">
        <v>1399</v>
      </c>
      <c r="B1348" s="1">
        <v>45687</v>
      </c>
      <c r="C1348" s="1">
        <v>45688</v>
      </c>
      <c r="D1348" t="s">
        <v>25</v>
      </c>
      <c r="E1348" t="s">
        <v>19</v>
      </c>
      <c r="F1348" t="s">
        <v>20</v>
      </c>
      <c r="G1348" t="s">
        <v>26</v>
      </c>
      <c r="H1348" t="s">
        <v>27</v>
      </c>
      <c r="I1348">
        <v>6</v>
      </c>
      <c r="J1348">
        <v>41.88</v>
      </c>
      <c r="K1348">
        <v>8</v>
      </c>
      <c r="L1348">
        <v>157</v>
      </c>
      <c r="M1348">
        <v>16.100000000000001</v>
      </c>
      <c r="N1348" t="s">
        <v>23</v>
      </c>
      <c r="O1348">
        <v>1</v>
      </c>
      <c r="P1348">
        <v>251.28000000000003</v>
      </c>
      <c r="Q1348">
        <v>259.28000000000003</v>
      </c>
      <c r="R1348" t="s">
        <v>2054</v>
      </c>
    </row>
    <row r="1349" spans="1:18" x14ac:dyDescent="0.25">
      <c r="A1349" t="s">
        <v>1400</v>
      </c>
      <c r="B1349" s="1">
        <v>45687</v>
      </c>
      <c r="C1349" s="1">
        <v>45695</v>
      </c>
      <c r="D1349" t="s">
        <v>118</v>
      </c>
      <c r="E1349" t="s">
        <v>79</v>
      </c>
      <c r="F1349" t="s">
        <v>80</v>
      </c>
      <c r="G1349" t="s">
        <v>35</v>
      </c>
      <c r="H1349" t="s">
        <v>40</v>
      </c>
      <c r="I1349">
        <v>3</v>
      </c>
      <c r="J1349">
        <v>144.79</v>
      </c>
      <c r="K1349">
        <v>18</v>
      </c>
      <c r="L1349">
        <v>209</v>
      </c>
      <c r="M1349">
        <v>186.47</v>
      </c>
      <c r="N1349" t="s">
        <v>63</v>
      </c>
      <c r="O1349">
        <v>8</v>
      </c>
      <c r="P1349">
        <v>434.37</v>
      </c>
      <c r="Q1349">
        <v>452.37</v>
      </c>
      <c r="R1349" t="s">
        <v>2054</v>
      </c>
    </row>
    <row r="1350" spans="1:18" x14ac:dyDescent="0.25">
      <c r="A1350" t="s">
        <v>1401</v>
      </c>
      <c r="B1350" s="1">
        <v>45687</v>
      </c>
      <c r="C1350" s="1">
        <v>45689</v>
      </c>
      <c r="D1350" t="s">
        <v>25</v>
      </c>
      <c r="E1350" t="s">
        <v>19</v>
      </c>
      <c r="F1350" t="s">
        <v>20</v>
      </c>
      <c r="G1350" t="s">
        <v>35</v>
      </c>
      <c r="H1350" t="s">
        <v>32</v>
      </c>
      <c r="I1350">
        <v>12</v>
      </c>
      <c r="J1350">
        <v>19.09</v>
      </c>
      <c r="K1350">
        <v>8</v>
      </c>
      <c r="L1350">
        <v>162</v>
      </c>
      <c r="M1350">
        <v>14.32</v>
      </c>
      <c r="N1350" t="s">
        <v>23</v>
      </c>
      <c r="O1350">
        <v>2</v>
      </c>
      <c r="P1350">
        <v>229.07999999999998</v>
      </c>
      <c r="Q1350">
        <v>237.07999999999998</v>
      </c>
      <c r="R1350" t="s">
        <v>2054</v>
      </c>
    </row>
    <row r="1351" spans="1:18" x14ac:dyDescent="0.25">
      <c r="A1351" t="s">
        <v>1402</v>
      </c>
      <c r="B1351" s="1">
        <v>45688</v>
      </c>
      <c r="C1351" s="1">
        <v>45702</v>
      </c>
      <c r="D1351" t="s">
        <v>58</v>
      </c>
      <c r="E1351" t="s">
        <v>19</v>
      </c>
      <c r="F1351" t="s">
        <v>20</v>
      </c>
      <c r="G1351" t="s">
        <v>35</v>
      </c>
      <c r="H1351" t="s">
        <v>40</v>
      </c>
      <c r="I1351">
        <v>6</v>
      </c>
      <c r="J1351">
        <v>16.88</v>
      </c>
      <c r="K1351">
        <v>12</v>
      </c>
      <c r="L1351">
        <v>7</v>
      </c>
      <c r="M1351">
        <v>2.1</v>
      </c>
      <c r="N1351" t="s">
        <v>47</v>
      </c>
      <c r="O1351">
        <v>14</v>
      </c>
      <c r="P1351">
        <v>101.28</v>
      </c>
      <c r="Q1351">
        <v>113.28</v>
      </c>
      <c r="R1351" t="s">
        <v>2056</v>
      </c>
    </row>
    <row r="1352" spans="1:18" x14ac:dyDescent="0.25">
      <c r="A1352" t="s">
        <v>1403</v>
      </c>
      <c r="B1352" s="1">
        <v>45689</v>
      </c>
      <c r="C1352" s="1">
        <v>45706</v>
      </c>
      <c r="D1352" t="s">
        <v>118</v>
      </c>
      <c r="E1352" t="s">
        <v>79</v>
      </c>
      <c r="F1352" t="s">
        <v>80</v>
      </c>
      <c r="G1352" t="s">
        <v>35</v>
      </c>
      <c r="H1352" t="s">
        <v>40</v>
      </c>
      <c r="I1352">
        <v>1</v>
      </c>
      <c r="J1352">
        <v>61.85</v>
      </c>
      <c r="K1352">
        <v>18</v>
      </c>
      <c r="L1352">
        <v>159</v>
      </c>
      <c r="M1352">
        <v>18.829999999999998</v>
      </c>
      <c r="N1352" t="s">
        <v>47</v>
      </c>
      <c r="O1352">
        <v>17</v>
      </c>
      <c r="P1352">
        <v>61.85</v>
      </c>
      <c r="Q1352">
        <v>79.849999999999994</v>
      </c>
      <c r="R1352" t="s">
        <v>2054</v>
      </c>
    </row>
    <row r="1353" spans="1:18" x14ac:dyDescent="0.25">
      <c r="A1353" t="s">
        <v>1404</v>
      </c>
      <c r="B1353" s="1">
        <v>45689</v>
      </c>
      <c r="C1353" s="1">
        <v>45691</v>
      </c>
      <c r="D1353" t="s">
        <v>29</v>
      </c>
      <c r="E1353" t="s">
        <v>30</v>
      </c>
      <c r="F1353" t="s">
        <v>31</v>
      </c>
      <c r="G1353" t="s">
        <v>35</v>
      </c>
      <c r="H1353" t="s">
        <v>40</v>
      </c>
      <c r="I1353">
        <v>1</v>
      </c>
      <c r="J1353">
        <v>23.48</v>
      </c>
      <c r="K1353">
        <v>18</v>
      </c>
      <c r="L1353">
        <v>101</v>
      </c>
      <c r="M1353">
        <v>0.39</v>
      </c>
      <c r="N1353" t="s">
        <v>23</v>
      </c>
      <c r="O1353">
        <v>2</v>
      </c>
      <c r="P1353">
        <v>23.48</v>
      </c>
      <c r="Q1353">
        <v>41.480000000000004</v>
      </c>
      <c r="R1353" t="s">
        <v>2054</v>
      </c>
    </row>
    <row r="1354" spans="1:18" x14ac:dyDescent="0.25">
      <c r="A1354" t="s">
        <v>1405</v>
      </c>
      <c r="B1354" s="1">
        <v>45689</v>
      </c>
      <c r="C1354" s="1">
        <v>45698</v>
      </c>
      <c r="D1354" t="s">
        <v>25</v>
      </c>
      <c r="E1354" t="s">
        <v>19</v>
      </c>
      <c r="F1354" t="s">
        <v>20</v>
      </c>
      <c r="G1354" t="s">
        <v>35</v>
      </c>
      <c r="H1354" t="s">
        <v>40</v>
      </c>
      <c r="I1354">
        <v>5</v>
      </c>
      <c r="J1354">
        <v>33.19</v>
      </c>
      <c r="K1354">
        <v>12</v>
      </c>
      <c r="L1354">
        <v>321</v>
      </c>
      <c r="M1354">
        <v>7.27</v>
      </c>
      <c r="N1354" t="s">
        <v>63</v>
      </c>
      <c r="O1354">
        <v>9</v>
      </c>
      <c r="P1354">
        <v>165.95</v>
      </c>
      <c r="Q1354">
        <v>177.95</v>
      </c>
      <c r="R1354" t="s">
        <v>2054</v>
      </c>
    </row>
    <row r="1355" spans="1:18" x14ac:dyDescent="0.25">
      <c r="A1355" t="s">
        <v>1406</v>
      </c>
      <c r="B1355" s="1">
        <v>45690</v>
      </c>
      <c r="C1355" s="1">
        <v>45694</v>
      </c>
      <c r="D1355" t="s">
        <v>78</v>
      </c>
      <c r="E1355" t="s">
        <v>79</v>
      </c>
      <c r="F1355" t="s">
        <v>80</v>
      </c>
      <c r="G1355" t="s">
        <v>35</v>
      </c>
      <c r="H1355" t="s">
        <v>22</v>
      </c>
      <c r="I1355">
        <v>1</v>
      </c>
      <c r="J1355">
        <v>109.52</v>
      </c>
      <c r="K1355">
        <v>12</v>
      </c>
      <c r="L1355">
        <v>196</v>
      </c>
      <c r="M1355">
        <v>-16.43</v>
      </c>
      <c r="N1355" t="s">
        <v>23</v>
      </c>
      <c r="O1355">
        <v>4</v>
      </c>
      <c r="P1355">
        <v>109.52</v>
      </c>
      <c r="Q1355">
        <v>121.52</v>
      </c>
      <c r="R1355" t="s">
        <v>2054</v>
      </c>
    </row>
    <row r="1356" spans="1:18" x14ac:dyDescent="0.25">
      <c r="A1356" t="s">
        <v>1407</v>
      </c>
      <c r="B1356" s="1">
        <v>45690</v>
      </c>
      <c r="C1356" s="1">
        <v>45695</v>
      </c>
      <c r="D1356" t="s">
        <v>25</v>
      </c>
      <c r="E1356" t="s">
        <v>19</v>
      </c>
      <c r="F1356" t="s">
        <v>20</v>
      </c>
      <c r="G1356" t="s">
        <v>26</v>
      </c>
      <c r="H1356" t="s">
        <v>32</v>
      </c>
      <c r="I1356">
        <v>13</v>
      </c>
      <c r="J1356">
        <v>19.809999999999999</v>
      </c>
      <c r="K1356">
        <v>8</v>
      </c>
      <c r="L1356">
        <v>1</v>
      </c>
      <c r="M1356">
        <v>16.600000000000001</v>
      </c>
      <c r="N1356" t="s">
        <v>23</v>
      </c>
      <c r="O1356">
        <v>5</v>
      </c>
      <c r="P1356">
        <v>257.52999999999997</v>
      </c>
      <c r="Q1356">
        <v>265.52999999999997</v>
      </c>
      <c r="R1356" t="s">
        <v>2056</v>
      </c>
    </row>
    <row r="1357" spans="1:18" x14ac:dyDescent="0.25">
      <c r="A1357" t="s">
        <v>1408</v>
      </c>
      <c r="B1357" s="1">
        <v>45690</v>
      </c>
      <c r="C1357" s="1">
        <v>45705</v>
      </c>
      <c r="D1357" t="s">
        <v>58</v>
      </c>
      <c r="E1357" t="s">
        <v>19</v>
      </c>
      <c r="F1357" t="s">
        <v>20</v>
      </c>
      <c r="G1357" t="s">
        <v>35</v>
      </c>
      <c r="H1357" t="s">
        <v>32</v>
      </c>
      <c r="I1357">
        <v>6</v>
      </c>
      <c r="J1357">
        <v>33.71</v>
      </c>
      <c r="K1357">
        <v>8</v>
      </c>
      <c r="L1357">
        <v>3</v>
      </c>
      <c r="M1357">
        <v>12.18</v>
      </c>
      <c r="N1357" t="s">
        <v>47</v>
      </c>
      <c r="O1357">
        <v>15</v>
      </c>
      <c r="P1357">
        <v>202.26</v>
      </c>
      <c r="Q1357">
        <v>210.26</v>
      </c>
      <c r="R1357" t="s">
        <v>2056</v>
      </c>
    </row>
    <row r="1358" spans="1:18" x14ac:dyDescent="0.25">
      <c r="A1358" t="s">
        <v>1409</v>
      </c>
      <c r="B1358" s="1">
        <v>45690</v>
      </c>
      <c r="C1358" s="1">
        <v>45692</v>
      </c>
      <c r="D1358" t="s">
        <v>29</v>
      </c>
      <c r="E1358" t="s">
        <v>30</v>
      </c>
      <c r="F1358" t="s">
        <v>31</v>
      </c>
      <c r="G1358" t="s">
        <v>26</v>
      </c>
      <c r="H1358" t="s">
        <v>22</v>
      </c>
      <c r="I1358">
        <v>4</v>
      </c>
      <c r="J1358">
        <v>53.45</v>
      </c>
      <c r="K1358">
        <v>12</v>
      </c>
      <c r="L1358">
        <v>70</v>
      </c>
      <c r="M1358">
        <v>79.53</v>
      </c>
      <c r="N1358" t="s">
        <v>23</v>
      </c>
      <c r="O1358">
        <v>2</v>
      </c>
      <c r="P1358">
        <v>213.8</v>
      </c>
      <c r="Q1358">
        <v>225.8</v>
      </c>
      <c r="R1358" t="s">
        <v>2054</v>
      </c>
    </row>
    <row r="1359" spans="1:18" x14ac:dyDescent="0.25">
      <c r="A1359" t="s">
        <v>1410</v>
      </c>
      <c r="B1359" s="1">
        <v>45690</v>
      </c>
      <c r="C1359" s="1">
        <v>45694</v>
      </c>
      <c r="D1359" t="s">
        <v>50</v>
      </c>
      <c r="E1359" t="s">
        <v>44</v>
      </c>
      <c r="F1359" t="s">
        <v>45</v>
      </c>
      <c r="G1359" t="s">
        <v>21</v>
      </c>
      <c r="H1359" t="s">
        <v>32</v>
      </c>
      <c r="I1359">
        <v>2</v>
      </c>
      <c r="J1359">
        <v>1061.3599999999999</v>
      </c>
      <c r="K1359">
        <v>25</v>
      </c>
      <c r="L1359">
        <v>83</v>
      </c>
      <c r="M1359">
        <v>730.46</v>
      </c>
      <c r="N1359" t="s">
        <v>23</v>
      </c>
      <c r="O1359">
        <v>4</v>
      </c>
      <c r="P1359">
        <v>2122.7199999999998</v>
      </c>
      <c r="Q1359">
        <v>2147.7199999999998</v>
      </c>
      <c r="R1359" t="s">
        <v>2054</v>
      </c>
    </row>
    <row r="1360" spans="1:18" x14ac:dyDescent="0.25">
      <c r="A1360" t="s">
        <v>1411</v>
      </c>
      <c r="B1360" s="1">
        <v>45693</v>
      </c>
      <c r="C1360" s="1">
        <v>45695</v>
      </c>
      <c r="D1360" t="s">
        <v>56</v>
      </c>
      <c r="E1360" t="s">
        <v>38</v>
      </c>
      <c r="F1360" t="s">
        <v>39</v>
      </c>
      <c r="G1360" t="s">
        <v>21</v>
      </c>
      <c r="H1360" t="s">
        <v>32</v>
      </c>
      <c r="I1360">
        <v>2</v>
      </c>
      <c r="J1360">
        <v>257.47000000000003</v>
      </c>
      <c r="K1360">
        <v>75</v>
      </c>
      <c r="L1360">
        <v>100</v>
      </c>
      <c r="M1360">
        <v>65.489999999999995</v>
      </c>
      <c r="N1360" t="s">
        <v>23</v>
      </c>
      <c r="O1360">
        <v>2</v>
      </c>
      <c r="P1360">
        <v>514.94000000000005</v>
      </c>
      <c r="Q1360">
        <v>589.94000000000005</v>
      </c>
      <c r="R1360" t="s">
        <v>2054</v>
      </c>
    </row>
    <row r="1361" spans="1:18" x14ac:dyDescent="0.25">
      <c r="A1361" t="s">
        <v>1412</v>
      </c>
      <c r="B1361" s="1">
        <v>45693</v>
      </c>
      <c r="C1361" s="1">
        <v>45694</v>
      </c>
      <c r="D1361" t="s">
        <v>54</v>
      </c>
      <c r="E1361" t="s">
        <v>38</v>
      </c>
      <c r="F1361" t="s">
        <v>39</v>
      </c>
      <c r="G1361" t="s">
        <v>26</v>
      </c>
      <c r="H1361" t="s">
        <v>22</v>
      </c>
      <c r="I1361">
        <v>2</v>
      </c>
      <c r="J1361">
        <v>117.88</v>
      </c>
      <c r="K1361">
        <v>75</v>
      </c>
      <c r="L1361">
        <v>390</v>
      </c>
      <c r="M1361">
        <v>9.65</v>
      </c>
      <c r="N1361" t="s">
        <v>23</v>
      </c>
      <c r="O1361">
        <v>1</v>
      </c>
      <c r="P1361">
        <v>235.76</v>
      </c>
      <c r="Q1361">
        <v>310.76</v>
      </c>
      <c r="R1361" t="s">
        <v>2054</v>
      </c>
    </row>
    <row r="1362" spans="1:18" x14ac:dyDescent="0.25">
      <c r="A1362" t="s">
        <v>1413</v>
      </c>
      <c r="B1362" s="1">
        <v>45693</v>
      </c>
      <c r="C1362" s="1">
        <v>45694</v>
      </c>
      <c r="D1362" t="s">
        <v>58</v>
      </c>
      <c r="E1362" t="s">
        <v>19</v>
      </c>
      <c r="F1362" t="s">
        <v>20</v>
      </c>
      <c r="G1362" t="s">
        <v>21</v>
      </c>
      <c r="H1362" t="s">
        <v>32</v>
      </c>
      <c r="I1362">
        <v>7</v>
      </c>
      <c r="J1362">
        <v>47.62</v>
      </c>
      <c r="K1362">
        <v>8</v>
      </c>
      <c r="L1362">
        <v>1</v>
      </c>
      <c r="M1362">
        <v>22.67</v>
      </c>
      <c r="N1362" t="s">
        <v>23</v>
      </c>
      <c r="O1362">
        <v>1</v>
      </c>
      <c r="P1362">
        <v>333.34</v>
      </c>
      <c r="Q1362">
        <v>341.34</v>
      </c>
      <c r="R1362" t="s">
        <v>2056</v>
      </c>
    </row>
    <row r="1363" spans="1:18" x14ac:dyDescent="0.25">
      <c r="A1363" t="s">
        <v>1414</v>
      </c>
      <c r="B1363" s="1">
        <v>45693</v>
      </c>
      <c r="C1363" s="1">
        <v>45695</v>
      </c>
      <c r="D1363" t="s">
        <v>75</v>
      </c>
      <c r="E1363" t="s">
        <v>44</v>
      </c>
      <c r="F1363" t="s">
        <v>45</v>
      </c>
      <c r="G1363" t="s">
        <v>26</v>
      </c>
      <c r="H1363" t="s">
        <v>32</v>
      </c>
      <c r="I1363">
        <v>1</v>
      </c>
      <c r="J1363">
        <v>388.91</v>
      </c>
      <c r="K1363">
        <v>25</v>
      </c>
      <c r="L1363">
        <v>175</v>
      </c>
      <c r="M1363">
        <v>123.62</v>
      </c>
      <c r="N1363" t="s">
        <v>23</v>
      </c>
      <c r="O1363">
        <v>2</v>
      </c>
      <c r="P1363">
        <v>388.91</v>
      </c>
      <c r="Q1363">
        <v>413.91</v>
      </c>
      <c r="R1363" t="s">
        <v>2054</v>
      </c>
    </row>
    <row r="1364" spans="1:18" x14ac:dyDescent="0.25">
      <c r="A1364" t="s">
        <v>1415</v>
      </c>
      <c r="B1364" s="1">
        <v>45694</v>
      </c>
      <c r="C1364" s="1">
        <v>45698</v>
      </c>
      <c r="D1364" t="s">
        <v>75</v>
      </c>
      <c r="E1364" t="s">
        <v>44</v>
      </c>
      <c r="F1364" t="s">
        <v>45</v>
      </c>
      <c r="G1364" t="s">
        <v>35</v>
      </c>
      <c r="H1364" t="s">
        <v>22</v>
      </c>
      <c r="I1364">
        <v>3</v>
      </c>
      <c r="J1364">
        <v>756.12</v>
      </c>
      <c r="K1364">
        <v>25</v>
      </c>
      <c r="L1364">
        <v>282</v>
      </c>
      <c r="M1364">
        <v>781.42</v>
      </c>
      <c r="N1364" t="s">
        <v>23</v>
      </c>
      <c r="O1364">
        <v>4</v>
      </c>
      <c r="P1364">
        <v>2268.36</v>
      </c>
      <c r="Q1364">
        <v>2293.36</v>
      </c>
      <c r="R1364" t="s">
        <v>2054</v>
      </c>
    </row>
    <row r="1365" spans="1:18" x14ac:dyDescent="0.25">
      <c r="A1365" t="s">
        <v>1416</v>
      </c>
      <c r="B1365" s="1">
        <v>45695</v>
      </c>
      <c r="C1365" s="1">
        <v>45699</v>
      </c>
      <c r="D1365" t="s">
        <v>37</v>
      </c>
      <c r="E1365" t="s">
        <v>38</v>
      </c>
      <c r="F1365" t="s">
        <v>39</v>
      </c>
      <c r="G1365" t="s">
        <v>26</v>
      </c>
      <c r="H1365" t="s">
        <v>27</v>
      </c>
      <c r="I1365">
        <v>2</v>
      </c>
      <c r="J1365">
        <v>214.24</v>
      </c>
      <c r="K1365">
        <v>75</v>
      </c>
      <c r="L1365">
        <v>142</v>
      </c>
      <c r="M1365">
        <v>48.19</v>
      </c>
      <c r="N1365" t="s">
        <v>23</v>
      </c>
      <c r="O1365">
        <v>4</v>
      </c>
      <c r="P1365">
        <v>428.48</v>
      </c>
      <c r="Q1365">
        <v>503.48</v>
      </c>
      <c r="R1365" t="s">
        <v>2054</v>
      </c>
    </row>
    <row r="1366" spans="1:18" x14ac:dyDescent="0.25">
      <c r="A1366" t="s">
        <v>1417</v>
      </c>
      <c r="B1366" s="1">
        <v>45695</v>
      </c>
      <c r="C1366" s="1">
        <v>45705</v>
      </c>
      <c r="D1366" t="s">
        <v>56</v>
      </c>
      <c r="E1366" t="s">
        <v>38</v>
      </c>
      <c r="F1366" t="s">
        <v>39</v>
      </c>
      <c r="G1366" t="s">
        <v>35</v>
      </c>
      <c r="H1366" t="s">
        <v>22</v>
      </c>
      <c r="I1366">
        <v>2</v>
      </c>
      <c r="J1366">
        <v>153.29</v>
      </c>
      <c r="K1366">
        <v>75</v>
      </c>
      <c r="L1366">
        <v>97</v>
      </c>
      <c r="M1366">
        <v>23.82</v>
      </c>
      <c r="N1366" t="s">
        <v>63</v>
      </c>
      <c r="O1366">
        <v>10</v>
      </c>
      <c r="P1366">
        <v>306.58</v>
      </c>
      <c r="Q1366">
        <v>381.58</v>
      </c>
      <c r="R1366" t="s">
        <v>2054</v>
      </c>
    </row>
    <row r="1367" spans="1:18" x14ac:dyDescent="0.25">
      <c r="A1367" t="s">
        <v>1418</v>
      </c>
      <c r="B1367" s="1">
        <v>45696</v>
      </c>
      <c r="C1367" s="1">
        <v>45697</v>
      </c>
      <c r="D1367" t="s">
        <v>78</v>
      </c>
      <c r="E1367" t="s">
        <v>79</v>
      </c>
      <c r="F1367" t="s">
        <v>80</v>
      </c>
      <c r="G1367" t="s">
        <v>35</v>
      </c>
      <c r="H1367" t="s">
        <v>40</v>
      </c>
      <c r="I1367">
        <v>3</v>
      </c>
      <c r="J1367">
        <v>138.16</v>
      </c>
      <c r="K1367">
        <v>18</v>
      </c>
      <c r="L1367">
        <v>305</v>
      </c>
      <c r="M1367">
        <v>177.51</v>
      </c>
      <c r="N1367" t="s">
        <v>23</v>
      </c>
      <c r="O1367">
        <v>1</v>
      </c>
      <c r="P1367">
        <v>414.48</v>
      </c>
      <c r="Q1367">
        <v>432.48</v>
      </c>
      <c r="R1367" t="s">
        <v>2054</v>
      </c>
    </row>
    <row r="1368" spans="1:18" x14ac:dyDescent="0.25">
      <c r="A1368" t="s">
        <v>1419</v>
      </c>
      <c r="B1368" s="1">
        <v>45696</v>
      </c>
      <c r="C1368" s="1">
        <v>45697</v>
      </c>
      <c r="D1368" t="s">
        <v>52</v>
      </c>
      <c r="E1368" t="s">
        <v>30</v>
      </c>
      <c r="F1368" t="s">
        <v>31</v>
      </c>
      <c r="G1368" t="s">
        <v>21</v>
      </c>
      <c r="H1368" t="s">
        <v>27</v>
      </c>
      <c r="I1368">
        <v>5</v>
      </c>
      <c r="J1368">
        <v>27.47</v>
      </c>
      <c r="K1368">
        <v>12</v>
      </c>
      <c r="L1368">
        <v>268</v>
      </c>
      <c r="M1368">
        <v>48.93</v>
      </c>
      <c r="N1368" t="s">
        <v>23</v>
      </c>
      <c r="O1368">
        <v>1</v>
      </c>
      <c r="P1368">
        <v>137.35</v>
      </c>
      <c r="Q1368">
        <v>149.35</v>
      </c>
      <c r="R1368" t="s">
        <v>2054</v>
      </c>
    </row>
    <row r="1369" spans="1:18" x14ac:dyDescent="0.25">
      <c r="A1369" t="s">
        <v>1420</v>
      </c>
      <c r="B1369" s="1">
        <v>45696</v>
      </c>
      <c r="C1369" s="1">
        <v>45699</v>
      </c>
      <c r="D1369" t="s">
        <v>50</v>
      </c>
      <c r="E1369" t="s">
        <v>44</v>
      </c>
      <c r="F1369" t="s">
        <v>45</v>
      </c>
      <c r="G1369" t="s">
        <v>21</v>
      </c>
      <c r="H1369" t="s">
        <v>27</v>
      </c>
      <c r="I1369">
        <v>2</v>
      </c>
      <c r="J1369">
        <v>779.47</v>
      </c>
      <c r="K1369">
        <v>25</v>
      </c>
      <c r="L1369">
        <v>188</v>
      </c>
      <c r="M1369">
        <v>533.13</v>
      </c>
      <c r="N1369" t="s">
        <v>23</v>
      </c>
      <c r="O1369">
        <v>3</v>
      </c>
      <c r="P1369">
        <v>1558.94</v>
      </c>
      <c r="Q1369">
        <v>1583.94</v>
      </c>
      <c r="R1369" t="s">
        <v>2054</v>
      </c>
    </row>
    <row r="1370" spans="1:18" x14ac:dyDescent="0.25">
      <c r="A1370" t="s">
        <v>1421</v>
      </c>
      <c r="B1370" s="1">
        <v>45696</v>
      </c>
      <c r="C1370" s="1">
        <v>45700</v>
      </c>
      <c r="D1370" t="s">
        <v>34</v>
      </c>
      <c r="E1370" t="s">
        <v>30</v>
      </c>
      <c r="F1370" t="s">
        <v>31</v>
      </c>
      <c r="G1370" t="s">
        <v>26</v>
      </c>
      <c r="H1370" t="s">
        <v>32</v>
      </c>
      <c r="I1370">
        <v>4</v>
      </c>
      <c r="J1370">
        <v>37.36</v>
      </c>
      <c r="K1370">
        <v>12</v>
      </c>
      <c r="L1370">
        <v>308</v>
      </c>
      <c r="M1370">
        <v>53.78</v>
      </c>
      <c r="N1370" t="s">
        <v>23</v>
      </c>
      <c r="O1370">
        <v>4</v>
      </c>
      <c r="P1370">
        <v>149.44</v>
      </c>
      <c r="Q1370">
        <v>161.44</v>
      </c>
      <c r="R1370" t="s">
        <v>2054</v>
      </c>
    </row>
    <row r="1371" spans="1:18" x14ac:dyDescent="0.25">
      <c r="A1371" t="s">
        <v>1422</v>
      </c>
      <c r="B1371" s="1">
        <v>45696</v>
      </c>
      <c r="C1371" s="1">
        <v>45698</v>
      </c>
      <c r="D1371" t="s">
        <v>78</v>
      </c>
      <c r="E1371" t="s">
        <v>79</v>
      </c>
      <c r="F1371" t="s">
        <v>80</v>
      </c>
      <c r="G1371" t="s">
        <v>35</v>
      </c>
      <c r="H1371" t="s">
        <v>22</v>
      </c>
      <c r="I1371">
        <v>3</v>
      </c>
      <c r="J1371">
        <v>82.78</v>
      </c>
      <c r="K1371">
        <v>12</v>
      </c>
      <c r="L1371">
        <v>119</v>
      </c>
      <c r="M1371">
        <v>105.76</v>
      </c>
      <c r="N1371" t="s">
        <v>23</v>
      </c>
      <c r="O1371">
        <v>2</v>
      </c>
      <c r="P1371">
        <v>248.34</v>
      </c>
      <c r="Q1371">
        <v>260.34000000000003</v>
      </c>
      <c r="R1371" t="s">
        <v>2054</v>
      </c>
    </row>
    <row r="1372" spans="1:18" x14ac:dyDescent="0.25">
      <c r="A1372" t="s">
        <v>1423</v>
      </c>
      <c r="B1372" s="1">
        <v>45696</v>
      </c>
      <c r="C1372" s="1">
        <v>45700</v>
      </c>
      <c r="D1372" t="s">
        <v>34</v>
      </c>
      <c r="E1372" t="s">
        <v>30</v>
      </c>
      <c r="F1372" t="s">
        <v>31</v>
      </c>
      <c r="G1372" t="s">
        <v>26</v>
      </c>
      <c r="H1372" t="s">
        <v>22</v>
      </c>
      <c r="I1372">
        <v>5</v>
      </c>
      <c r="J1372">
        <v>92.77</v>
      </c>
      <c r="K1372">
        <v>12</v>
      </c>
      <c r="L1372">
        <v>215</v>
      </c>
      <c r="M1372">
        <v>179.54</v>
      </c>
      <c r="N1372" t="s">
        <v>23</v>
      </c>
      <c r="O1372">
        <v>4</v>
      </c>
      <c r="P1372">
        <v>463.84999999999997</v>
      </c>
      <c r="Q1372">
        <v>475.84999999999997</v>
      </c>
      <c r="R1372" t="s">
        <v>2054</v>
      </c>
    </row>
    <row r="1373" spans="1:18" x14ac:dyDescent="0.25">
      <c r="A1373" t="s">
        <v>1424</v>
      </c>
      <c r="B1373" s="1">
        <v>45697</v>
      </c>
      <c r="C1373" s="1">
        <v>45700</v>
      </c>
      <c r="D1373" t="s">
        <v>34</v>
      </c>
      <c r="E1373" t="s">
        <v>30</v>
      </c>
      <c r="F1373" t="s">
        <v>31</v>
      </c>
      <c r="G1373" t="s">
        <v>26</v>
      </c>
      <c r="H1373" t="s">
        <v>27</v>
      </c>
      <c r="I1373">
        <v>3</v>
      </c>
      <c r="J1373">
        <v>48.85</v>
      </c>
      <c r="K1373">
        <v>12</v>
      </c>
      <c r="L1373">
        <v>354</v>
      </c>
      <c r="M1373">
        <v>52.62</v>
      </c>
      <c r="N1373" t="s">
        <v>23</v>
      </c>
      <c r="O1373">
        <v>3</v>
      </c>
      <c r="P1373">
        <v>146.55000000000001</v>
      </c>
      <c r="Q1373">
        <v>158.55000000000001</v>
      </c>
      <c r="R1373" t="s">
        <v>2054</v>
      </c>
    </row>
    <row r="1374" spans="1:18" x14ac:dyDescent="0.25">
      <c r="A1374" t="s">
        <v>1425</v>
      </c>
      <c r="B1374" s="1">
        <v>45697</v>
      </c>
      <c r="C1374" s="1">
        <v>45712</v>
      </c>
      <c r="D1374" t="s">
        <v>37</v>
      </c>
      <c r="E1374" t="s">
        <v>38</v>
      </c>
      <c r="F1374" t="s">
        <v>39</v>
      </c>
      <c r="G1374" t="s">
        <v>35</v>
      </c>
      <c r="H1374" t="s">
        <v>40</v>
      </c>
      <c r="I1374">
        <v>2</v>
      </c>
      <c r="J1374">
        <v>307.89999999999998</v>
      </c>
      <c r="K1374">
        <v>112.5</v>
      </c>
      <c r="L1374">
        <v>67</v>
      </c>
      <c r="M1374">
        <v>66.91</v>
      </c>
      <c r="N1374" t="s">
        <v>47</v>
      </c>
      <c r="O1374">
        <v>15</v>
      </c>
      <c r="P1374">
        <v>615.79999999999995</v>
      </c>
      <c r="Q1374">
        <v>728.3</v>
      </c>
      <c r="R1374" t="s">
        <v>2054</v>
      </c>
    </row>
    <row r="1375" spans="1:18" x14ac:dyDescent="0.25">
      <c r="A1375" t="s">
        <v>1426</v>
      </c>
      <c r="B1375" s="1">
        <v>45698</v>
      </c>
      <c r="C1375" s="1">
        <v>45699</v>
      </c>
      <c r="D1375" t="s">
        <v>34</v>
      </c>
      <c r="E1375" t="s">
        <v>30</v>
      </c>
      <c r="F1375" t="s">
        <v>31</v>
      </c>
      <c r="G1375" t="s">
        <v>21</v>
      </c>
      <c r="H1375" t="s">
        <v>27</v>
      </c>
      <c r="I1375">
        <v>3</v>
      </c>
      <c r="J1375">
        <v>46.23</v>
      </c>
      <c r="K1375">
        <v>12</v>
      </c>
      <c r="L1375">
        <v>26</v>
      </c>
      <c r="M1375">
        <v>49.48</v>
      </c>
      <c r="N1375" t="s">
        <v>23</v>
      </c>
      <c r="O1375">
        <v>1</v>
      </c>
      <c r="P1375">
        <v>138.69</v>
      </c>
      <c r="Q1375">
        <v>150.69</v>
      </c>
      <c r="R1375" t="s">
        <v>2055</v>
      </c>
    </row>
    <row r="1376" spans="1:18" x14ac:dyDescent="0.25">
      <c r="A1376" t="s">
        <v>1427</v>
      </c>
      <c r="B1376" s="1">
        <v>45699</v>
      </c>
      <c r="C1376" s="1">
        <v>45704</v>
      </c>
      <c r="D1376" t="s">
        <v>43</v>
      </c>
      <c r="E1376" t="s">
        <v>44</v>
      </c>
      <c r="F1376" t="s">
        <v>45</v>
      </c>
      <c r="G1376" t="s">
        <v>35</v>
      </c>
      <c r="H1376" t="s">
        <v>40</v>
      </c>
      <c r="I1376">
        <v>2</v>
      </c>
      <c r="J1376">
        <v>1076.3499999999999</v>
      </c>
      <c r="K1376">
        <v>37.5</v>
      </c>
      <c r="L1376">
        <v>348</v>
      </c>
      <c r="M1376">
        <v>734.69</v>
      </c>
      <c r="N1376" t="s">
        <v>23</v>
      </c>
      <c r="O1376">
        <v>5</v>
      </c>
      <c r="P1376">
        <v>2152.6999999999998</v>
      </c>
      <c r="Q1376">
        <v>2190.1999999999998</v>
      </c>
      <c r="R1376" t="s">
        <v>2054</v>
      </c>
    </row>
    <row r="1377" spans="1:18" x14ac:dyDescent="0.25">
      <c r="A1377" t="s">
        <v>1428</v>
      </c>
      <c r="B1377" s="1">
        <v>45700</v>
      </c>
      <c r="C1377" s="1">
        <v>45704</v>
      </c>
      <c r="D1377" t="s">
        <v>58</v>
      </c>
      <c r="E1377" t="s">
        <v>19</v>
      </c>
      <c r="F1377" t="s">
        <v>20</v>
      </c>
      <c r="G1377" t="s">
        <v>21</v>
      </c>
      <c r="H1377" t="s">
        <v>32</v>
      </c>
      <c r="I1377">
        <v>6</v>
      </c>
      <c r="J1377">
        <v>47.04</v>
      </c>
      <c r="K1377">
        <v>8</v>
      </c>
      <c r="L1377">
        <v>205</v>
      </c>
      <c r="M1377">
        <v>18.579999999999998</v>
      </c>
      <c r="N1377" t="s">
        <v>23</v>
      </c>
      <c r="O1377">
        <v>4</v>
      </c>
      <c r="P1377">
        <v>282.24</v>
      </c>
      <c r="Q1377">
        <v>290.24</v>
      </c>
      <c r="R1377" t="s">
        <v>2054</v>
      </c>
    </row>
    <row r="1378" spans="1:18" x14ac:dyDescent="0.25">
      <c r="A1378" t="s">
        <v>1429</v>
      </c>
      <c r="B1378" s="1">
        <v>45700</v>
      </c>
      <c r="C1378" s="1">
        <v>45716</v>
      </c>
      <c r="D1378" t="s">
        <v>118</v>
      </c>
      <c r="E1378" t="s">
        <v>79</v>
      </c>
      <c r="F1378" t="s">
        <v>80</v>
      </c>
      <c r="G1378" t="s">
        <v>35</v>
      </c>
      <c r="H1378" t="s">
        <v>22</v>
      </c>
      <c r="I1378">
        <v>2</v>
      </c>
      <c r="J1378">
        <v>142.36000000000001</v>
      </c>
      <c r="K1378">
        <v>12</v>
      </c>
      <c r="L1378">
        <v>288</v>
      </c>
      <c r="M1378">
        <v>122.12</v>
      </c>
      <c r="N1378" t="s">
        <v>47</v>
      </c>
      <c r="O1378">
        <v>16</v>
      </c>
      <c r="P1378">
        <v>284.72000000000003</v>
      </c>
      <c r="Q1378">
        <v>296.72000000000003</v>
      </c>
      <c r="R1378" t="s">
        <v>2054</v>
      </c>
    </row>
    <row r="1379" spans="1:18" x14ac:dyDescent="0.25">
      <c r="A1379" t="s">
        <v>1430</v>
      </c>
      <c r="B1379" s="1">
        <v>45701</v>
      </c>
      <c r="C1379" s="1">
        <v>45703</v>
      </c>
      <c r="D1379" t="s">
        <v>34</v>
      </c>
      <c r="E1379" t="s">
        <v>30</v>
      </c>
      <c r="F1379" t="s">
        <v>31</v>
      </c>
      <c r="G1379" t="s">
        <v>26</v>
      </c>
      <c r="H1379" t="s">
        <v>32</v>
      </c>
      <c r="I1379">
        <v>1</v>
      </c>
      <c r="J1379">
        <v>132.21</v>
      </c>
      <c r="K1379">
        <v>12</v>
      </c>
      <c r="L1379">
        <v>337</v>
      </c>
      <c r="M1379">
        <v>-19.829999999999998</v>
      </c>
      <c r="N1379" t="s">
        <v>23</v>
      </c>
      <c r="O1379">
        <v>2</v>
      </c>
      <c r="P1379">
        <v>132.21</v>
      </c>
      <c r="Q1379">
        <v>144.21</v>
      </c>
      <c r="R1379" t="s">
        <v>2054</v>
      </c>
    </row>
    <row r="1380" spans="1:18" x14ac:dyDescent="0.25">
      <c r="A1380" t="s">
        <v>1431</v>
      </c>
      <c r="B1380" s="1">
        <v>45702</v>
      </c>
      <c r="C1380" s="1">
        <v>45705</v>
      </c>
      <c r="D1380" t="s">
        <v>29</v>
      </c>
      <c r="E1380" t="s">
        <v>30</v>
      </c>
      <c r="F1380" t="s">
        <v>31</v>
      </c>
      <c r="G1380" t="s">
        <v>35</v>
      </c>
      <c r="H1380" t="s">
        <v>22</v>
      </c>
      <c r="I1380">
        <v>5</v>
      </c>
      <c r="J1380">
        <v>64.290000000000006</v>
      </c>
      <c r="K1380">
        <v>12</v>
      </c>
      <c r="L1380">
        <v>327</v>
      </c>
      <c r="M1380">
        <v>122.58</v>
      </c>
      <c r="N1380" t="s">
        <v>23</v>
      </c>
      <c r="O1380">
        <v>3</v>
      </c>
      <c r="P1380">
        <v>321.45000000000005</v>
      </c>
      <c r="Q1380">
        <v>333.45000000000005</v>
      </c>
      <c r="R1380" t="s">
        <v>2054</v>
      </c>
    </row>
    <row r="1381" spans="1:18" x14ac:dyDescent="0.25">
      <c r="A1381" t="s">
        <v>1432</v>
      </c>
      <c r="B1381" s="1">
        <v>45702</v>
      </c>
      <c r="C1381" s="1">
        <v>45705</v>
      </c>
      <c r="D1381" t="s">
        <v>58</v>
      </c>
      <c r="E1381" t="s">
        <v>19</v>
      </c>
      <c r="F1381" t="s">
        <v>20</v>
      </c>
      <c r="G1381" t="s">
        <v>26</v>
      </c>
      <c r="H1381" t="s">
        <v>22</v>
      </c>
      <c r="I1381">
        <v>11</v>
      </c>
      <c r="J1381">
        <v>20.64</v>
      </c>
      <c r="K1381">
        <v>8</v>
      </c>
      <c r="L1381">
        <v>177</v>
      </c>
      <c r="M1381">
        <v>14.16</v>
      </c>
      <c r="N1381" t="s">
        <v>23</v>
      </c>
      <c r="O1381">
        <v>3</v>
      </c>
      <c r="P1381">
        <v>227.04000000000002</v>
      </c>
      <c r="Q1381">
        <v>235.04000000000002</v>
      </c>
      <c r="R1381" t="s">
        <v>2054</v>
      </c>
    </row>
    <row r="1382" spans="1:18" x14ac:dyDescent="0.25">
      <c r="A1382" t="s">
        <v>1433</v>
      </c>
      <c r="B1382" s="1">
        <v>45702</v>
      </c>
      <c r="C1382" s="1">
        <v>45705</v>
      </c>
      <c r="D1382" t="s">
        <v>75</v>
      </c>
      <c r="E1382" t="s">
        <v>44</v>
      </c>
      <c r="F1382" t="s">
        <v>45</v>
      </c>
      <c r="G1382" t="s">
        <v>21</v>
      </c>
      <c r="H1382" t="s">
        <v>27</v>
      </c>
      <c r="I1382">
        <v>2</v>
      </c>
      <c r="J1382">
        <v>389.33</v>
      </c>
      <c r="K1382">
        <v>25</v>
      </c>
      <c r="L1382">
        <v>270</v>
      </c>
      <c r="M1382">
        <v>260.02999999999997</v>
      </c>
      <c r="N1382" t="s">
        <v>23</v>
      </c>
      <c r="O1382">
        <v>3</v>
      </c>
      <c r="P1382">
        <v>778.66</v>
      </c>
      <c r="Q1382">
        <v>803.66</v>
      </c>
      <c r="R1382" t="s">
        <v>2054</v>
      </c>
    </row>
    <row r="1383" spans="1:18" x14ac:dyDescent="0.25">
      <c r="A1383" t="s">
        <v>1434</v>
      </c>
      <c r="B1383" s="1">
        <v>45702</v>
      </c>
      <c r="C1383" s="1">
        <v>45707</v>
      </c>
      <c r="D1383" t="s">
        <v>82</v>
      </c>
      <c r="E1383" t="s">
        <v>79</v>
      </c>
      <c r="F1383" t="s">
        <v>80</v>
      </c>
      <c r="G1383" t="s">
        <v>35</v>
      </c>
      <c r="H1383" t="s">
        <v>32</v>
      </c>
      <c r="I1383">
        <v>5</v>
      </c>
      <c r="J1383">
        <v>117.25</v>
      </c>
      <c r="K1383">
        <v>12</v>
      </c>
      <c r="L1383">
        <v>119</v>
      </c>
      <c r="M1383">
        <v>257.82</v>
      </c>
      <c r="N1383" t="s">
        <v>23</v>
      </c>
      <c r="O1383">
        <v>5</v>
      </c>
      <c r="P1383">
        <v>586.25</v>
      </c>
      <c r="Q1383">
        <v>598.25</v>
      </c>
      <c r="R1383" t="s">
        <v>2054</v>
      </c>
    </row>
    <row r="1384" spans="1:18" x14ac:dyDescent="0.25">
      <c r="A1384" t="s">
        <v>1435</v>
      </c>
      <c r="B1384" s="1">
        <v>45703</v>
      </c>
      <c r="C1384" s="1">
        <v>45719</v>
      </c>
      <c r="D1384" t="s">
        <v>118</v>
      </c>
      <c r="E1384" t="s">
        <v>79</v>
      </c>
      <c r="F1384" t="s">
        <v>80</v>
      </c>
      <c r="G1384" t="s">
        <v>35</v>
      </c>
      <c r="H1384" t="s">
        <v>32</v>
      </c>
      <c r="I1384">
        <v>1</v>
      </c>
      <c r="J1384">
        <v>47.56</v>
      </c>
      <c r="K1384">
        <v>12</v>
      </c>
      <c r="L1384">
        <v>198</v>
      </c>
      <c r="M1384">
        <v>15.4</v>
      </c>
      <c r="N1384" t="s">
        <v>47</v>
      </c>
      <c r="O1384">
        <v>16</v>
      </c>
      <c r="P1384">
        <v>47.56</v>
      </c>
      <c r="Q1384">
        <v>59.56</v>
      </c>
      <c r="R1384" t="s">
        <v>2054</v>
      </c>
    </row>
    <row r="1385" spans="1:18" x14ac:dyDescent="0.25">
      <c r="A1385" t="s">
        <v>1436</v>
      </c>
      <c r="B1385" s="1">
        <v>45703</v>
      </c>
      <c r="C1385" s="1">
        <v>45708</v>
      </c>
      <c r="D1385" t="s">
        <v>50</v>
      </c>
      <c r="E1385" t="s">
        <v>44</v>
      </c>
      <c r="F1385" t="s">
        <v>45</v>
      </c>
      <c r="G1385" t="s">
        <v>26</v>
      </c>
      <c r="H1385" t="s">
        <v>32</v>
      </c>
      <c r="I1385">
        <v>2</v>
      </c>
      <c r="J1385">
        <v>363.64</v>
      </c>
      <c r="K1385">
        <v>25</v>
      </c>
      <c r="L1385">
        <v>298</v>
      </c>
      <c r="M1385">
        <v>242.05</v>
      </c>
      <c r="N1385" t="s">
        <v>23</v>
      </c>
      <c r="O1385">
        <v>5</v>
      </c>
      <c r="P1385">
        <v>727.28</v>
      </c>
      <c r="Q1385">
        <v>752.28</v>
      </c>
      <c r="R1385" t="s">
        <v>2054</v>
      </c>
    </row>
    <row r="1386" spans="1:18" x14ac:dyDescent="0.25">
      <c r="A1386" t="s">
        <v>1437</v>
      </c>
      <c r="B1386" s="1">
        <v>45704</v>
      </c>
      <c r="C1386" s="1">
        <v>45708</v>
      </c>
      <c r="D1386" t="s">
        <v>52</v>
      </c>
      <c r="E1386" t="s">
        <v>30</v>
      </c>
      <c r="F1386" t="s">
        <v>31</v>
      </c>
      <c r="G1386" t="s">
        <v>26</v>
      </c>
      <c r="H1386" t="s">
        <v>27</v>
      </c>
      <c r="I1386">
        <v>4</v>
      </c>
      <c r="J1386">
        <v>61.45</v>
      </c>
      <c r="K1386">
        <v>12</v>
      </c>
      <c r="L1386">
        <v>235</v>
      </c>
      <c r="M1386">
        <v>92.32</v>
      </c>
      <c r="N1386" t="s">
        <v>23</v>
      </c>
      <c r="O1386">
        <v>4</v>
      </c>
      <c r="P1386">
        <v>245.8</v>
      </c>
      <c r="Q1386">
        <v>257.8</v>
      </c>
      <c r="R1386" t="s">
        <v>2054</v>
      </c>
    </row>
    <row r="1387" spans="1:18" x14ac:dyDescent="0.25">
      <c r="A1387" t="s">
        <v>1438</v>
      </c>
      <c r="B1387" s="1">
        <v>45704</v>
      </c>
      <c r="C1387" s="1">
        <v>45711</v>
      </c>
      <c r="D1387" t="s">
        <v>50</v>
      </c>
      <c r="E1387" t="s">
        <v>44</v>
      </c>
      <c r="F1387" t="s">
        <v>45</v>
      </c>
      <c r="G1387" t="s">
        <v>35</v>
      </c>
      <c r="H1387" t="s">
        <v>40</v>
      </c>
      <c r="I1387">
        <v>3</v>
      </c>
      <c r="J1387">
        <v>963.5</v>
      </c>
      <c r="K1387">
        <v>37.5</v>
      </c>
      <c r="L1387">
        <v>114</v>
      </c>
      <c r="M1387">
        <v>992.92</v>
      </c>
      <c r="N1387" t="s">
        <v>63</v>
      </c>
      <c r="O1387">
        <v>7</v>
      </c>
      <c r="P1387">
        <v>2890.5</v>
      </c>
      <c r="Q1387">
        <v>2928</v>
      </c>
      <c r="R1387" t="s">
        <v>2054</v>
      </c>
    </row>
    <row r="1388" spans="1:18" x14ac:dyDescent="0.25">
      <c r="A1388" t="s">
        <v>1439</v>
      </c>
      <c r="B1388" s="1">
        <v>45704</v>
      </c>
      <c r="C1388" s="1">
        <v>45705</v>
      </c>
      <c r="D1388" t="s">
        <v>75</v>
      </c>
      <c r="E1388" t="s">
        <v>44</v>
      </c>
      <c r="F1388" t="s">
        <v>45</v>
      </c>
      <c r="G1388" t="s">
        <v>26</v>
      </c>
      <c r="H1388" t="s">
        <v>22</v>
      </c>
      <c r="I1388">
        <v>1</v>
      </c>
      <c r="J1388">
        <v>974.5</v>
      </c>
      <c r="K1388">
        <v>25</v>
      </c>
      <c r="L1388">
        <v>164</v>
      </c>
      <c r="M1388">
        <v>328.57</v>
      </c>
      <c r="N1388" t="s">
        <v>23</v>
      </c>
      <c r="O1388">
        <v>1</v>
      </c>
      <c r="P1388">
        <v>974.5</v>
      </c>
      <c r="Q1388">
        <v>999.5</v>
      </c>
      <c r="R1388" t="s">
        <v>2054</v>
      </c>
    </row>
    <row r="1389" spans="1:18" x14ac:dyDescent="0.25">
      <c r="A1389" t="s">
        <v>1440</v>
      </c>
      <c r="B1389" s="1">
        <v>45705</v>
      </c>
      <c r="C1389" s="1">
        <v>45707</v>
      </c>
      <c r="D1389" t="s">
        <v>25</v>
      </c>
      <c r="E1389" t="s">
        <v>19</v>
      </c>
      <c r="F1389" t="s">
        <v>20</v>
      </c>
      <c r="G1389" t="s">
        <v>21</v>
      </c>
      <c r="H1389" t="s">
        <v>22</v>
      </c>
      <c r="I1389">
        <v>11</v>
      </c>
      <c r="J1389">
        <v>40.35</v>
      </c>
      <c r="K1389">
        <v>8</v>
      </c>
      <c r="L1389">
        <v>197</v>
      </c>
      <c r="M1389">
        <v>31.51</v>
      </c>
      <c r="N1389" t="s">
        <v>23</v>
      </c>
      <c r="O1389">
        <v>2</v>
      </c>
      <c r="P1389">
        <v>443.85</v>
      </c>
      <c r="Q1389">
        <v>451.85</v>
      </c>
      <c r="R1389" t="s">
        <v>2054</v>
      </c>
    </row>
    <row r="1390" spans="1:18" x14ac:dyDescent="0.25">
      <c r="A1390" t="s">
        <v>1441</v>
      </c>
      <c r="B1390" s="1">
        <v>45705</v>
      </c>
      <c r="C1390" s="1">
        <v>45707</v>
      </c>
      <c r="D1390" t="s">
        <v>56</v>
      </c>
      <c r="E1390" t="s">
        <v>38</v>
      </c>
      <c r="F1390" t="s">
        <v>39</v>
      </c>
      <c r="G1390" t="s">
        <v>35</v>
      </c>
      <c r="H1390" t="s">
        <v>40</v>
      </c>
      <c r="I1390">
        <v>2</v>
      </c>
      <c r="J1390">
        <v>262.20999999999998</v>
      </c>
      <c r="K1390">
        <v>112.5</v>
      </c>
      <c r="L1390">
        <v>292</v>
      </c>
      <c r="M1390">
        <v>48.63</v>
      </c>
      <c r="N1390" t="s">
        <v>23</v>
      </c>
      <c r="O1390">
        <v>2</v>
      </c>
      <c r="P1390">
        <v>524.41999999999996</v>
      </c>
      <c r="Q1390">
        <v>636.91999999999996</v>
      </c>
      <c r="R1390" t="s">
        <v>2054</v>
      </c>
    </row>
    <row r="1391" spans="1:18" x14ac:dyDescent="0.25">
      <c r="A1391" t="s">
        <v>1442</v>
      </c>
      <c r="B1391" s="1">
        <v>45706</v>
      </c>
      <c r="C1391" s="1">
        <v>45711</v>
      </c>
      <c r="D1391" t="s">
        <v>43</v>
      </c>
      <c r="E1391" t="s">
        <v>44</v>
      </c>
      <c r="F1391" t="s">
        <v>45</v>
      </c>
      <c r="G1391" t="s">
        <v>35</v>
      </c>
      <c r="H1391" t="s">
        <v>40</v>
      </c>
      <c r="I1391">
        <v>1</v>
      </c>
      <c r="J1391">
        <v>462.32</v>
      </c>
      <c r="K1391">
        <v>37.5</v>
      </c>
      <c r="L1391">
        <v>108</v>
      </c>
      <c r="M1391">
        <v>143.06</v>
      </c>
      <c r="N1391" t="s">
        <v>23</v>
      </c>
      <c r="O1391">
        <v>5</v>
      </c>
      <c r="P1391">
        <v>462.32</v>
      </c>
      <c r="Q1391">
        <v>499.82</v>
      </c>
      <c r="R1391" t="s">
        <v>2054</v>
      </c>
    </row>
    <row r="1392" spans="1:18" x14ac:dyDescent="0.25">
      <c r="A1392" t="s">
        <v>1443</v>
      </c>
      <c r="B1392" s="1">
        <v>45706</v>
      </c>
      <c r="C1392" s="1">
        <v>45718</v>
      </c>
      <c r="D1392" t="s">
        <v>18</v>
      </c>
      <c r="E1392" t="s">
        <v>19</v>
      </c>
      <c r="F1392" t="s">
        <v>20</v>
      </c>
      <c r="G1392" t="s">
        <v>35</v>
      </c>
      <c r="H1392" t="s">
        <v>40</v>
      </c>
      <c r="I1392">
        <v>6</v>
      </c>
      <c r="J1392">
        <v>35.15</v>
      </c>
      <c r="K1392">
        <v>12</v>
      </c>
      <c r="L1392">
        <v>288</v>
      </c>
      <c r="M1392">
        <v>10.87</v>
      </c>
      <c r="N1392" t="s">
        <v>47</v>
      </c>
      <c r="O1392">
        <v>12</v>
      </c>
      <c r="P1392">
        <v>210.89999999999998</v>
      </c>
      <c r="Q1392">
        <v>222.89999999999998</v>
      </c>
      <c r="R1392" t="s">
        <v>2054</v>
      </c>
    </row>
    <row r="1393" spans="1:18" x14ac:dyDescent="0.25">
      <c r="A1393" t="s">
        <v>1444</v>
      </c>
      <c r="B1393" s="1">
        <v>45707</v>
      </c>
      <c r="C1393" s="1">
        <v>45712</v>
      </c>
      <c r="D1393" t="s">
        <v>82</v>
      </c>
      <c r="E1393" t="s">
        <v>79</v>
      </c>
      <c r="F1393" t="s">
        <v>80</v>
      </c>
      <c r="G1393" t="s">
        <v>26</v>
      </c>
      <c r="H1393" t="s">
        <v>32</v>
      </c>
      <c r="I1393">
        <v>4</v>
      </c>
      <c r="J1393">
        <v>21.51</v>
      </c>
      <c r="K1393">
        <v>12</v>
      </c>
      <c r="L1393">
        <v>269</v>
      </c>
      <c r="M1393">
        <v>32.72</v>
      </c>
      <c r="N1393" t="s">
        <v>23</v>
      </c>
      <c r="O1393">
        <v>5</v>
      </c>
      <c r="P1393">
        <v>86.04</v>
      </c>
      <c r="Q1393">
        <v>98.04</v>
      </c>
      <c r="R1393" t="s">
        <v>2054</v>
      </c>
    </row>
    <row r="1394" spans="1:18" x14ac:dyDescent="0.25">
      <c r="A1394" t="s">
        <v>1445</v>
      </c>
      <c r="B1394" s="1">
        <v>45707</v>
      </c>
      <c r="C1394" s="1">
        <v>45723</v>
      </c>
      <c r="D1394" t="s">
        <v>37</v>
      </c>
      <c r="E1394" t="s">
        <v>38</v>
      </c>
      <c r="F1394" t="s">
        <v>39</v>
      </c>
      <c r="G1394" t="s">
        <v>35</v>
      </c>
      <c r="H1394" t="s">
        <v>40</v>
      </c>
      <c r="I1394">
        <v>1</v>
      </c>
      <c r="J1394">
        <v>285.81</v>
      </c>
      <c r="K1394">
        <v>112.5</v>
      </c>
      <c r="L1394">
        <v>306</v>
      </c>
      <c r="M1394">
        <v>0.91</v>
      </c>
      <c r="N1394" t="s">
        <v>47</v>
      </c>
      <c r="O1394">
        <v>16</v>
      </c>
      <c r="P1394">
        <v>285.81</v>
      </c>
      <c r="Q1394">
        <v>398.31</v>
      </c>
      <c r="R1394" t="s">
        <v>2054</v>
      </c>
    </row>
    <row r="1395" spans="1:18" x14ac:dyDescent="0.25">
      <c r="A1395" t="s">
        <v>1446</v>
      </c>
      <c r="B1395" s="1">
        <v>45707</v>
      </c>
      <c r="C1395" s="1">
        <v>45709</v>
      </c>
      <c r="D1395" t="s">
        <v>72</v>
      </c>
      <c r="E1395" t="s">
        <v>44</v>
      </c>
      <c r="F1395" t="s">
        <v>45</v>
      </c>
      <c r="G1395" t="s">
        <v>35</v>
      </c>
      <c r="H1395" t="s">
        <v>32</v>
      </c>
      <c r="I1395">
        <v>1</v>
      </c>
      <c r="J1395">
        <v>447.17</v>
      </c>
      <c r="K1395">
        <v>25</v>
      </c>
      <c r="L1395">
        <v>168</v>
      </c>
      <c r="M1395">
        <v>144.01</v>
      </c>
      <c r="N1395" t="s">
        <v>23</v>
      </c>
      <c r="O1395">
        <v>2</v>
      </c>
      <c r="P1395">
        <v>447.17</v>
      </c>
      <c r="Q1395">
        <v>472.17</v>
      </c>
      <c r="R1395" t="s">
        <v>2054</v>
      </c>
    </row>
    <row r="1396" spans="1:18" x14ac:dyDescent="0.25">
      <c r="A1396" t="s">
        <v>1447</v>
      </c>
      <c r="B1396" s="1">
        <v>45707</v>
      </c>
      <c r="C1396" s="1">
        <v>45708</v>
      </c>
      <c r="D1396" t="s">
        <v>43</v>
      </c>
      <c r="E1396" t="s">
        <v>44</v>
      </c>
      <c r="F1396" t="s">
        <v>45</v>
      </c>
      <c r="G1396" t="s">
        <v>35</v>
      </c>
      <c r="H1396" t="s">
        <v>40</v>
      </c>
      <c r="I1396">
        <v>3</v>
      </c>
      <c r="J1396">
        <v>1016.82</v>
      </c>
      <c r="K1396">
        <v>37.5</v>
      </c>
      <c r="L1396">
        <v>100</v>
      </c>
      <c r="M1396">
        <v>1048.9100000000001</v>
      </c>
      <c r="N1396" t="s">
        <v>23</v>
      </c>
      <c r="O1396">
        <v>1</v>
      </c>
      <c r="P1396">
        <v>3050.46</v>
      </c>
      <c r="Q1396">
        <v>3087.96</v>
      </c>
      <c r="R1396" t="s">
        <v>2054</v>
      </c>
    </row>
    <row r="1397" spans="1:18" x14ac:dyDescent="0.25">
      <c r="A1397" t="s">
        <v>1448</v>
      </c>
      <c r="B1397" s="1">
        <v>45709</v>
      </c>
      <c r="C1397" s="1">
        <v>45712</v>
      </c>
      <c r="D1397" t="s">
        <v>72</v>
      </c>
      <c r="E1397" t="s">
        <v>44</v>
      </c>
      <c r="F1397" t="s">
        <v>45</v>
      </c>
      <c r="G1397" t="s">
        <v>35</v>
      </c>
      <c r="H1397" t="s">
        <v>40</v>
      </c>
      <c r="I1397">
        <v>3</v>
      </c>
      <c r="J1397">
        <v>937.49</v>
      </c>
      <c r="K1397">
        <v>37.5</v>
      </c>
      <c r="L1397">
        <v>261</v>
      </c>
      <c r="M1397">
        <v>965.61</v>
      </c>
      <c r="N1397" t="s">
        <v>23</v>
      </c>
      <c r="O1397">
        <v>3</v>
      </c>
      <c r="P1397">
        <v>2812.4700000000003</v>
      </c>
      <c r="Q1397">
        <v>2849.9700000000003</v>
      </c>
      <c r="R1397" t="s">
        <v>2054</v>
      </c>
    </row>
    <row r="1398" spans="1:18" x14ac:dyDescent="0.25">
      <c r="A1398" t="s">
        <v>1449</v>
      </c>
      <c r="B1398" s="1">
        <v>45709</v>
      </c>
      <c r="C1398" s="1">
        <v>45714</v>
      </c>
      <c r="D1398" t="s">
        <v>58</v>
      </c>
      <c r="E1398" t="s">
        <v>19</v>
      </c>
      <c r="F1398" t="s">
        <v>20</v>
      </c>
      <c r="G1398" t="s">
        <v>35</v>
      </c>
      <c r="H1398" t="s">
        <v>40</v>
      </c>
      <c r="I1398">
        <v>11</v>
      </c>
      <c r="J1398">
        <v>15.86</v>
      </c>
      <c r="K1398">
        <v>12</v>
      </c>
      <c r="L1398">
        <v>140</v>
      </c>
      <c r="M1398">
        <v>7.95</v>
      </c>
      <c r="N1398" t="s">
        <v>23</v>
      </c>
      <c r="O1398">
        <v>5</v>
      </c>
      <c r="P1398">
        <v>174.45999999999998</v>
      </c>
      <c r="Q1398">
        <v>186.45999999999998</v>
      </c>
      <c r="R1398" t="s">
        <v>2054</v>
      </c>
    </row>
    <row r="1399" spans="1:18" x14ac:dyDescent="0.25">
      <c r="A1399" t="s">
        <v>1450</v>
      </c>
      <c r="B1399" s="1">
        <v>45710</v>
      </c>
      <c r="C1399" s="1">
        <v>45724</v>
      </c>
      <c r="D1399" t="s">
        <v>43</v>
      </c>
      <c r="E1399" t="s">
        <v>44</v>
      </c>
      <c r="F1399" t="s">
        <v>45</v>
      </c>
      <c r="G1399" t="s">
        <v>35</v>
      </c>
      <c r="H1399" t="s">
        <v>40</v>
      </c>
      <c r="I1399">
        <v>3</v>
      </c>
      <c r="J1399">
        <v>724.29</v>
      </c>
      <c r="K1399">
        <v>37.5</v>
      </c>
      <c r="L1399">
        <v>216</v>
      </c>
      <c r="M1399">
        <v>741.75</v>
      </c>
      <c r="N1399" t="s">
        <v>47</v>
      </c>
      <c r="O1399">
        <v>14</v>
      </c>
      <c r="P1399">
        <v>2172.87</v>
      </c>
      <c r="Q1399">
        <v>2210.37</v>
      </c>
      <c r="R1399" t="s">
        <v>2054</v>
      </c>
    </row>
    <row r="1400" spans="1:18" x14ac:dyDescent="0.25">
      <c r="A1400" t="s">
        <v>1451</v>
      </c>
      <c r="B1400" s="1">
        <v>45710</v>
      </c>
      <c r="C1400" s="1">
        <v>45715</v>
      </c>
      <c r="D1400" t="s">
        <v>54</v>
      </c>
      <c r="E1400" t="s">
        <v>38</v>
      </c>
      <c r="F1400" t="s">
        <v>39</v>
      </c>
      <c r="G1400" t="s">
        <v>35</v>
      </c>
      <c r="H1400" t="s">
        <v>40</v>
      </c>
      <c r="I1400">
        <v>2</v>
      </c>
      <c r="J1400">
        <v>202.85</v>
      </c>
      <c r="K1400">
        <v>112.5</v>
      </c>
      <c r="L1400">
        <v>224</v>
      </c>
      <c r="M1400">
        <v>24.89</v>
      </c>
      <c r="N1400" t="s">
        <v>23</v>
      </c>
      <c r="O1400">
        <v>5</v>
      </c>
      <c r="P1400">
        <v>405.7</v>
      </c>
      <c r="Q1400">
        <v>518.20000000000005</v>
      </c>
      <c r="R1400" t="s">
        <v>2054</v>
      </c>
    </row>
    <row r="1401" spans="1:18" x14ac:dyDescent="0.25">
      <c r="A1401" t="s">
        <v>1452</v>
      </c>
      <c r="B1401" s="1">
        <v>45711</v>
      </c>
      <c r="C1401" s="1">
        <v>45714</v>
      </c>
      <c r="D1401" t="s">
        <v>82</v>
      </c>
      <c r="E1401" t="s">
        <v>79</v>
      </c>
      <c r="F1401" t="s">
        <v>80</v>
      </c>
      <c r="G1401" t="s">
        <v>21</v>
      </c>
      <c r="H1401" t="s">
        <v>22</v>
      </c>
      <c r="I1401">
        <v>3</v>
      </c>
      <c r="J1401">
        <v>137.94</v>
      </c>
      <c r="K1401">
        <v>12</v>
      </c>
      <c r="L1401">
        <v>233</v>
      </c>
      <c r="M1401">
        <v>180.22</v>
      </c>
      <c r="N1401" t="s">
        <v>23</v>
      </c>
      <c r="O1401">
        <v>3</v>
      </c>
      <c r="P1401">
        <v>413.82</v>
      </c>
      <c r="Q1401">
        <v>425.82</v>
      </c>
      <c r="R1401" t="s">
        <v>2054</v>
      </c>
    </row>
    <row r="1402" spans="1:18" x14ac:dyDescent="0.25">
      <c r="A1402" t="s">
        <v>1453</v>
      </c>
      <c r="B1402" s="1">
        <v>45711</v>
      </c>
      <c r="C1402" s="1">
        <v>45712</v>
      </c>
      <c r="D1402" t="s">
        <v>52</v>
      </c>
      <c r="E1402" t="s">
        <v>30</v>
      </c>
      <c r="F1402" t="s">
        <v>31</v>
      </c>
      <c r="G1402" t="s">
        <v>26</v>
      </c>
      <c r="H1402" t="s">
        <v>22</v>
      </c>
      <c r="I1402">
        <v>2</v>
      </c>
      <c r="J1402">
        <v>122.18</v>
      </c>
      <c r="K1402">
        <v>12</v>
      </c>
      <c r="L1402">
        <v>292</v>
      </c>
      <c r="M1402">
        <v>91.74</v>
      </c>
      <c r="N1402" t="s">
        <v>23</v>
      </c>
      <c r="O1402">
        <v>1</v>
      </c>
      <c r="P1402">
        <v>244.36</v>
      </c>
      <c r="Q1402">
        <v>256.36</v>
      </c>
      <c r="R1402" t="s">
        <v>2054</v>
      </c>
    </row>
    <row r="1403" spans="1:18" x14ac:dyDescent="0.25">
      <c r="A1403" t="s">
        <v>1454</v>
      </c>
      <c r="B1403" s="1">
        <v>45711</v>
      </c>
      <c r="C1403" s="1">
        <v>45728</v>
      </c>
      <c r="D1403" t="s">
        <v>75</v>
      </c>
      <c r="E1403" t="s">
        <v>44</v>
      </c>
      <c r="F1403" t="s">
        <v>45</v>
      </c>
      <c r="G1403" t="s">
        <v>35</v>
      </c>
      <c r="H1403" t="s">
        <v>27</v>
      </c>
      <c r="I1403">
        <v>3</v>
      </c>
      <c r="J1403">
        <v>1039.8599999999999</v>
      </c>
      <c r="K1403">
        <v>25</v>
      </c>
      <c r="L1403">
        <v>373</v>
      </c>
      <c r="M1403">
        <v>1079.3499999999999</v>
      </c>
      <c r="N1403" t="s">
        <v>47</v>
      </c>
      <c r="O1403">
        <v>17</v>
      </c>
      <c r="P1403">
        <v>3119.58</v>
      </c>
      <c r="Q1403">
        <v>3144.58</v>
      </c>
      <c r="R1403" t="s">
        <v>2054</v>
      </c>
    </row>
    <row r="1404" spans="1:18" x14ac:dyDescent="0.25">
      <c r="A1404" t="s">
        <v>1455</v>
      </c>
      <c r="B1404" s="1">
        <v>45711</v>
      </c>
      <c r="C1404" s="1">
        <v>45716</v>
      </c>
      <c r="D1404" t="s">
        <v>75</v>
      </c>
      <c r="E1404" t="s">
        <v>44</v>
      </c>
      <c r="F1404" t="s">
        <v>45</v>
      </c>
      <c r="G1404" t="s">
        <v>26</v>
      </c>
      <c r="H1404" t="s">
        <v>32</v>
      </c>
      <c r="I1404">
        <v>3</v>
      </c>
      <c r="J1404">
        <v>454.88</v>
      </c>
      <c r="K1404">
        <v>25</v>
      </c>
      <c r="L1404">
        <v>235</v>
      </c>
      <c r="M1404">
        <v>465.13</v>
      </c>
      <c r="N1404" t="s">
        <v>23</v>
      </c>
      <c r="O1404">
        <v>5</v>
      </c>
      <c r="P1404">
        <v>1364.6399999999999</v>
      </c>
      <c r="Q1404">
        <v>1389.6399999999999</v>
      </c>
      <c r="R1404" t="s">
        <v>2054</v>
      </c>
    </row>
    <row r="1405" spans="1:18" x14ac:dyDescent="0.25">
      <c r="A1405" t="s">
        <v>1456</v>
      </c>
      <c r="B1405" s="1">
        <v>45713</v>
      </c>
      <c r="C1405" s="1">
        <v>45716</v>
      </c>
      <c r="D1405" t="s">
        <v>25</v>
      </c>
      <c r="E1405" t="s">
        <v>19</v>
      </c>
      <c r="F1405" t="s">
        <v>20</v>
      </c>
      <c r="G1405" t="s">
        <v>26</v>
      </c>
      <c r="H1405" t="s">
        <v>22</v>
      </c>
      <c r="I1405">
        <v>7</v>
      </c>
      <c r="J1405">
        <v>30.65</v>
      </c>
      <c r="K1405">
        <v>8</v>
      </c>
      <c r="L1405">
        <v>209</v>
      </c>
      <c r="M1405">
        <v>13.17</v>
      </c>
      <c r="N1405" t="s">
        <v>23</v>
      </c>
      <c r="O1405">
        <v>3</v>
      </c>
      <c r="P1405">
        <v>214.54999999999998</v>
      </c>
      <c r="Q1405">
        <v>222.54999999999998</v>
      </c>
      <c r="R1405" t="s">
        <v>2054</v>
      </c>
    </row>
    <row r="1406" spans="1:18" x14ac:dyDescent="0.25">
      <c r="A1406" t="s">
        <v>1457</v>
      </c>
      <c r="B1406" s="1">
        <v>45715</v>
      </c>
      <c r="C1406" s="1">
        <v>45720</v>
      </c>
      <c r="D1406" t="s">
        <v>50</v>
      </c>
      <c r="E1406" t="s">
        <v>44</v>
      </c>
      <c r="F1406" t="s">
        <v>45</v>
      </c>
      <c r="G1406" t="s">
        <v>21</v>
      </c>
      <c r="H1406" t="s">
        <v>27</v>
      </c>
      <c r="I1406">
        <v>2</v>
      </c>
      <c r="J1406">
        <v>724.69</v>
      </c>
      <c r="K1406">
        <v>25</v>
      </c>
      <c r="L1406">
        <v>145</v>
      </c>
      <c r="M1406">
        <v>494.78</v>
      </c>
      <c r="N1406" t="s">
        <v>23</v>
      </c>
      <c r="O1406">
        <v>5</v>
      </c>
      <c r="P1406">
        <v>1449.38</v>
      </c>
      <c r="Q1406">
        <v>1474.38</v>
      </c>
      <c r="R1406" t="s">
        <v>2054</v>
      </c>
    </row>
    <row r="1407" spans="1:18" x14ac:dyDescent="0.25">
      <c r="A1407" t="s">
        <v>1458</v>
      </c>
      <c r="B1407" s="1">
        <v>45715</v>
      </c>
      <c r="C1407" s="1">
        <v>45727</v>
      </c>
      <c r="D1407" t="s">
        <v>78</v>
      </c>
      <c r="E1407" t="s">
        <v>79</v>
      </c>
      <c r="F1407" t="s">
        <v>80</v>
      </c>
      <c r="G1407" t="s">
        <v>35</v>
      </c>
      <c r="H1407" t="s">
        <v>22</v>
      </c>
      <c r="I1407">
        <v>2</v>
      </c>
      <c r="J1407">
        <v>64.64</v>
      </c>
      <c r="K1407">
        <v>12</v>
      </c>
      <c r="L1407">
        <v>323</v>
      </c>
      <c r="M1407">
        <v>52.18</v>
      </c>
      <c r="N1407" t="s">
        <v>47</v>
      </c>
      <c r="O1407">
        <v>12</v>
      </c>
      <c r="P1407">
        <v>129.28</v>
      </c>
      <c r="Q1407">
        <v>141.28</v>
      </c>
      <c r="R1407" t="s">
        <v>2054</v>
      </c>
    </row>
    <row r="1408" spans="1:18" x14ac:dyDescent="0.25">
      <c r="A1408" t="s">
        <v>1459</v>
      </c>
      <c r="B1408" s="1">
        <v>45716</v>
      </c>
      <c r="C1408" s="1">
        <v>45719</v>
      </c>
      <c r="D1408" t="s">
        <v>50</v>
      </c>
      <c r="E1408" t="s">
        <v>44</v>
      </c>
      <c r="F1408" t="s">
        <v>45</v>
      </c>
      <c r="G1408" t="s">
        <v>21</v>
      </c>
      <c r="H1408" t="s">
        <v>27</v>
      </c>
      <c r="I1408">
        <v>1</v>
      </c>
      <c r="J1408">
        <v>896.44</v>
      </c>
      <c r="K1408">
        <v>25</v>
      </c>
      <c r="L1408">
        <v>390</v>
      </c>
      <c r="M1408">
        <v>301.25</v>
      </c>
      <c r="N1408" t="s">
        <v>23</v>
      </c>
      <c r="O1408">
        <v>3</v>
      </c>
      <c r="P1408">
        <v>896.44</v>
      </c>
      <c r="Q1408">
        <v>921.44</v>
      </c>
      <c r="R1408" t="s">
        <v>2054</v>
      </c>
    </row>
    <row r="1409" spans="1:18" x14ac:dyDescent="0.25">
      <c r="A1409" t="s">
        <v>1460</v>
      </c>
      <c r="B1409" s="1">
        <v>45716</v>
      </c>
      <c r="C1409" s="1">
        <v>45718</v>
      </c>
      <c r="D1409" t="s">
        <v>18</v>
      </c>
      <c r="E1409" t="s">
        <v>19</v>
      </c>
      <c r="F1409" t="s">
        <v>20</v>
      </c>
      <c r="G1409" t="s">
        <v>21</v>
      </c>
      <c r="H1409" t="s">
        <v>40</v>
      </c>
      <c r="I1409">
        <v>6</v>
      </c>
      <c r="J1409">
        <v>16.03</v>
      </c>
      <c r="K1409">
        <v>12</v>
      </c>
      <c r="L1409">
        <v>216</v>
      </c>
      <c r="M1409">
        <v>1.69</v>
      </c>
      <c r="N1409" t="s">
        <v>23</v>
      </c>
      <c r="O1409">
        <v>2</v>
      </c>
      <c r="P1409">
        <v>96.18</v>
      </c>
      <c r="Q1409">
        <v>108.18</v>
      </c>
      <c r="R1409" t="s">
        <v>2054</v>
      </c>
    </row>
    <row r="1410" spans="1:18" x14ac:dyDescent="0.25">
      <c r="A1410" t="s">
        <v>1461</v>
      </c>
      <c r="B1410" s="1">
        <v>45717</v>
      </c>
      <c r="C1410" s="1">
        <v>45731</v>
      </c>
      <c r="D1410" t="s">
        <v>78</v>
      </c>
      <c r="E1410" t="s">
        <v>79</v>
      </c>
      <c r="F1410" t="s">
        <v>80</v>
      </c>
      <c r="G1410" t="s">
        <v>35</v>
      </c>
      <c r="H1410" t="s">
        <v>40</v>
      </c>
      <c r="I1410">
        <v>3</v>
      </c>
      <c r="J1410">
        <v>44.67</v>
      </c>
      <c r="K1410">
        <v>18</v>
      </c>
      <c r="L1410">
        <v>174</v>
      </c>
      <c r="M1410">
        <v>51.3</v>
      </c>
      <c r="N1410" t="s">
        <v>47</v>
      </c>
      <c r="O1410">
        <v>14</v>
      </c>
      <c r="P1410">
        <v>134.01</v>
      </c>
      <c r="Q1410">
        <v>152.01</v>
      </c>
      <c r="R1410" t="s">
        <v>2054</v>
      </c>
    </row>
    <row r="1411" spans="1:18" x14ac:dyDescent="0.25">
      <c r="A1411" t="s">
        <v>1462</v>
      </c>
      <c r="B1411" s="1">
        <v>45718</v>
      </c>
      <c r="C1411" s="1">
        <v>45725</v>
      </c>
      <c r="D1411" t="s">
        <v>18</v>
      </c>
      <c r="E1411" t="s">
        <v>19</v>
      </c>
      <c r="F1411" t="s">
        <v>20</v>
      </c>
      <c r="G1411" t="s">
        <v>35</v>
      </c>
      <c r="H1411" t="s">
        <v>40</v>
      </c>
      <c r="I1411">
        <v>12</v>
      </c>
      <c r="J1411">
        <v>24.52</v>
      </c>
      <c r="K1411">
        <v>12</v>
      </c>
      <c r="L1411">
        <v>172</v>
      </c>
      <c r="M1411">
        <v>17.54</v>
      </c>
      <c r="N1411" t="s">
        <v>63</v>
      </c>
      <c r="O1411">
        <v>7</v>
      </c>
      <c r="P1411">
        <v>294.24</v>
      </c>
      <c r="Q1411">
        <v>306.24</v>
      </c>
      <c r="R1411" t="s">
        <v>2054</v>
      </c>
    </row>
    <row r="1412" spans="1:18" x14ac:dyDescent="0.25">
      <c r="A1412" t="s">
        <v>1463</v>
      </c>
      <c r="B1412" s="1">
        <v>45718</v>
      </c>
      <c r="C1412" s="1">
        <v>45720</v>
      </c>
      <c r="D1412" t="s">
        <v>50</v>
      </c>
      <c r="E1412" t="s">
        <v>44</v>
      </c>
      <c r="F1412" t="s">
        <v>45</v>
      </c>
      <c r="G1412" t="s">
        <v>35</v>
      </c>
      <c r="H1412" t="s">
        <v>27</v>
      </c>
      <c r="I1412">
        <v>2</v>
      </c>
      <c r="J1412">
        <v>885.19</v>
      </c>
      <c r="K1412">
        <v>25</v>
      </c>
      <c r="L1412">
        <v>398</v>
      </c>
      <c r="M1412">
        <v>607.13</v>
      </c>
      <c r="N1412" t="s">
        <v>23</v>
      </c>
      <c r="O1412">
        <v>2</v>
      </c>
      <c r="P1412">
        <v>1770.38</v>
      </c>
      <c r="Q1412">
        <v>1795.38</v>
      </c>
      <c r="R1412" t="s">
        <v>2054</v>
      </c>
    </row>
    <row r="1413" spans="1:18" x14ac:dyDescent="0.25">
      <c r="A1413" t="s">
        <v>1464</v>
      </c>
      <c r="B1413" s="1">
        <v>45718</v>
      </c>
      <c r="C1413" s="1">
        <v>45720</v>
      </c>
      <c r="D1413" t="s">
        <v>25</v>
      </c>
      <c r="E1413" t="s">
        <v>19</v>
      </c>
      <c r="F1413" t="s">
        <v>20</v>
      </c>
      <c r="G1413" t="s">
        <v>35</v>
      </c>
      <c r="H1413" t="s">
        <v>27</v>
      </c>
      <c r="I1413">
        <v>14</v>
      </c>
      <c r="J1413">
        <v>34.340000000000003</v>
      </c>
      <c r="K1413">
        <v>8</v>
      </c>
      <c r="L1413">
        <v>7</v>
      </c>
      <c r="M1413">
        <v>34.46</v>
      </c>
      <c r="N1413" t="s">
        <v>23</v>
      </c>
      <c r="O1413">
        <v>2</v>
      </c>
      <c r="P1413">
        <v>480.76000000000005</v>
      </c>
      <c r="Q1413">
        <v>488.76000000000005</v>
      </c>
      <c r="R1413" t="s">
        <v>2056</v>
      </c>
    </row>
    <row r="1414" spans="1:18" x14ac:dyDescent="0.25">
      <c r="A1414" t="s">
        <v>1465</v>
      </c>
      <c r="B1414" s="1">
        <v>45719</v>
      </c>
      <c r="C1414" s="1">
        <v>45724</v>
      </c>
      <c r="D1414" t="s">
        <v>18</v>
      </c>
      <c r="E1414" t="s">
        <v>19</v>
      </c>
      <c r="F1414" t="s">
        <v>20</v>
      </c>
      <c r="G1414" t="s">
        <v>35</v>
      </c>
      <c r="H1414" t="s">
        <v>32</v>
      </c>
      <c r="I1414">
        <v>7</v>
      </c>
      <c r="J1414">
        <v>14.11</v>
      </c>
      <c r="K1414">
        <v>8</v>
      </c>
      <c r="L1414">
        <v>119</v>
      </c>
      <c r="M1414">
        <v>-14.82</v>
      </c>
      <c r="N1414" t="s">
        <v>23</v>
      </c>
      <c r="O1414">
        <v>5</v>
      </c>
      <c r="P1414">
        <v>98.77</v>
      </c>
      <c r="Q1414">
        <v>106.77</v>
      </c>
      <c r="R1414" t="s">
        <v>2054</v>
      </c>
    </row>
    <row r="1415" spans="1:18" x14ac:dyDescent="0.25">
      <c r="A1415" t="s">
        <v>1466</v>
      </c>
      <c r="B1415" s="1">
        <v>45719</v>
      </c>
      <c r="C1415" s="1">
        <v>45727</v>
      </c>
      <c r="D1415" t="s">
        <v>29</v>
      </c>
      <c r="E1415" t="s">
        <v>30</v>
      </c>
      <c r="F1415" t="s">
        <v>31</v>
      </c>
      <c r="G1415" t="s">
        <v>35</v>
      </c>
      <c r="H1415" t="s">
        <v>32</v>
      </c>
      <c r="I1415">
        <v>4</v>
      </c>
      <c r="J1415">
        <v>71.849999999999994</v>
      </c>
      <c r="K1415">
        <v>12</v>
      </c>
      <c r="L1415">
        <v>269</v>
      </c>
      <c r="M1415">
        <v>108.96</v>
      </c>
      <c r="N1415" t="s">
        <v>63</v>
      </c>
      <c r="O1415">
        <v>8</v>
      </c>
      <c r="P1415">
        <v>287.39999999999998</v>
      </c>
      <c r="Q1415">
        <v>299.39999999999998</v>
      </c>
      <c r="R1415" t="s">
        <v>2054</v>
      </c>
    </row>
    <row r="1416" spans="1:18" x14ac:dyDescent="0.25">
      <c r="A1416" t="s">
        <v>1467</v>
      </c>
      <c r="B1416" s="1">
        <v>45719</v>
      </c>
      <c r="C1416" s="1">
        <v>45724</v>
      </c>
      <c r="D1416" t="s">
        <v>52</v>
      </c>
      <c r="E1416" t="s">
        <v>30</v>
      </c>
      <c r="F1416" t="s">
        <v>31</v>
      </c>
      <c r="G1416" t="s">
        <v>35</v>
      </c>
      <c r="H1416" t="s">
        <v>27</v>
      </c>
      <c r="I1416">
        <v>5</v>
      </c>
      <c r="J1416">
        <v>70.489999999999995</v>
      </c>
      <c r="K1416">
        <v>12</v>
      </c>
      <c r="L1416">
        <v>165</v>
      </c>
      <c r="M1416">
        <v>134.97999999999999</v>
      </c>
      <c r="N1416" t="s">
        <v>23</v>
      </c>
      <c r="O1416">
        <v>5</v>
      </c>
      <c r="P1416">
        <v>352.45</v>
      </c>
      <c r="Q1416">
        <v>364.45</v>
      </c>
      <c r="R1416" t="s">
        <v>2054</v>
      </c>
    </row>
    <row r="1417" spans="1:18" x14ac:dyDescent="0.25">
      <c r="A1417" t="s">
        <v>1468</v>
      </c>
      <c r="B1417" s="1">
        <v>45720</v>
      </c>
      <c r="C1417" s="1">
        <v>45722</v>
      </c>
      <c r="D1417" t="s">
        <v>25</v>
      </c>
      <c r="E1417" t="s">
        <v>19</v>
      </c>
      <c r="F1417" t="s">
        <v>20</v>
      </c>
      <c r="G1417" t="s">
        <v>21</v>
      </c>
      <c r="H1417" t="s">
        <v>27</v>
      </c>
      <c r="I1417">
        <v>11</v>
      </c>
      <c r="J1417">
        <v>14.16</v>
      </c>
      <c r="K1417">
        <v>8</v>
      </c>
      <c r="L1417">
        <v>7</v>
      </c>
      <c r="M1417">
        <v>8.4600000000000009</v>
      </c>
      <c r="N1417" t="s">
        <v>23</v>
      </c>
      <c r="O1417">
        <v>2</v>
      </c>
      <c r="P1417">
        <v>155.76</v>
      </c>
      <c r="Q1417">
        <v>163.76</v>
      </c>
      <c r="R1417" t="s">
        <v>2056</v>
      </c>
    </row>
    <row r="1418" spans="1:18" x14ac:dyDescent="0.25">
      <c r="A1418" t="s">
        <v>1469</v>
      </c>
      <c r="B1418" s="1">
        <v>45720</v>
      </c>
      <c r="C1418" s="1">
        <v>45722</v>
      </c>
      <c r="D1418" t="s">
        <v>75</v>
      </c>
      <c r="E1418" t="s">
        <v>44</v>
      </c>
      <c r="F1418" t="s">
        <v>45</v>
      </c>
      <c r="G1418" t="s">
        <v>21</v>
      </c>
      <c r="H1418" t="s">
        <v>32</v>
      </c>
      <c r="I1418">
        <v>3</v>
      </c>
      <c r="J1418">
        <v>550.70000000000005</v>
      </c>
      <c r="K1418">
        <v>25</v>
      </c>
      <c r="L1418">
        <v>80</v>
      </c>
      <c r="M1418">
        <v>565.74</v>
      </c>
      <c r="N1418" t="s">
        <v>23</v>
      </c>
      <c r="O1418">
        <v>2</v>
      </c>
      <c r="P1418">
        <v>1652.1000000000001</v>
      </c>
      <c r="Q1418">
        <v>1677.1000000000001</v>
      </c>
      <c r="R1418" t="s">
        <v>2054</v>
      </c>
    </row>
    <row r="1419" spans="1:18" x14ac:dyDescent="0.25">
      <c r="A1419" t="s">
        <v>1470</v>
      </c>
      <c r="B1419" s="1">
        <v>45720</v>
      </c>
      <c r="C1419" s="1">
        <v>45721</v>
      </c>
      <c r="D1419" t="s">
        <v>18</v>
      </c>
      <c r="E1419" t="s">
        <v>19</v>
      </c>
      <c r="F1419" t="s">
        <v>20</v>
      </c>
      <c r="G1419" t="s">
        <v>35</v>
      </c>
      <c r="H1419" t="s">
        <v>40</v>
      </c>
      <c r="I1419">
        <v>9</v>
      </c>
      <c r="J1419">
        <v>29.58</v>
      </c>
      <c r="K1419">
        <v>12</v>
      </c>
      <c r="L1419">
        <v>205</v>
      </c>
      <c r="M1419">
        <v>15.3</v>
      </c>
      <c r="N1419" t="s">
        <v>23</v>
      </c>
      <c r="O1419">
        <v>1</v>
      </c>
      <c r="P1419">
        <v>266.21999999999997</v>
      </c>
      <c r="Q1419">
        <v>278.21999999999997</v>
      </c>
      <c r="R1419" t="s">
        <v>2054</v>
      </c>
    </row>
    <row r="1420" spans="1:18" x14ac:dyDescent="0.25">
      <c r="A1420" t="s">
        <v>1471</v>
      </c>
      <c r="B1420" s="1">
        <v>45720</v>
      </c>
      <c r="C1420" s="1">
        <v>45723</v>
      </c>
      <c r="D1420" t="s">
        <v>25</v>
      </c>
      <c r="E1420" t="s">
        <v>19</v>
      </c>
      <c r="F1420" t="s">
        <v>20</v>
      </c>
      <c r="G1420" t="s">
        <v>35</v>
      </c>
      <c r="H1420" t="s">
        <v>40</v>
      </c>
      <c r="I1420">
        <v>5</v>
      </c>
      <c r="J1420">
        <v>10.6</v>
      </c>
      <c r="K1420">
        <v>12</v>
      </c>
      <c r="L1420">
        <v>8</v>
      </c>
      <c r="M1420">
        <v>-7.95</v>
      </c>
      <c r="N1420" t="s">
        <v>23</v>
      </c>
      <c r="O1420">
        <v>3</v>
      </c>
      <c r="P1420">
        <v>53</v>
      </c>
      <c r="Q1420">
        <v>65</v>
      </c>
      <c r="R1420" t="s">
        <v>2056</v>
      </c>
    </row>
    <row r="1421" spans="1:18" x14ac:dyDescent="0.25">
      <c r="A1421" t="s">
        <v>1472</v>
      </c>
      <c r="B1421" s="1">
        <v>45721</v>
      </c>
      <c r="C1421" s="1">
        <v>45728</v>
      </c>
      <c r="D1421" t="s">
        <v>72</v>
      </c>
      <c r="E1421" t="s">
        <v>44</v>
      </c>
      <c r="F1421" t="s">
        <v>45</v>
      </c>
      <c r="G1421" t="s">
        <v>35</v>
      </c>
      <c r="H1421" t="s">
        <v>32</v>
      </c>
      <c r="I1421">
        <v>1</v>
      </c>
      <c r="J1421">
        <v>834.57</v>
      </c>
      <c r="K1421">
        <v>25</v>
      </c>
      <c r="L1421">
        <v>155</v>
      </c>
      <c r="M1421">
        <v>-125.19</v>
      </c>
      <c r="N1421" t="s">
        <v>63</v>
      </c>
      <c r="O1421">
        <v>7</v>
      </c>
      <c r="P1421">
        <v>834.57</v>
      </c>
      <c r="Q1421">
        <v>859.57</v>
      </c>
      <c r="R1421" t="s">
        <v>2054</v>
      </c>
    </row>
    <row r="1422" spans="1:18" x14ac:dyDescent="0.25">
      <c r="A1422" t="s">
        <v>1473</v>
      </c>
      <c r="B1422" s="1">
        <v>45721</v>
      </c>
      <c r="C1422" s="1">
        <v>45723</v>
      </c>
      <c r="D1422" t="s">
        <v>52</v>
      </c>
      <c r="E1422" t="s">
        <v>30</v>
      </c>
      <c r="F1422" t="s">
        <v>31</v>
      </c>
      <c r="G1422" t="s">
        <v>35</v>
      </c>
      <c r="H1422" t="s">
        <v>40</v>
      </c>
      <c r="I1422">
        <v>1</v>
      </c>
      <c r="J1422">
        <v>80.489999999999995</v>
      </c>
      <c r="K1422">
        <v>18</v>
      </c>
      <c r="L1422">
        <v>69</v>
      </c>
      <c r="M1422">
        <v>23.2</v>
      </c>
      <c r="N1422" t="s">
        <v>23</v>
      </c>
      <c r="O1422">
        <v>2</v>
      </c>
      <c r="P1422">
        <v>80.489999999999995</v>
      </c>
      <c r="Q1422">
        <v>98.49</v>
      </c>
      <c r="R1422" t="s">
        <v>2054</v>
      </c>
    </row>
    <row r="1423" spans="1:18" x14ac:dyDescent="0.25">
      <c r="A1423" t="s">
        <v>1474</v>
      </c>
      <c r="B1423" s="1">
        <v>45721</v>
      </c>
      <c r="C1423" s="1">
        <v>45722</v>
      </c>
      <c r="D1423" t="s">
        <v>52</v>
      </c>
      <c r="E1423" t="s">
        <v>30</v>
      </c>
      <c r="F1423" t="s">
        <v>31</v>
      </c>
      <c r="G1423" t="s">
        <v>21</v>
      </c>
      <c r="H1423" t="s">
        <v>22</v>
      </c>
      <c r="I1423">
        <v>3</v>
      </c>
      <c r="J1423">
        <v>58.99</v>
      </c>
      <c r="K1423">
        <v>12</v>
      </c>
      <c r="L1423">
        <v>339</v>
      </c>
      <c r="M1423">
        <v>64.790000000000006</v>
      </c>
      <c r="N1423" t="s">
        <v>23</v>
      </c>
      <c r="O1423">
        <v>1</v>
      </c>
      <c r="P1423">
        <v>176.97</v>
      </c>
      <c r="Q1423">
        <v>188.97</v>
      </c>
      <c r="R1423" t="s">
        <v>2054</v>
      </c>
    </row>
    <row r="1424" spans="1:18" x14ac:dyDescent="0.25">
      <c r="A1424" t="s">
        <v>1475</v>
      </c>
      <c r="B1424" s="1">
        <v>45722</v>
      </c>
      <c r="C1424" s="1">
        <v>45725</v>
      </c>
      <c r="D1424" t="s">
        <v>43</v>
      </c>
      <c r="E1424" t="s">
        <v>44</v>
      </c>
      <c r="F1424" t="s">
        <v>45</v>
      </c>
      <c r="G1424" t="s">
        <v>26</v>
      </c>
      <c r="H1424" t="s">
        <v>22</v>
      </c>
      <c r="I1424">
        <v>2</v>
      </c>
      <c r="J1424">
        <v>807.32</v>
      </c>
      <c r="K1424">
        <v>25</v>
      </c>
      <c r="L1424">
        <v>156</v>
      </c>
      <c r="M1424">
        <v>552.63</v>
      </c>
      <c r="N1424" t="s">
        <v>23</v>
      </c>
      <c r="O1424">
        <v>3</v>
      </c>
      <c r="P1424">
        <v>1614.64</v>
      </c>
      <c r="Q1424">
        <v>1639.64</v>
      </c>
      <c r="R1424" t="s">
        <v>2054</v>
      </c>
    </row>
    <row r="1425" spans="1:18" x14ac:dyDescent="0.25">
      <c r="A1425" t="s">
        <v>1476</v>
      </c>
      <c r="B1425" s="1">
        <v>45722</v>
      </c>
      <c r="C1425" s="1">
        <v>45734</v>
      </c>
      <c r="D1425" t="s">
        <v>56</v>
      </c>
      <c r="E1425" t="s">
        <v>38</v>
      </c>
      <c r="F1425" t="s">
        <v>39</v>
      </c>
      <c r="G1425" t="s">
        <v>35</v>
      </c>
      <c r="H1425" t="s">
        <v>27</v>
      </c>
      <c r="I1425">
        <v>1</v>
      </c>
      <c r="J1425">
        <v>420.25</v>
      </c>
      <c r="K1425">
        <v>75</v>
      </c>
      <c r="L1425">
        <v>109</v>
      </c>
      <c r="M1425">
        <v>46.55</v>
      </c>
      <c r="N1425" t="s">
        <v>47</v>
      </c>
      <c r="O1425">
        <v>12</v>
      </c>
      <c r="P1425">
        <v>420.25</v>
      </c>
      <c r="Q1425">
        <v>495.25</v>
      </c>
      <c r="R1425" t="s">
        <v>2054</v>
      </c>
    </row>
    <row r="1426" spans="1:18" x14ac:dyDescent="0.25">
      <c r="A1426" t="s">
        <v>1477</v>
      </c>
      <c r="B1426" s="1">
        <v>45723</v>
      </c>
      <c r="C1426" s="1">
        <v>45726</v>
      </c>
      <c r="D1426" t="s">
        <v>18</v>
      </c>
      <c r="E1426" t="s">
        <v>19</v>
      </c>
      <c r="F1426" t="s">
        <v>20</v>
      </c>
      <c r="G1426" t="s">
        <v>35</v>
      </c>
      <c r="H1426" t="s">
        <v>40</v>
      </c>
      <c r="I1426">
        <v>12</v>
      </c>
      <c r="J1426">
        <v>11.65</v>
      </c>
      <c r="K1426">
        <v>12</v>
      </c>
      <c r="L1426">
        <v>65</v>
      </c>
      <c r="M1426">
        <v>5.19</v>
      </c>
      <c r="N1426" t="s">
        <v>23</v>
      </c>
      <c r="O1426">
        <v>3</v>
      </c>
      <c r="P1426">
        <v>139.80000000000001</v>
      </c>
      <c r="Q1426">
        <v>151.80000000000001</v>
      </c>
      <c r="R1426" t="s">
        <v>2054</v>
      </c>
    </row>
    <row r="1427" spans="1:18" x14ac:dyDescent="0.25">
      <c r="A1427" t="s">
        <v>1478</v>
      </c>
      <c r="B1427" s="1">
        <v>45723</v>
      </c>
      <c r="C1427" s="1">
        <v>45727</v>
      </c>
      <c r="D1427" t="s">
        <v>25</v>
      </c>
      <c r="E1427" t="s">
        <v>19</v>
      </c>
      <c r="F1427" t="s">
        <v>20</v>
      </c>
      <c r="G1427" t="s">
        <v>21</v>
      </c>
      <c r="H1427" t="s">
        <v>32</v>
      </c>
      <c r="I1427">
        <v>6</v>
      </c>
      <c r="J1427">
        <v>37.979999999999997</v>
      </c>
      <c r="K1427">
        <v>8</v>
      </c>
      <c r="L1427">
        <v>150</v>
      </c>
      <c r="M1427">
        <v>14.23</v>
      </c>
      <c r="N1427" t="s">
        <v>23</v>
      </c>
      <c r="O1427">
        <v>4</v>
      </c>
      <c r="P1427">
        <v>227.88</v>
      </c>
      <c r="Q1427">
        <v>235.88</v>
      </c>
      <c r="R1427" t="s">
        <v>2054</v>
      </c>
    </row>
    <row r="1428" spans="1:18" x14ac:dyDescent="0.25">
      <c r="A1428" t="s">
        <v>1479</v>
      </c>
      <c r="B1428" s="1">
        <v>45723</v>
      </c>
      <c r="C1428" s="1">
        <v>45727</v>
      </c>
      <c r="D1428" t="s">
        <v>54</v>
      </c>
      <c r="E1428" t="s">
        <v>38</v>
      </c>
      <c r="F1428" t="s">
        <v>39</v>
      </c>
      <c r="G1428" t="s">
        <v>26</v>
      </c>
      <c r="H1428" t="s">
        <v>27</v>
      </c>
      <c r="I1428">
        <v>2</v>
      </c>
      <c r="J1428">
        <v>426.79</v>
      </c>
      <c r="K1428">
        <v>75</v>
      </c>
      <c r="L1428">
        <v>318</v>
      </c>
      <c r="M1428">
        <v>133.22</v>
      </c>
      <c r="N1428" t="s">
        <v>23</v>
      </c>
      <c r="O1428">
        <v>4</v>
      </c>
      <c r="P1428">
        <v>853.58</v>
      </c>
      <c r="Q1428">
        <v>928.58</v>
      </c>
      <c r="R1428" t="s">
        <v>2054</v>
      </c>
    </row>
    <row r="1429" spans="1:18" x14ac:dyDescent="0.25">
      <c r="A1429" t="s">
        <v>1480</v>
      </c>
      <c r="B1429" s="1">
        <v>45724</v>
      </c>
      <c r="C1429" s="1">
        <v>45726</v>
      </c>
      <c r="D1429" t="s">
        <v>34</v>
      </c>
      <c r="E1429" t="s">
        <v>30</v>
      </c>
      <c r="F1429" t="s">
        <v>31</v>
      </c>
      <c r="G1429" t="s">
        <v>21</v>
      </c>
      <c r="H1429" t="s">
        <v>40</v>
      </c>
      <c r="I1429">
        <v>2</v>
      </c>
      <c r="J1429">
        <v>62.05</v>
      </c>
      <c r="K1429">
        <v>18</v>
      </c>
      <c r="L1429">
        <v>80</v>
      </c>
      <c r="M1429">
        <v>40.64</v>
      </c>
      <c r="N1429" t="s">
        <v>23</v>
      </c>
      <c r="O1429">
        <v>2</v>
      </c>
      <c r="P1429">
        <v>124.1</v>
      </c>
      <c r="Q1429">
        <v>142.1</v>
      </c>
      <c r="R1429" t="s">
        <v>2054</v>
      </c>
    </row>
    <row r="1430" spans="1:18" x14ac:dyDescent="0.25">
      <c r="A1430" t="s">
        <v>1481</v>
      </c>
      <c r="B1430" s="1">
        <v>45724</v>
      </c>
      <c r="C1430" s="1">
        <v>45735</v>
      </c>
      <c r="D1430" t="s">
        <v>50</v>
      </c>
      <c r="E1430" t="s">
        <v>44</v>
      </c>
      <c r="F1430" t="s">
        <v>45</v>
      </c>
      <c r="G1430" t="s">
        <v>35</v>
      </c>
      <c r="H1430" t="s">
        <v>40</v>
      </c>
      <c r="I1430">
        <v>3</v>
      </c>
      <c r="J1430">
        <v>556.25</v>
      </c>
      <c r="K1430">
        <v>37.5</v>
      </c>
      <c r="L1430">
        <v>237</v>
      </c>
      <c r="M1430">
        <v>565.30999999999995</v>
      </c>
      <c r="N1430" t="s">
        <v>47</v>
      </c>
      <c r="O1430">
        <v>11</v>
      </c>
      <c r="P1430">
        <v>1668.75</v>
      </c>
      <c r="Q1430">
        <v>1706.25</v>
      </c>
      <c r="R1430" t="s">
        <v>2054</v>
      </c>
    </row>
    <row r="1431" spans="1:18" x14ac:dyDescent="0.25">
      <c r="A1431" t="s">
        <v>1482</v>
      </c>
      <c r="B1431" s="1">
        <v>45724</v>
      </c>
      <c r="C1431" s="1">
        <v>45736</v>
      </c>
      <c r="D1431" t="s">
        <v>29</v>
      </c>
      <c r="E1431" t="s">
        <v>30</v>
      </c>
      <c r="F1431" t="s">
        <v>31</v>
      </c>
      <c r="G1431" t="s">
        <v>35</v>
      </c>
      <c r="H1431" t="s">
        <v>27</v>
      </c>
      <c r="I1431">
        <v>1</v>
      </c>
      <c r="J1431">
        <v>57.13</v>
      </c>
      <c r="K1431">
        <v>12</v>
      </c>
      <c r="L1431">
        <v>365</v>
      </c>
      <c r="M1431">
        <v>16.850000000000001</v>
      </c>
      <c r="N1431" t="s">
        <v>47</v>
      </c>
      <c r="O1431">
        <v>12</v>
      </c>
      <c r="P1431">
        <v>57.13</v>
      </c>
      <c r="Q1431">
        <v>69.13</v>
      </c>
      <c r="R1431" t="s">
        <v>2054</v>
      </c>
    </row>
    <row r="1432" spans="1:18" x14ac:dyDescent="0.25">
      <c r="A1432" t="s">
        <v>1483</v>
      </c>
      <c r="B1432" s="1">
        <v>45724</v>
      </c>
      <c r="C1432" s="1">
        <v>45740</v>
      </c>
      <c r="D1432" t="s">
        <v>25</v>
      </c>
      <c r="E1432" t="s">
        <v>19</v>
      </c>
      <c r="F1432" t="s">
        <v>20</v>
      </c>
      <c r="G1432" t="s">
        <v>35</v>
      </c>
      <c r="H1432" t="s">
        <v>27</v>
      </c>
      <c r="I1432">
        <v>9</v>
      </c>
      <c r="J1432">
        <v>32.44</v>
      </c>
      <c r="K1432">
        <v>8</v>
      </c>
      <c r="L1432">
        <v>227</v>
      </c>
      <c r="M1432">
        <v>19.350000000000001</v>
      </c>
      <c r="N1432" t="s">
        <v>47</v>
      </c>
      <c r="O1432">
        <v>16</v>
      </c>
      <c r="P1432">
        <v>291.95999999999998</v>
      </c>
      <c r="Q1432">
        <v>299.95999999999998</v>
      </c>
      <c r="R1432" t="s">
        <v>2054</v>
      </c>
    </row>
    <row r="1433" spans="1:18" x14ac:dyDescent="0.25">
      <c r="A1433" t="s">
        <v>1484</v>
      </c>
      <c r="B1433" s="1">
        <v>45726</v>
      </c>
      <c r="C1433" s="1">
        <v>45727</v>
      </c>
      <c r="D1433" t="s">
        <v>29</v>
      </c>
      <c r="E1433" t="s">
        <v>30</v>
      </c>
      <c r="F1433" t="s">
        <v>31</v>
      </c>
      <c r="G1433" t="s">
        <v>26</v>
      </c>
      <c r="H1433" t="s">
        <v>32</v>
      </c>
      <c r="I1433">
        <v>2</v>
      </c>
      <c r="J1433">
        <v>52.18</v>
      </c>
      <c r="K1433">
        <v>12</v>
      </c>
      <c r="L1433">
        <v>285</v>
      </c>
      <c r="M1433">
        <v>35.75</v>
      </c>
      <c r="N1433" t="s">
        <v>23</v>
      </c>
      <c r="O1433">
        <v>1</v>
      </c>
      <c r="P1433">
        <v>104.36</v>
      </c>
      <c r="Q1433">
        <v>116.36</v>
      </c>
      <c r="R1433" t="s">
        <v>2054</v>
      </c>
    </row>
    <row r="1434" spans="1:18" x14ac:dyDescent="0.25">
      <c r="A1434" t="s">
        <v>1485</v>
      </c>
      <c r="B1434" s="1">
        <v>45726</v>
      </c>
      <c r="C1434" s="1">
        <v>45733</v>
      </c>
      <c r="D1434" t="s">
        <v>78</v>
      </c>
      <c r="E1434" t="s">
        <v>79</v>
      </c>
      <c r="F1434" t="s">
        <v>80</v>
      </c>
      <c r="G1434" t="s">
        <v>35</v>
      </c>
      <c r="H1434" t="s">
        <v>27</v>
      </c>
      <c r="I1434">
        <v>4</v>
      </c>
      <c r="J1434">
        <v>22</v>
      </c>
      <c r="K1434">
        <v>12</v>
      </c>
      <c r="L1434">
        <v>181</v>
      </c>
      <c r="M1434">
        <v>33.61</v>
      </c>
      <c r="N1434" t="s">
        <v>63</v>
      </c>
      <c r="O1434">
        <v>7</v>
      </c>
      <c r="P1434">
        <v>88</v>
      </c>
      <c r="Q1434">
        <v>100</v>
      </c>
      <c r="R1434" t="s">
        <v>2054</v>
      </c>
    </row>
    <row r="1435" spans="1:18" x14ac:dyDescent="0.25">
      <c r="A1435" t="s">
        <v>1486</v>
      </c>
      <c r="B1435" s="1">
        <v>45726</v>
      </c>
      <c r="C1435" s="1">
        <v>45730</v>
      </c>
      <c r="D1435" t="s">
        <v>54</v>
      </c>
      <c r="E1435" t="s">
        <v>38</v>
      </c>
      <c r="F1435" t="s">
        <v>39</v>
      </c>
      <c r="G1435" t="s">
        <v>21</v>
      </c>
      <c r="H1435" t="s">
        <v>32</v>
      </c>
      <c r="I1435">
        <v>2</v>
      </c>
      <c r="J1435">
        <v>239.63</v>
      </c>
      <c r="K1435">
        <v>75</v>
      </c>
      <c r="L1435">
        <v>138</v>
      </c>
      <c r="M1435">
        <v>58.35</v>
      </c>
      <c r="N1435" t="s">
        <v>23</v>
      </c>
      <c r="O1435">
        <v>4</v>
      </c>
      <c r="P1435">
        <v>479.26</v>
      </c>
      <c r="Q1435">
        <v>554.26</v>
      </c>
      <c r="R1435" t="s">
        <v>2054</v>
      </c>
    </row>
    <row r="1436" spans="1:18" x14ac:dyDescent="0.25">
      <c r="A1436" t="s">
        <v>1487</v>
      </c>
      <c r="B1436" s="1">
        <v>45727</v>
      </c>
      <c r="C1436" s="1">
        <v>45728</v>
      </c>
      <c r="D1436" t="s">
        <v>75</v>
      </c>
      <c r="E1436" t="s">
        <v>44</v>
      </c>
      <c r="F1436" t="s">
        <v>45</v>
      </c>
      <c r="G1436" t="s">
        <v>26</v>
      </c>
      <c r="H1436" t="s">
        <v>27</v>
      </c>
      <c r="I1436">
        <v>3</v>
      </c>
      <c r="J1436">
        <v>1132.27</v>
      </c>
      <c r="K1436">
        <v>25</v>
      </c>
      <c r="L1436">
        <v>328</v>
      </c>
      <c r="M1436">
        <v>1176.3800000000001</v>
      </c>
      <c r="N1436" t="s">
        <v>23</v>
      </c>
      <c r="O1436">
        <v>1</v>
      </c>
      <c r="P1436">
        <v>3396.81</v>
      </c>
      <c r="Q1436">
        <v>3421.81</v>
      </c>
      <c r="R1436" t="s">
        <v>2054</v>
      </c>
    </row>
    <row r="1437" spans="1:18" x14ac:dyDescent="0.25">
      <c r="A1437" t="s">
        <v>1488</v>
      </c>
      <c r="B1437" s="1">
        <v>45727</v>
      </c>
      <c r="C1437" s="1">
        <v>45731</v>
      </c>
      <c r="D1437" t="s">
        <v>82</v>
      </c>
      <c r="E1437" t="s">
        <v>79</v>
      </c>
      <c r="F1437" t="s">
        <v>80</v>
      </c>
      <c r="G1437" t="s">
        <v>35</v>
      </c>
      <c r="H1437" t="s">
        <v>27</v>
      </c>
      <c r="I1437">
        <v>4</v>
      </c>
      <c r="J1437">
        <v>65.13</v>
      </c>
      <c r="K1437">
        <v>12</v>
      </c>
      <c r="L1437">
        <v>384</v>
      </c>
      <c r="M1437">
        <v>111.24</v>
      </c>
      <c r="N1437" t="s">
        <v>23</v>
      </c>
      <c r="O1437">
        <v>4</v>
      </c>
      <c r="P1437">
        <v>260.52</v>
      </c>
      <c r="Q1437">
        <v>272.52</v>
      </c>
      <c r="R1437" t="s">
        <v>2054</v>
      </c>
    </row>
    <row r="1438" spans="1:18" x14ac:dyDescent="0.25">
      <c r="A1438" t="s">
        <v>1489</v>
      </c>
      <c r="B1438" s="1">
        <v>45727</v>
      </c>
      <c r="C1438" s="1">
        <v>45731</v>
      </c>
      <c r="D1438" t="s">
        <v>52</v>
      </c>
      <c r="E1438" t="s">
        <v>30</v>
      </c>
      <c r="F1438" t="s">
        <v>31</v>
      </c>
      <c r="G1438" t="s">
        <v>35</v>
      </c>
      <c r="H1438" t="s">
        <v>40</v>
      </c>
      <c r="I1438">
        <v>3</v>
      </c>
      <c r="J1438">
        <v>112.09</v>
      </c>
      <c r="K1438">
        <v>18</v>
      </c>
      <c r="L1438">
        <v>308</v>
      </c>
      <c r="M1438">
        <v>125.51</v>
      </c>
      <c r="N1438" t="s">
        <v>23</v>
      </c>
      <c r="O1438">
        <v>4</v>
      </c>
      <c r="P1438">
        <v>336.27</v>
      </c>
      <c r="Q1438">
        <v>354.27</v>
      </c>
      <c r="R1438" t="s">
        <v>2054</v>
      </c>
    </row>
    <row r="1439" spans="1:18" x14ac:dyDescent="0.25">
      <c r="A1439" t="s">
        <v>1490</v>
      </c>
      <c r="B1439" s="1">
        <v>45727</v>
      </c>
      <c r="C1439" s="1">
        <v>45729</v>
      </c>
      <c r="D1439" t="s">
        <v>58</v>
      </c>
      <c r="E1439" t="s">
        <v>19</v>
      </c>
      <c r="F1439" t="s">
        <v>20</v>
      </c>
      <c r="G1439" t="s">
        <v>26</v>
      </c>
      <c r="H1439" t="s">
        <v>27</v>
      </c>
      <c r="I1439">
        <v>10</v>
      </c>
      <c r="J1439">
        <v>45.53</v>
      </c>
      <c r="K1439">
        <v>8</v>
      </c>
      <c r="L1439">
        <v>159</v>
      </c>
      <c r="M1439">
        <v>32.43</v>
      </c>
      <c r="N1439" t="s">
        <v>23</v>
      </c>
      <c r="O1439">
        <v>2</v>
      </c>
      <c r="P1439">
        <v>455.3</v>
      </c>
      <c r="Q1439">
        <v>463.3</v>
      </c>
      <c r="R1439" t="s">
        <v>2054</v>
      </c>
    </row>
    <row r="1440" spans="1:18" x14ac:dyDescent="0.25">
      <c r="A1440" t="s">
        <v>1491</v>
      </c>
      <c r="B1440" s="1">
        <v>45728</v>
      </c>
      <c r="C1440" s="1">
        <v>45729</v>
      </c>
      <c r="D1440" t="s">
        <v>29</v>
      </c>
      <c r="E1440" t="s">
        <v>30</v>
      </c>
      <c r="F1440" t="s">
        <v>31</v>
      </c>
      <c r="G1440" t="s">
        <v>21</v>
      </c>
      <c r="H1440" t="s">
        <v>32</v>
      </c>
      <c r="I1440">
        <v>2</v>
      </c>
      <c r="J1440">
        <v>23.09</v>
      </c>
      <c r="K1440">
        <v>12</v>
      </c>
      <c r="L1440">
        <v>377</v>
      </c>
      <c r="M1440">
        <v>12.48</v>
      </c>
      <c r="N1440" t="s">
        <v>23</v>
      </c>
      <c r="O1440">
        <v>1</v>
      </c>
      <c r="P1440">
        <v>46.18</v>
      </c>
      <c r="Q1440">
        <v>58.18</v>
      </c>
      <c r="R1440" t="s">
        <v>2054</v>
      </c>
    </row>
    <row r="1441" spans="1:18" x14ac:dyDescent="0.25">
      <c r="A1441" t="s">
        <v>1492</v>
      </c>
      <c r="B1441" s="1">
        <v>45728</v>
      </c>
      <c r="C1441" s="1">
        <v>45733</v>
      </c>
      <c r="D1441" t="s">
        <v>118</v>
      </c>
      <c r="E1441" t="s">
        <v>79</v>
      </c>
      <c r="F1441" t="s">
        <v>80</v>
      </c>
      <c r="G1441" t="s">
        <v>26</v>
      </c>
      <c r="H1441" t="s">
        <v>22</v>
      </c>
      <c r="I1441">
        <v>3</v>
      </c>
      <c r="J1441">
        <v>30.46</v>
      </c>
      <c r="K1441">
        <v>12</v>
      </c>
      <c r="L1441">
        <v>350</v>
      </c>
      <c r="M1441">
        <v>35.119999999999997</v>
      </c>
      <c r="N1441" t="s">
        <v>23</v>
      </c>
      <c r="O1441">
        <v>5</v>
      </c>
      <c r="P1441">
        <v>91.38</v>
      </c>
      <c r="Q1441">
        <v>103.38</v>
      </c>
      <c r="R1441" t="s">
        <v>2054</v>
      </c>
    </row>
    <row r="1442" spans="1:18" x14ac:dyDescent="0.25">
      <c r="A1442" t="s">
        <v>1493</v>
      </c>
      <c r="B1442" s="1">
        <v>45728</v>
      </c>
      <c r="C1442" s="1">
        <v>45731</v>
      </c>
      <c r="D1442" t="s">
        <v>29</v>
      </c>
      <c r="E1442" t="s">
        <v>30</v>
      </c>
      <c r="F1442" t="s">
        <v>31</v>
      </c>
      <c r="G1442" t="s">
        <v>26</v>
      </c>
      <c r="H1442" t="s">
        <v>22</v>
      </c>
      <c r="I1442">
        <v>3</v>
      </c>
      <c r="J1442">
        <v>147.52000000000001</v>
      </c>
      <c r="K1442">
        <v>12</v>
      </c>
      <c r="L1442">
        <v>102</v>
      </c>
      <c r="M1442">
        <v>171.03</v>
      </c>
      <c r="N1442" t="s">
        <v>23</v>
      </c>
      <c r="O1442">
        <v>3</v>
      </c>
      <c r="P1442">
        <v>442.56000000000006</v>
      </c>
      <c r="Q1442">
        <v>454.56000000000006</v>
      </c>
      <c r="R1442" t="s">
        <v>2054</v>
      </c>
    </row>
    <row r="1443" spans="1:18" x14ac:dyDescent="0.25">
      <c r="A1443" t="s">
        <v>1494</v>
      </c>
      <c r="B1443" s="1">
        <v>45730</v>
      </c>
      <c r="C1443" s="1">
        <v>45731</v>
      </c>
      <c r="D1443" t="s">
        <v>25</v>
      </c>
      <c r="E1443" t="s">
        <v>19</v>
      </c>
      <c r="F1443" t="s">
        <v>20</v>
      </c>
      <c r="G1443" t="s">
        <v>35</v>
      </c>
      <c r="H1443" t="s">
        <v>27</v>
      </c>
      <c r="I1443">
        <v>9</v>
      </c>
      <c r="J1443">
        <v>22.84</v>
      </c>
      <c r="K1443">
        <v>8</v>
      </c>
      <c r="L1443">
        <v>201</v>
      </c>
      <c r="M1443">
        <v>12.44</v>
      </c>
      <c r="N1443" t="s">
        <v>23</v>
      </c>
      <c r="O1443">
        <v>1</v>
      </c>
      <c r="P1443">
        <v>205.56</v>
      </c>
      <c r="Q1443">
        <v>213.56</v>
      </c>
      <c r="R1443" t="s">
        <v>2054</v>
      </c>
    </row>
    <row r="1444" spans="1:18" x14ac:dyDescent="0.25">
      <c r="A1444" t="s">
        <v>1495</v>
      </c>
      <c r="B1444" s="1">
        <v>45731</v>
      </c>
      <c r="C1444" s="1">
        <v>45745</v>
      </c>
      <c r="D1444" t="s">
        <v>82</v>
      </c>
      <c r="E1444" t="s">
        <v>79</v>
      </c>
      <c r="F1444" t="s">
        <v>80</v>
      </c>
      <c r="G1444" t="s">
        <v>35</v>
      </c>
      <c r="H1444" t="s">
        <v>40</v>
      </c>
      <c r="I1444">
        <v>4</v>
      </c>
      <c r="J1444">
        <v>80.599999999999994</v>
      </c>
      <c r="K1444">
        <v>18</v>
      </c>
      <c r="L1444">
        <v>195</v>
      </c>
      <c r="M1444">
        <v>136.08000000000001</v>
      </c>
      <c r="N1444" t="s">
        <v>47</v>
      </c>
      <c r="O1444">
        <v>14</v>
      </c>
      <c r="P1444">
        <v>322.39999999999998</v>
      </c>
      <c r="Q1444">
        <v>340.4</v>
      </c>
      <c r="R1444" t="s">
        <v>2054</v>
      </c>
    </row>
    <row r="1445" spans="1:18" x14ac:dyDescent="0.25">
      <c r="A1445" t="s">
        <v>1496</v>
      </c>
      <c r="B1445" s="1">
        <v>45731</v>
      </c>
      <c r="C1445" s="1">
        <v>45732</v>
      </c>
      <c r="D1445" t="s">
        <v>50</v>
      </c>
      <c r="E1445" t="s">
        <v>44</v>
      </c>
      <c r="F1445" t="s">
        <v>45</v>
      </c>
      <c r="G1445" t="s">
        <v>35</v>
      </c>
      <c r="H1445" t="s">
        <v>40</v>
      </c>
      <c r="I1445">
        <v>2</v>
      </c>
      <c r="J1445">
        <v>713.21</v>
      </c>
      <c r="K1445">
        <v>37.5</v>
      </c>
      <c r="L1445">
        <v>77</v>
      </c>
      <c r="M1445">
        <v>480.5</v>
      </c>
      <c r="N1445" t="s">
        <v>23</v>
      </c>
      <c r="O1445">
        <v>1</v>
      </c>
      <c r="P1445">
        <v>1426.42</v>
      </c>
      <c r="Q1445">
        <v>1463.92</v>
      </c>
      <c r="R1445" t="s">
        <v>2054</v>
      </c>
    </row>
    <row r="1446" spans="1:18" x14ac:dyDescent="0.25">
      <c r="A1446" t="s">
        <v>1497</v>
      </c>
      <c r="B1446" s="1">
        <v>45731</v>
      </c>
      <c r="C1446" s="1">
        <v>45734</v>
      </c>
      <c r="D1446" t="s">
        <v>118</v>
      </c>
      <c r="E1446" t="s">
        <v>79</v>
      </c>
      <c r="F1446" t="s">
        <v>80</v>
      </c>
      <c r="G1446" t="s">
        <v>35</v>
      </c>
      <c r="H1446" t="s">
        <v>40</v>
      </c>
      <c r="I1446">
        <v>2</v>
      </c>
      <c r="J1446">
        <v>143.47</v>
      </c>
      <c r="K1446">
        <v>18</v>
      </c>
      <c r="L1446">
        <v>218</v>
      </c>
      <c r="M1446">
        <v>120.13</v>
      </c>
      <c r="N1446" t="s">
        <v>23</v>
      </c>
      <c r="O1446">
        <v>3</v>
      </c>
      <c r="P1446">
        <v>286.94</v>
      </c>
      <c r="Q1446">
        <v>304.94</v>
      </c>
      <c r="R1446" t="s">
        <v>2054</v>
      </c>
    </row>
    <row r="1447" spans="1:18" x14ac:dyDescent="0.25">
      <c r="A1447" t="s">
        <v>1498</v>
      </c>
      <c r="B1447" s="1">
        <v>45731</v>
      </c>
      <c r="C1447" s="1">
        <v>45744</v>
      </c>
      <c r="D1447" t="s">
        <v>58</v>
      </c>
      <c r="E1447" t="s">
        <v>19</v>
      </c>
      <c r="F1447" t="s">
        <v>20</v>
      </c>
      <c r="G1447" t="s">
        <v>35</v>
      </c>
      <c r="H1447" t="s">
        <v>40</v>
      </c>
      <c r="I1447">
        <v>7</v>
      </c>
      <c r="J1447">
        <v>12.43</v>
      </c>
      <c r="K1447">
        <v>12</v>
      </c>
      <c r="L1447">
        <v>5</v>
      </c>
      <c r="M1447">
        <v>0.96</v>
      </c>
      <c r="N1447" t="s">
        <v>47</v>
      </c>
      <c r="O1447">
        <v>13</v>
      </c>
      <c r="P1447">
        <v>87.009999999999991</v>
      </c>
      <c r="Q1447">
        <v>99.009999999999991</v>
      </c>
      <c r="R1447" t="s">
        <v>2056</v>
      </c>
    </row>
    <row r="1448" spans="1:18" x14ac:dyDescent="0.25">
      <c r="A1448" t="s">
        <v>1499</v>
      </c>
      <c r="B1448" s="1">
        <v>45731</v>
      </c>
      <c r="C1448" s="1">
        <v>45745</v>
      </c>
      <c r="D1448" t="s">
        <v>58</v>
      </c>
      <c r="E1448" t="s">
        <v>19</v>
      </c>
      <c r="F1448" t="s">
        <v>20</v>
      </c>
      <c r="G1448" t="s">
        <v>35</v>
      </c>
      <c r="H1448" t="s">
        <v>27</v>
      </c>
      <c r="I1448">
        <v>12</v>
      </c>
      <c r="J1448">
        <v>31.53</v>
      </c>
      <c r="K1448">
        <v>8</v>
      </c>
      <c r="L1448">
        <v>134</v>
      </c>
      <c r="M1448">
        <v>26.27</v>
      </c>
      <c r="N1448" t="s">
        <v>47</v>
      </c>
      <c r="O1448">
        <v>14</v>
      </c>
      <c r="P1448">
        <v>378.36</v>
      </c>
      <c r="Q1448">
        <v>386.36</v>
      </c>
      <c r="R1448" t="s">
        <v>2054</v>
      </c>
    </row>
    <row r="1449" spans="1:18" x14ac:dyDescent="0.25">
      <c r="A1449" t="s">
        <v>1500</v>
      </c>
      <c r="B1449" s="1">
        <v>45731</v>
      </c>
      <c r="C1449" s="1">
        <v>45740</v>
      </c>
      <c r="D1449" t="s">
        <v>52</v>
      </c>
      <c r="E1449" t="s">
        <v>30</v>
      </c>
      <c r="F1449" t="s">
        <v>31</v>
      </c>
      <c r="G1449" t="s">
        <v>35</v>
      </c>
      <c r="H1449" t="s">
        <v>27</v>
      </c>
      <c r="I1449">
        <v>1</v>
      </c>
      <c r="J1449">
        <v>131.78</v>
      </c>
      <c r="K1449">
        <v>12</v>
      </c>
      <c r="L1449">
        <v>118</v>
      </c>
      <c r="M1449">
        <v>46.71</v>
      </c>
      <c r="N1449" t="s">
        <v>63</v>
      </c>
      <c r="O1449">
        <v>9</v>
      </c>
      <c r="P1449">
        <v>131.78</v>
      </c>
      <c r="Q1449">
        <v>143.78</v>
      </c>
      <c r="R1449" t="s">
        <v>2054</v>
      </c>
    </row>
    <row r="1450" spans="1:18" x14ac:dyDescent="0.25">
      <c r="A1450" t="s">
        <v>1501</v>
      </c>
      <c r="B1450" s="1">
        <v>45732</v>
      </c>
      <c r="C1450" s="1">
        <v>45733</v>
      </c>
      <c r="D1450" t="s">
        <v>75</v>
      </c>
      <c r="E1450" t="s">
        <v>44</v>
      </c>
      <c r="F1450" t="s">
        <v>45</v>
      </c>
      <c r="G1450" t="s">
        <v>26</v>
      </c>
      <c r="H1450" t="s">
        <v>22</v>
      </c>
      <c r="I1450">
        <v>1</v>
      </c>
      <c r="J1450">
        <v>974.02</v>
      </c>
      <c r="K1450">
        <v>25</v>
      </c>
      <c r="L1450">
        <v>393</v>
      </c>
      <c r="M1450">
        <v>328.41</v>
      </c>
      <c r="N1450" t="s">
        <v>23</v>
      </c>
      <c r="O1450">
        <v>1</v>
      </c>
      <c r="P1450">
        <v>974.02</v>
      </c>
      <c r="Q1450">
        <v>999.02</v>
      </c>
      <c r="R1450" t="s">
        <v>2054</v>
      </c>
    </row>
    <row r="1451" spans="1:18" x14ac:dyDescent="0.25">
      <c r="A1451" t="s">
        <v>1502</v>
      </c>
      <c r="B1451" s="1">
        <v>45732</v>
      </c>
      <c r="C1451" s="1">
        <v>45733</v>
      </c>
      <c r="D1451" t="s">
        <v>75</v>
      </c>
      <c r="E1451" t="s">
        <v>44</v>
      </c>
      <c r="F1451" t="s">
        <v>45</v>
      </c>
      <c r="G1451" t="s">
        <v>35</v>
      </c>
      <c r="H1451" t="s">
        <v>40</v>
      </c>
      <c r="I1451">
        <v>3</v>
      </c>
      <c r="J1451">
        <v>1092.83</v>
      </c>
      <c r="K1451">
        <v>37.5</v>
      </c>
      <c r="L1451">
        <v>221</v>
      </c>
      <c r="M1451">
        <v>1128.72</v>
      </c>
      <c r="N1451" t="s">
        <v>23</v>
      </c>
      <c r="O1451">
        <v>1</v>
      </c>
      <c r="P1451">
        <v>3278.49</v>
      </c>
      <c r="Q1451">
        <v>3315.99</v>
      </c>
      <c r="R1451" t="s">
        <v>2054</v>
      </c>
    </row>
    <row r="1452" spans="1:18" x14ac:dyDescent="0.25">
      <c r="A1452" t="s">
        <v>1503</v>
      </c>
      <c r="B1452" s="1">
        <v>45732</v>
      </c>
      <c r="C1452" s="1">
        <v>45736</v>
      </c>
      <c r="D1452" t="s">
        <v>25</v>
      </c>
      <c r="E1452" t="s">
        <v>19</v>
      </c>
      <c r="F1452" t="s">
        <v>20</v>
      </c>
      <c r="G1452" t="s">
        <v>35</v>
      </c>
      <c r="H1452" t="s">
        <v>27</v>
      </c>
      <c r="I1452">
        <v>11</v>
      </c>
      <c r="J1452">
        <v>38.96</v>
      </c>
      <c r="K1452">
        <v>8</v>
      </c>
      <c r="L1452">
        <v>3</v>
      </c>
      <c r="M1452">
        <v>30.29</v>
      </c>
      <c r="N1452" t="s">
        <v>23</v>
      </c>
      <c r="O1452">
        <v>4</v>
      </c>
      <c r="P1452">
        <v>428.56</v>
      </c>
      <c r="Q1452">
        <v>436.56</v>
      </c>
      <c r="R1452" t="s">
        <v>2056</v>
      </c>
    </row>
    <row r="1453" spans="1:18" x14ac:dyDescent="0.25">
      <c r="A1453" t="s">
        <v>1504</v>
      </c>
      <c r="B1453" s="1">
        <v>45732</v>
      </c>
      <c r="C1453" s="1">
        <v>45733</v>
      </c>
      <c r="D1453" t="s">
        <v>43</v>
      </c>
      <c r="E1453" t="s">
        <v>44</v>
      </c>
      <c r="F1453" t="s">
        <v>45</v>
      </c>
      <c r="G1453" t="s">
        <v>35</v>
      </c>
      <c r="H1453" t="s">
        <v>40</v>
      </c>
      <c r="I1453">
        <v>3</v>
      </c>
      <c r="J1453">
        <v>570.16</v>
      </c>
      <c r="K1453">
        <v>37.5</v>
      </c>
      <c r="L1453">
        <v>145</v>
      </c>
      <c r="M1453">
        <v>579.91999999999996</v>
      </c>
      <c r="N1453" t="s">
        <v>23</v>
      </c>
      <c r="O1453">
        <v>1</v>
      </c>
      <c r="P1453">
        <v>1710.48</v>
      </c>
      <c r="Q1453">
        <v>1747.98</v>
      </c>
      <c r="R1453" t="s">
        <v>2054</v>
      </c>
    </row>
    <row r="1454" spans="1:18" x14ac:dyDescent="0.25">
      <c r="A1454" t="s">
        <v>1505</v>
      </c>
      <c r="B1454" s="1">
        <v>45733</v>
      </c>
      <c r="C1454" s="1">
        <v>45745</v>
      </c>
      <c r="D1454" t="s">
        <v>37</v>
      </c>
      <c r="E1454" t="s">
        <v>38</v>
      </c>
      <c r="F1454" t="s">
        <v>39</v>
      </c>
      <c r="G1454" t="s">
        <v>35</v>
      </c>
      <c r="H1454" t="s">
        <v>40</v>
      </c>
      <c r="I1454">
        <v>2</v>
      </c>
      <c r="J1454">
        <v>365.22</v>
      </c>
      <c r="K1454">
        <v>112.5</v>
      </c>
      <c r="L1454">
        <v>140</v>
      </c>
      <c r="M1454">
        <v>89.84</v>
      </c>
      <c r="N1454" t="s">
        <v>47</v>
      </c>
      <c r="O1454">
        <v>12</v>
      </c>
      <c r="P1454">
        <v>730.44</v>
      </c>
      <c r="Q1454">
        <v>842.94</v>
      </c>
      <c r="R1454" t="s">
        <v>2054</v>
      </c>
    </row>
    <row r="1455" spans="1:18" x14ac:dyDescent="0.25">
      <c r="A1455" t="s">
        <v>1506</v>
      </c>
      <c r="B1455" s="1">
        <v>45733</v>
      </c>
      <c r="C1455" s="1">
        <v>45741</v>
      </c>
      <c r="D1455" t="s">
        <v>25</v>
      </c>
      <c r="E1455" t="s">
        <v>19</v>
      </c>
      <c r="F1455" t="s">
        <v>20</v>
      </c>
      <c r="G1455" t="s">
        <v>35</v>
      </c>
      <c r="H1455" t="s">
        <v>22</v>
      </c>
      <c r="I1455">
        <v>8</v>
      </c>
      <c r="J1455">
        <v>45.94</v>
      </c>
      <c r="K1455">
        <v>8</v>
      </c>
      <c r="L1455">
        <v>247</v>
      </c>
      <c r="M1455">
        <v>25.4</v>
      </c>
      <c r="N1455" t="s">
        <v>63</v>
      </c>
      <c r="O1455">
        <v>8</v>
      </c>
      <c r="P1455">
        <v>367.52</v>
      </c>
      <c r="Q1455">
        <v>375.52</v>
      </c>
      <c r="R1455" t="s">
        <v>2054</v>
      </c>
    </row>
    <row r="1456" spans="1:18" x14ac:dyDescent="0.25">
      <c r="A1456" t="s">
        <v>1507</v>
      </c>
      <c r="B1456" s="1">
        <v>45735</v>
      </c>
      <c r="C1456" s="1">
        <v>45736</v>
      </c>
      <c r="D1456" t="s">
        <v>34</v>
      </c>
      <c r="E1456" t="s">
        <v>30</v>
      </c>
      <c r="F1456" t="s">
        <v>31</v>
      </c>
      <c r="G1456" t="s">
        <v>26</v>
      </c>
      <c r="H1456" t="s">
        <v>32</v>
      </c>
      <c r="I1456">
        <v>3</v>
      </c>
      <c r="J1456">
        <v>79.349999999999994</v>
      </c>
      <c r="K1456">
        <v>12</v>
      </c>
      <c r="L1456">
        <v>267</v>
      </c>
      <c r="M1456">
        <v>89.22</v>
      </c>
      <c r="N1456" t="s">
        <v>23</v>
      </c>
      <c r="O1456">
        <v>1</v>
      </c>
      <c r="P1456">
        <v>238.04999999999998</v>
      </c>
      <c r="Q1456">
        <v>250.04999999999998</v>
      </c>
      <c r="R1456" t="s">
        <v>2054</v>
      </c>
    </row>
    <row r="1457" spans="1:18" x14ac:dyDescent="0.25">
      <c r="A1457" t="s">
        <v>1508</v>
      </c>
      <c r="B1457" s="1">
        <v>45738</v>
      </c>
      <c r="C1457" s="1">
        <v>45742</v>
      </c>
      <c r="D1457" t="s">
        <v>37</v>
      </c>
      <c r="E1457" t="s">
        <v>38</v>
      </c>
      <c r="F1457" t="s">
        <v>39</v>
      </c>
      <c r="G1457" t="s">
        <v>21</v>
      </c>
      <c r="H1457" t="s">
        <v>27</v>
      </c>
      <c r="I1457">
        <v>1</v>
      </c>
      <c r="J1457">
        <v>437.28</v>
      </c>
      <c r="K1457">
        <v>75</v>
      </c>
      <c r="L1457">
        <v>131</v>
      </c>
      <c r="M1457">
        <v>49.96</v>
      </c>
      <c r="N1457" t="s">
        <v>23</v>
      </c>
      <c r="O1457">
        <v>4</v>
      </c>
      <c r="P1457">
        <v>437.28</v>
      </c>
      <c r="Q1457">
        <v>512.28</v>
      </c>
      <c r="R1457" t="s">
        <v>2054</v>
      </c>
    </row>
    <row r="1458" spans="1:18" x14ac:dyDescent="0.25">
      <c r="A1458" t="s">
        <v>1509</v>
      </c>
      <c r="B1458" s="1">
        <v>45740</v>
      </c>
      <c r="C1458" s="1">
        <v>45745</v>
      </c>
      <c r="D1458" t="s">
        <v>78</v>
      </c>
      <c r="E1458" t="s">
        <v>79</v>
      </c>
      <c r="F1458" t="s">
        <v>80</v>
      </c>
      <c r="G1458" t="s">
        <v>35</v>
      </c>
      <c r="H1458" t="s">
        <v>40</v>
      </c>
      <c r="I1458">
        <v>4</v>
      </c>
      <c r="J1458">
        <v>120.05</v>
      </c>
      <c r="K1458">
        <v>18</v>
      </c>
      <c r="L1458">
        <v>179</v>
      </c>
      <c r="M1458">
        <v>207.09</v>
      </c>
      <c r="N1458" t="s">
        <v>23</v>
      </c>
      <c r="O1458">
        <v>5</v>
      </c>
      <c r="P1458">
        <v>480.2</v>
      </c>
      <c r="Q1458">
        <v>498.2</v>
      </c>
      <c r="R1458" t="s">
        <v>2054</v>
      </c>
    </row>
    <row r="1459" spans="1:18" x14ac:dyDescent="0.25">
      <c r="A1459" t="s">
        <v>1510</v>
      </c>
      <c r="B1459" s="1">
        <v>45740</v>
      </c>
      <c r="C1459" s="1">
        <v>45749</v>
      </c>
      <c r="D1459" t="s">
        <v>25</v>
      </c>
      <c r="E1459" t="s">
        <v>19</v>
      </c>
      <c r="F1459" t="s">
        <v>20</v>
      </c>
      <c r="G1459" t="s">
        <v>35</v>
      </c>
      <c r="H1459" t="s">
        <v>22</v>
      </c>
      <c r="I1459">
        <v>6</v>
      </c>
      <c r="J1459">
        <v>43</v>
      </c>
      <c r="K1459">
        <v>8</v>
      </c>
      <c r="L1459">
        <v>56</v>
      </c>
      <c r="M1459">
        <v>16.64</v>
      </c>
      <c r="N1459" t="s">
        <v>63</v>
      </c>
      <c r="O1459">
        <v>9</v>
      </c>
      <c r="P1459">
        <v>258</v>
      </c>
      <c r="Q1459">
        <v>266</v>
      </c>
      <c r="R1459" t="s">
        <v>2054</v>
      </c>
    </row>
    <row r="1460" spans="1:18" x14ac:dyDescent="0.25">
      <c r="A1460" t="s">
        <v>1511</v>
      </c>
      <c r="B1460" s="1">
        <v>45740</v>
      </c>
      <c r="C1460" s="1">
        <v>45749</v>
      </c>
      <c r="D1460" t="s">
        <v>29</v>
      </c>
      <c r="E1460" t="s">
        <v>30</v>
      </c>
      <c r="F1460" t="s">
        <v>31</v>
      </c>
      <c r="G1460" t="s">
        <v>35</v>
      </c>
      <c r="H1460" t="s">
        <v>40</v>
      </c>
      <c r="I1460">
        <v>1</v>
      </c>
      <c r="J1460">
        <v>140.22999999999999</v>
      </c>
      <c r="K1460">
        <v>18</v>
      </c>
      <c r="L1460">
        <v>316</v>
      </c>
      <c r="M1460">
        <v>47.09</v>
      </c>
      <c r="N1460" t="s">
        <v>63</v>
      </c>
      <c r="O1460">
        <v>9</v>
      </c>
      <c r="P1460">
        <v>140.22999999999999</v>
      </c>
      <c r="Q1460">
        <v>158.22999999999999</v>
      </c>
      <c r="R1460" t="s">
        <v>2054</v>
      </c>
    </row>
    <row r="1461" spans="1:18" x14ac:dyDescent="0.25">
      <c r="A1461" t="s">
        <v>1512</v>
      </c>
      <c r="B1461" s="1">
        <v>45740</v>
      </c>
      <c r="C1461" s="1">
        <v>45744</v>
      </c>
      <c r="D1461" t="s">
        <v>18</v>
      </c>
      <c r="E1461" t="s">
        <v>19</v>
      </c>
      <c r="F1461" t="s">
        <v>20</v>
      </c>
      <c r="G1461" t="s">
        <v>26</v>
      </c>
      <c r="H1461" t="s">
        <v>27</v>
      </c>
      <c r="I1461">
        <v>12</v>
      </c>
      <c r="J1461">
        <v>14.26</v>
      </c>
      <c r="K1461">
        <v>8</v>
      </c>
      <c r="L1461">
        <v>314</v>
      </c>
      <c r="M1461">
        <v>9.69</v>
      </c>
      <c r="N1461" t="s">
        <v>23</v>
      </c>
      <c r="O1461">
        <v>4</v>
      </c>
      <c r="P1461">
        <v>171.12</v>
      </c>
      <c r="Q1461">
        <v>179.12</v>
      </c>
      <c r="R1461" t="s">
        <v>2054</v>
      </c>
    </row>
    <row r="1462" spans="1:18" x14ac:dyDescent="0.25">
      <c r="A1462" t="s">
        <v>1513</v>
      </c>
      <c r="B1462" s="1">
        <v>45741</v>
      </c>
      <c r="C1462" s="1">
        <v>45742</v>
      </c>
      <c r="D1462" t="s">
        <v>25</v>
      </c>
      <c r="E1462" t="s">
        <v>19</v>
      </c>
      <c r="F1462" t="s">
        <v>20</v>
      </c>
      <c r="G1462" t="s">
        <v>21</v>
      </c>
      <c r="H1462" t="s">
        <v>40</v>
      </c>
      <c r="I1462">
        <v>14</v>
      </c>
      <c r="J1462">
        <v>41.57</v>
      </c>
      <c r="K1462">
        <v>12</v>
      </c>
      <c r="L1462">
        <v>315</v>
      </c>
      <c r="M1462">
        <v>40.549999999999997</v>
      </c>
      <c r="N1462" t="s">
        <v>23</v>
      </c>
      <c r="O1462">
        <v>1</v>
      </c>
      <c r="P1462">
        <v>581.98</v>
      </c>
      <c r="Q1462">
        <v>593.98</v>
      </c>
      <c r="R1462" t="s">
        <v>2054</v>
      </c>
    </row>
    <row r="1463" spans="1:18" x14ac:dyDescent="0.25">
      <c r="A1463" t="s">
        <v>1514</v>
      </c>
      <c r="B1463" s="1">
        <v>45741</v>
      </c>
      <c r="C1463" s="1">
        <v>45746</v>
      </c>
      <c r="D1463" t="s">
        <v>72</v>
      </c>
      <c r="E1463" t="s">
        <v>44</v>
      </c>
      <c r="F1463" t="s">
        <v>45</v>
      </c>
      <c r="G1463" t="s">
        <v>26</v>
      </c>
      <c r="H1463" t="s">
        <v>27</v>
      </c>
      <c r="I1463">
        <v>1</v>
      </c>
      <c r="J1463">
        <v>926.23</v>
      </c>
      <c r="K1463">
        <v>25</v>
      </c>
      <c r="L1463">
        <v>298</v>
      </c>
      <c r="M1463">
        <v>311.68</v>
      </c>
      <c r="N1463" t="s">
        <v>23</v>
      </c>
      <c r="O1463">
        <v>5</v>
      </c>
      <c r="P1463">
        <v>926.23</v>
      </c>
      <c r="Q1463">
        <v>951.23</v>
      </c>
      <c r="R1463" t="s">
        <v>2054</v>
      </c>
    </row>
    <row r="1464" spans="1:18" x14ac:dyDescent="0.25">
      <c r="A1464" t="s">
        <v>1515</v>
      </c>
      <c r="B1464" s="1">
        <v>45741</v>
      </c>
      <c r="C1464" s="1">
        <v>45746</v>
      </c>
      <c r="D1464" t="s">
        <v>18</v>
      </c>
      <c r="E1464" t="s">
        <v>19</v>
      </c>
      <c r="F1464" t="s">
        <v>20</v>
      </c>
      <c r="G1464" t="s">
        <v>21</v>
      </c>
      <c r="H1464" t="s">
        <v>27</v>
      </c>
      <c r="I1464">
        <v>10</v>
      </c>
      <c r="J1464">
        <v>34.83</v>
      </c>
      <c r="K1464">
        <v>8</v>
      </c>
      <c r="L1464">
        <v>108</v>
      </c>
      <c r="M1464">
        <v>23.87</v>
      </c>
      <c r="N1464" t="s">
        <v>23</v>
      </c>
      <c r="O1464">
        <v>5</v>
      </c>
      <c r="P1464">
        <v>348.29999999999995</v>
      </c>
      <c r="Q1464">
        <v>356.29999999999995</v>
      </c>
      <c r="R1464" t="s">
        <v>2054</v>
      </c>
    </row>
    <row r="1465" spans="1:18" x14ac:dyDescent="0.25">
      <c r="A1465" t="s">
        <v>1516</v>
      </c>
      <c r="B1465" s="1">
        <v>45741</v>
      </c>
      <c r="C1465" s="1">
        <v>45746</v>
      </c>
      <c r="D1465" t="s">
        <v>29</v>
      </c>
      <c r="E1465" t="s">
        <v>30</v>
      </c>
      <c r="F1465" t="s">
        <v>31</v>
      </c>
      <c r="G1465" t="s">
        <v>26</v>
      </c>
      <c r="H1465" t="s">
        <v>27</v>
      </c>
      <c r="I1465">
        <v>5</v>
      </c>
      <c r="J1465">
        <v>21.15</v>
      </c>
      <c r="K1465">
        <v>12</v>
      </c>
      <c r="L1465">
        <v>31</v>
      </c>
      <c r="M1465">
        <v>36.299999999999997</v>
      </c>
      <c r="N1465" t="s">
        <v>23</v>
      </c>
      <c r="O1465">
        <v>5</v>
      </c>
      <c r="P1465">
        <v>105.75</v>
      </c>
      <c r="Q1465">
        <v>117.75</v>
      </c>
      <c r="R1465" t="s">
        <v>2055</v>
      </c>
    </row>
    <row r="1466" spans="1:18" x14ac:dyDescent="0.25">
      <c r="A1466" t="s">
        <v>1517</v>
      </c>
      <c r="B1466" s="1">
        <v>45742</v>
      </c>
      <c r="C1466" s="1">
        <v>45745</v>
      </c>
      <c r="D1466" t="s">
        <v>52</v>
      </c>
      <c r="E1466" t="s">
        <v>30</v>
      </c>
      <c r="F1466" t="s">
        <v>31</v>
      </c>
      <c r="G1466" t="s">
        <v>35</v>
      </c>
      <c r="H1466" t="s">
        <v>40</v>
      </c>
      <c r="I1466">
        <v>1</v>
      </c>
      <c r="J1466">
        <v>131.62</v>
      </c>
      <c r="K1466">
        <v>18</v>
      </c>
      <c r="L1466">
        <v>195</v>
      </c>
      <c r="M1466">
        <v>43.65</v>
      </c>
      <c r="N1466" t="s">
        <v>23</v>
      </c>
      <c r="O1466">
        <v>3</v>
      </c>
      <c r="P1466">
        <v>131.62</v>
      </c>
      <c r="Q1466">
        <v>149.62</v>
      </c>
      <c r="R1466" t="s">
        <v>2054</v>
      </c>
    </row>
    <row r="1467" spans="1:18" x14ac:dyDescent="0.25">
      <c r="A1467" t="s">
        <v>1518</v>
      </c>
      <c r="B1467" s="1">
        <v>45742</v>
      </c>
      <c r="C1467" s="1">
        <v>45744</v>
      </c>
      <c r="D1467" t="s">
        <v>18</v>
      </c>
      <c r="E1467" t="s">
        <v>19</v>
      </c>
      <c r="F1467" t="s">
        <v>20</v>
      </c>
      <c r="G1467" t="s">
        <v>35</v>
      </c>
      <c r="H1467" t="s">
        <v>40</v>
      </c>
      <c r="I1467">
        <v>14</v>
      </c>
      <c r="J1467">
        <v>19.95</v>
      </c>
      <c r="K1467">
        <v>12</v>
      </c>
      <c r="L1467">
        <v>355</v>
      </c>
      <c r="M1467">
        <v>16.34</v>
      </c>
      <c r="N1467" t="s">
        <v>23</v>
      </c>
      <c r="O1467">
        <v>2</v>
      </c>
      <c r="P1467">
        <v>279.3</v>
      </c>
      <c r="Q1467">
        <v>291.3</v>
      </c>
      <c r="R1467" t="s">
        <v>2054</v>
      </c>
    </row>
    <row r="1468" spans="1:18" x14ac:dyDescent="0.25">
      <c r="A1468" t="s">
        <v>1519</v>
      </c>
      <c r="B1468" s="1">
        <v>45742</v>
      </c>
      <c r="C1468" s="1">
        <v>45747</v>
      </c>
      <c r="D1468" t="s">
        <v>29</v>
      </c>
      <c r="E1468" t="s">
        <v>30</v>
      </c>
      <c r="F1468" t="s">
        <v>31</v>
      </c>
      <c r="G1468" t="s">
        <v>21</v>
      </c>
      <c r="H1468" t="s">
        <v>32</v>
      </c>
      <c r="I1468">
        <v>3</v>
      </c>
      <c r="J1468">
        <v>103.02</v>
      </c>
      <c r="K1468">
        <v>12</v>
      </c>
      <c r="L1468">
        <v>287</v>
      </c>
      <c r="M1468">
        <v>117.63</v>
      </c>
      <c r="N1468" t="s">
        <v>23</v>
      </c>
      <c r="O1468">
        <v>5</v>
      </c>
      <c r="P1468">
        <v>309.06</v>
      </c>
      <c r="Q1468">
        <v>321.06</v>
      </c>
      <c r="R1468" t="s">
        <v>2054</v>
      </c>
    </row>
    <row r="1469" spans="1:18" x14ac:dyDescent="0.25">
      <c r="A1469" t="s">
        <v>1520</v>
      </c>
      <c r="B1469" s="1">
        <v>45742</v>
      </c>
      <c r="C1469" s="1">
        <v>45747</v>
      </c>
      <c r="D1469" t="s">
        <v>34</v>
      </c>
      <c r="E1469" t="s">
        <v>30</v>
      </c>
      <c r="F1469" t="s">
        <v>31</v>
      </c>
      <c r="G1469" t="s">
        <v>35</v>
      </c>
      <c r="H1469" t="s">
        <v>27</v>
      </c>
      <c r="I1469">
        <v>2</v>
      </c>
      <c r="J1469">
        <v>120.1</v>
      </c>
      <c r="K1469">
        <v>12</v>
      </c>
      <c r="L1469">
        <v>49</v>
      </c>
      <c r="M1469">
        <v>90.08</v>
      </c>
      <c r="N1469" t="s">
        <v>23</v>
      </c>
      <c r="O1469">
        <v>5</v>
      </c>
      <c r="P1469">
        <v>240.2</v>
      </c>
      <c r="Q1469">
        <v>252.2</v>
      </c>
      <c r="R1469" t="s">
        <v>2055</v>
      </c>
    </row>
    <row r="1470" spans="1:18" x14ac:dyDescent="0.25">
      <c r="A1470" t="s">
        <v>1521</v>
      </c>
      <c r="B1470" s="1">
        <v>45742</v>
      </c>
      <c r="C1470" s="1">
        <v>45746</v>
      </c>
      <c r="D1470" t="s">
        <v>58</v>
      </c>
      <c r="E1470" t="s">
        <v>19</v>
      </c>
      <c r="F1470" t="s">
        <v>20</v>
      </c>
      <c r="G1470" t="s">
        <v>21</v>
      </c>
      <c r="H1470" t="s">
        <v>32</v>
      </c>
      <c r="I1470">
        <v>10</v>
      </c>
      <c r="J1470">
        <v>46.89</v>
      </c>
      <c r="K1470">
        <v>8</v>
      </c>
      <c r="L1470">
        <v>253</v>
      </c>
      <c r="M1470">
        <v>33.51</v>
      </c>
      <c r="N1470" t="s">
        <v>23</v>
      </c>
      <c r="O1470">
        <v>4</v>
      </c>
      <c r="P1470">
        <v>468.9</v>
      </c>
      <c r="Q1470">
        <v>476.9</v>
      </c>
      <c r="R1470" t="s">
        <v>2054</v>
      </c>
    </row>
    <row r="1471" spans="1:18" x14ac:dyDescent="0.25">
      <c r="A1471" t="s">
        <v>1522</v>
      </c>
      <c r="B1471" s="1">
        <v>45742</v>
      </c>
      <c r="C1471" s="1">
        <v>45750</v>
      </c>
      <c r="D1471" t="s">
        <v>82</v>
      </c>
      <c r="E1471" t="s">
        <v>79</v>
      </c>
      <c r="F1471" t="s">
        <v>80</v>
      </c>
      <c r="G1471" t="s">
        <v>35</v>
      </c>
      <c r="H1471" t="s">
        <v>22</v>
      </c>
      <c r="I1471">
        <v>5</v>
      </c>
      <c r="J1471">
        <v>138.93</v>
      </c>
      <c r="K1471">
        <v>12</v>
      </c>
      <c r="L1471">
        <v>371</v>
      </c>
      <c r="M1471">
        <v>306.58</v>
      </c>
      <c r="N1471" t="s">
        <v>63</v>
      </c>
      <c r="O1471">
        <v>8</v>
      </c>
      <c r="P1471">
        <v>694.65000000000009</v>
      </c>
      <c r="Q1471">
        <v>706.65000000000009</v>
      </c>
      <c r="R1471" t="s">
        <v>2054</v>
      </c>
    </row>
    <row r="1472" spans="1:18" x14ac:dyDescent="0.25">
      <c r="A1472" t="s">
        <v>1523</v>
      </c>
      <c r="B1472" s="1">
        <v>45743</v>
      </c>
      <c r="C1472" s="1">
        <v>45755</v>
      </c>
      <c r="D1472" t="s">
        <v>56</v>
      </c>
      <c r="E1472" t="s">
        <v>38</v>
      </c>
      <c r="F1472" t="s">
        <v>39</v>
      </c>
      <c r="G1472" t="s">
        <v>35</v>
      </c>
      <c r="H1472" t="s">
        <v>40</v>
      </c>
      <c r="I1472">
        <v>1</v>
      </c>
      <c r="J1472">
        <v>262.08999999999997</v>
      </c>
      <c r="K1472">
        <v>112.5</v>
      </c>
      <c r="L1472">
        <v>300</v>
      </c>
      <c r="M1472">
        <v>-3.83</v>
      </c>
      <c r="N1472" t="s">
        <v>47</v>
      </c>
      <c r="O1472">
        <v>12</v>
      </c>
      <c r="P1472">
        <v>262.08999999999997</v>
      </c>
      <c r="Q1472">
        <v>374.59</v>
      </c>
      <c r="R1472" t="s">
        <v>2054</v>
      </c>
    </row>
    <row r="1473" spans="1:18" x14ac:dyDescent="0.25">
      <c r="A1473" t="s">
        <v>1524</v>
      </c>
      <c r="B1473" s="1">
        <v>45743</v>
      </c>
      <c r="C1473" s="1">
        <v>45745</v>
      </c>
      <c r="D1473" t="s">
        <v>75</v>
      </c>
      <c r="E1473" t="s">
        <v>44</v>
      </c>
      <c r="F1473" t="s">
        <v>45</v>
      </c>
      <c r="G1473" t="s">
        <v>35</v>
      </c>
      <c r="H1473" t="s">
        <v>40</v>
      </c>
      <c r="I1473">
        <v>3</v>
      </c>
      <c r="J1473">
        <v>877.16</v>
      </c>
      <c r="K1473">
        <v>37.5</v>
      </c>
      <c r="L1473">
        <v>323</v>
      </c>
      <c r="M1473">
        <v>902.27</v>
      </c>
      <c r="N1473" t="s">
        <v>23</v>
      </c>
      <c r="O1473">
        <v>2</v>
      </c>
      <c r="P1473">
        <v>2631.48</v>
      </c>
      <c r="Q1473">
        <v>2668.98</v>
      </c>
      <c r="R1473" t="s">
        <v>2054</v>
      </c>
    </row>
    <row r="1474" spans="1:18" x14ac:dyDescent="0.25">
      <c r="A1474" t="s">
        <v>1525</v>
      </c>
      <c r="B1474" s="1">
        <v>45745</v>
      </c>
      <c r="C1474" s="1">
        <v>45748</v>
      </c>
      <c r="D1474" t="s">
        <v>75</v>
      </c>
      <c r="E1474" t="s">
        <v>44</v>
      </c>
      <c r="F1474" t="s">
        <v>45</v>
      </c>
      <c r="G1474" t="s">
        <v>21</v>
      </c>
      <c r="H1474" t="s">
        <v>22</v>
      </c>
      <c r="I1474">
        <v>2</v>
      </c>
      <c r="J1474">
        <v>668.41</v>
      </c>
      <c r="K1474">
        <v>25</v>
      </c>
      <c r="L1474">
        <v>155</v>
      </c>
      <c r="M1474">
        <v>455.39</v>
      </c>
      <c r="N1474" t="s">
        <v>23</v>
      </c>
      <c r="O1474">
        <v>3</v>
      </c>
      <c r="P1474">
        <v>1336.82</v>
      </c>
      <c r="Q1474">
        <v>1361.82</v>
      </c>
      <c r="R1474" t="s">
        <v>2054</v>
      </c>
    </row>
    <row r="1475" spans="1:18" x14ac:dyDescent="0.25">
      <c r="A1475" t="s">
        <v>1526</v>
      </c>
      <c r="B1475" s="1">
        <v>45746</v>
      </c>
      <c r="C1475" s="1">
        <v>45763</v>
      </c>
      <c r="D1475" t="s">
        <v>118</v>
      </c>
      <c r="E1475" t="s">
        <v>79</v>
      </c>
      <c r="F1475" t="s">
        <v>80</v>
      </c>
      <c r="G1475" t="s">
        <v>35</v>
      </c>
      <c r="H1475" t="s">
        <v>40</v>
      </c>
      <c r="I1475">
        <v>2</v>
      </c>
      <c r="J1475">
        <v>33.450000000000003</v>
      </c>
      <c r="K1475">
        <v>18</v>
      </c>
      <c r="L1475">
        <v>215</v>
      </c>
      <c r="M1475">
        <v>21.1</v>
      </c>
      <c r="N1475" t="s">
        <v>47</v>
      </c>
      <c r="O1475">
        <v>17</v>
      </c>
      <c r="P1475">
        <v>66.900000000000006</v>
      </c>
      <c r="Q1475">
        <v>84.9</v>
      </c>
      <c r="R1475" t="s">
        <v>2054</v>
      </c>
    </row>
    <row r="1476" spans="1:18" x14ac:dyDescent="0.25">
      <c r="A1476" t="s">
        <v>1527</v>
      </c>
      <c r="B1476" s="1">
        <v>45746</v>
      </c>
      <c r="C1476" s="1">
        <v>45751</v>
      </c>
      <c r="D1476" t="s">
        <v>34</v>
      </c>
      <c r="E1476" t="s">
        <v>30</v>
      </c>
      <c r="F1476" t="s">
        <v>31</v>
      </c>
      <c r="G1476" t="s">
        <v>21</v>
      </c>
      <c r="H1476" t="s">
        <v>32</v>
      </c>
      <c r="I1476">
        <v>4</v>
      </c>
      <c r="J1476">
        <v>114.57</v>
      </c>
      <c r="K1476">
        <v>12</v>
      </c>
      <c r="L1476">
        <v>200</v>
      </c>
      <c r="M1476">
        <v>177.31</v>
      </c>
      <c r="N1476" t="s">
        <v>23</v>
      </c>
      <c r="O1476">
        <v>5</v>
      </c>
      <c r="P1476">
        <v>458.28</v>
      </c>
      <c r="Q1476">
        <v>470.28</v>
      </c>
      <c r="R1476" t="s">
        <v>2054</v>
      </c>
    </row>
    <row r="1477" spans="1:18" x14ac:dyDescent="0.25">
      <c r="A1477" t="s">
        <v>1528</v>
      </c>
      <c r="B1477" s="1">
        <v>45747</v>
      </c>
      <c r="C1477" s="1">
        <v>45748</v>
      </c>
      <c r="D1477" t="s">
        <v>54</v>
      </c>
      <c r="E1477" t="s">
        <v>38</v>
      </c>
      <c r="F1477" t="s">
        <v>39</v>
      </c>
      <c r="G1477" t="s">
        <v>21</v>
      </c>
      <c r="H1477" t="s">
        <v>22</v>
      </c>
      <c r="I1477">
        <v>1</v>
      </c>
      <c r="J1477">
        <v>380.63</v>
      </c>
      <c r="K1477">
        <v>75</v>
      </c>
      <c r="L1477">
        <v>292</v>
      </c>
      <c r="M1477">
        <v>38.630000000000003</v>
      </c>
      <c r="N1477" t="s">
        <v>23</v>
      </c>
      <c r="O1477">
        <v>1</v>
      </c>
      <c r="P1477">
        <v>380.63</v>
      </c>
      <c r="Q1477">
        <v>455.63</v>
      </c>
      <c r="R1477" t="s">
        <v>2054</v>
      </c>
    </row>
    <row r="1478" spans="1:18" x14ac:dyDescent="0.25">
      <c r="A1478" t="s">
        <v>1529</v>
      </c>
      <c r="B1478" s="1">
        <v>45747</v>
      </c>
      <c r="C1478" s="1">
        <v>45749</v>
      </c>
      <c r="D1478" t="s">
        <v>18</v>
      </c>
      <c r="E1478" t="s">
        <v>19</v>
      </c>
      <c r="F1478" t="s">
        <v>20</v>
      </c>
      <c r="G1478" t="s">
        <v>21</v>
      </c>
      <c r="H1478" t="s">
        <v>27</v>
      </c>
      <c r="I1478">
        <v>13</v>
      </c>
      <c r="J1478">
        <v>35.81</v>
      </c>
      <c r="K1478">
        <v>8</v>
      </c>
      <c r="L1478">
        <v>154</v>
      </c>
      <c r="M1478">
        <v>33.24</v>
      </c>
      <c r="N1478" t="s">
        <v>23</v>
      </c>
      <c r="O1478">
        <v>2</v>
      </c>
      <c r="P1478">
        <v>465.53000000000003</v>
      </c>
      <c r="Q1478">
        <v>473.53000000000003</v>
      </c>
      <c r="R1478" t="s">
        <v>2054</v>
      </c>
    </row>
    <row r="1479" spans="1:18" x14ac:dyDescent="0.25">
      <c r="A1479" t="s">
        <v>1530</v>
      </c>
      <c r="B1479" s="1">
        <v>45748</v>
      </c>
      <c r="C1479" s="1">
        <v>45749</v>
      </c>
      <c r="D1479" t="s">
        <v>37</v>
      </c>
      <c r="E1479" t="s">
        <v>38</v>
      </c>
      <c r="F1479" t="s">
        <v>39</v>
      </c>
      <c r="G1479" t="s">
        <v>35</v>
      </c>
      <c r="H1479" t="s">
        <v>22</v>
      </c>
      <c r="I1479">
        <v>2</v>
      </c>
      <c r="J1479">
        <v>326.67</v>
      </c>
      <c r="K1479">
        <v>75</v>
      </c>
      <c r="L1479">
        <v>243</v>
      </c>
      <c r="M1479">
        <v>93.17</v>
      </c>
      <c r="N1479" t="s">
        <v>23</v>
      </c>
      <c r="O1479">
        <v>1</v>
      </c>
      <c r="P1479">
        <v>653.34</v>
      </c>
      <c r="Q1479">
        <v>728.34</v>
      </c>
      <c r="R1479" t="s">
        <v>2054</v>
      </c>
    </row>
    <row r="1480" spans="1:18" x14ac:dyDescent="0.25">
      <c r="A1480" t="s">
        <v>1531</v>
      </c>
      <c r="B1480" s="1">
        <v>45748</v>
      </c>
      <c r="C1480" s="1">
        <v>45750</v>
      </c>
      <c r="D1480" t="s">
        <v>25</v>
      </c>
      <c r="E1480" t="s">
        <v>19</v>
      </c>
      <c r="F1480" t="s">
        <v>20</v>
      </c>
      <c r="G1480" t="s">
        <v>35</v>
      </c>
      <c r="H1480" t="s">
        <v>32</v>
      </c>
      <c r="I1480">
        <v>11</v>
      </c>
      <c r="J1480">
        <v>27.7</v>
      </c>
      <c r="K1480">
        <v>8</v>
      </c>
      <c r="L1480">
        <v>4</v>
      </c>
      <c r="M1480">
        <v>20.38</v>
      </c>
      <c r="N1480" t="s">
        <v>23</v>
      </c>
      <c r="O1480">
        <v>2</v>
      </c>
      <c r="P1480">
        <v>304.7</v>
      </c>
      <c r="Q1480">
        <v>312.7</v>
      </c>
      <c r="R1480" t="s">
        <v>2056</v>
      </c>
    </row>
    <row r="1481" spans="1:18" x14ac:dyDescent="0.25">
      <c r="A1481" t="s">
        <v>1532</v>
      </c>
      <c r="B1481" s="1">
        <v>45748</v>
      </c>
      <c r="C1481" s="1">
        <v>45752</v>
      </c>
      <c r="D1481" t="s">
        <v>25</v>
      </c>
      <c r="E1481" t="s">
        <v>19</v>
      </c>
      <c r="F1481" t="s">
        <v>20</v>
      </c>
      <c r="G1481" t="s">
        <v>35</v>
      </c>
      <c r="H1481" t="s">
        <v>40</v>
      </c>
      <c r="I1481">
        <v>11</v>
      </c>
      <c r="J1481">
        <v>49.4</v>
      </c>
      <c r="K1481">
        <v>12</v>
      </c>
      <c r="L1481">
        <v>385</v>
      </c>
      <c r="M1481">
        <v>37.47</v>
      </c>
      <c r="N1481" t="s">
        <v>23</v>
      </c>
      <c r="O1481">
        <v>4</v>
      </c>
      <c r="P1481">
        <v>543.4</v>
      </c>
      <c r="Q1481">
        <v>555.4</v>
      </c>
      <c r="R1481" t="s">
        <v>2054</v>
      </c>
    </row>
    <row r="1482" spans="1:18" x14ac:dyDescent="0.25">
      <c r="A1482" t="s">
        <v>1533</v>
      </c>
      <c r="B1482" s="1">
        <v>45748</v>
      </c>
      <c r="C1482" s="1">
        <v>45751</v>
      </c>
      <c r="D1482" t="s">
        <v>58</v>
      </c>
      <c r="E1482" t="s">
        <v>19</v>
      </c>
      <c r="F1482" t="s">
        <v>20</v>
      </c>
      <c r="G1482" t="s">
        <v>35</v>
      </c>
      <c r="H1482" t="s">
        <v>40</v>
      </c>
      <c r="I1482">
        <v>5</v>
      </c>
      <c r="J1482">
        <v>49.42</v>
      </c>
      <c r="K1482">
        <v>12</v>
      </c>
      <c r="L1482">
        <v>352</v>
      </c>
      <c r="M1482">
        <v>13.77</v>
      </c>
      <c r="N1482" t="s">
        <v>23</v>
      </c>
      <c r="O1482">
        <v>3</v>
      </c>
      <c r="P1482">
        <v>247.10000000000002</v>
      </c>
      <c r="Q1482">
        <v>259.10000000000002</v>
      </c>
      <c r="R1482" t="s">
        <v>2054</v>
      </c>
    </row>
    <row r="1483" spans="1:18" x14ac:dyDescent="0.25">
      <c r="A1483" t="s">
        <v>1534</v>
      </c>
      <c r="B1483" s="1">
        <v>45749</v>
      </c>
      <c r="C1483" s="1">
        <v>45752</v>
      </c>
      <c r="D1483" t="s">
        <v>118</v>
      </c>
      <c r="E1483" t="s">
        <v>79</v>
      </c>
      <c r="F1483" t="s">
        <v>80</v>
      </c>
      <c r="G1483" t="s">
        <v>26</v>
      </c>
      <c r="H1483" t="s">
        <v>32</v>
      </c>
      <c r="I1483">
        <v>5</v>
      </c>
      <c r="J1483">
        <v>43.5</v>
      </c>
      <c r="K1483">
        <v>12</v>
      </c>
      <c r="L1483">
        <v>151</v>
      </c>
      <c r="M1483">
        <v>91.88</v>
      </c>
      <c r="N1483" t="s">
        <v>23</v>
      </c>
      <c r="O1483">
        <v>3</v>
      </c>
      <c r="P1483">
        <v>217.5</v>
      </c>
      <c r="Q1483">
        <v>229.5</v>
      </c>
      <c r="R1483" t="s">
        <v>2054</v>
      </c>
    </row>
    <row r="1484" spans="1:18" x14ac:dyDescent="0.25">
      <c r="A1484" t="s">
        <v>1535</v>
      </c>
      <c r="B1484" s="1">
        <v>45749</v>
      </c>
      <c r="C1484" s="1">
        <v>45754</v>
      </c>
      <c r="D1484" t="s">
        <v>78</v>
      </c>
      <c r="E1484" t="s">
        <v>79</v>
      </c>
      <c r="F1484" t="s">
        <v>80</v>
      </c>
      <c r="G1484" t="s">
        <v>26</v>
      </c>
      <c r="H1484" t="s">
        <v>32</v>
      </c>
      <c r="I1484">
        <v>4</v>
      </c>
      <c r="J1484">
        <v>105.52</v>
      </c>
      <c r="K1484">
        <v>12</v>
      </c>
      <c r="L1484">
        <v>340</v>
      </c>
      <c r="M1484">
        <v>183.93</v>
      </c>
      <c r="N1484" t="s">
        <v>23</v>
      </c>
      <c r="O1484">
        <v>5</v>
      </c>
      <c r="P1484">
        <v>422.08</v>
      </c>
      <c r="Q1484">
        <v>434.08</v>
      </c>
      <c r="R1484" t="s">
        <v>2054</v>
      </c>
    </row>
    <row r="1485" spans="1:18" x14ac:dyDescent="0.25">
      <c r="A1485" t="s">
        <v>1536</v>
      </c>
      <c r="B1485" s="1">
        <v>45749</v>
      </c>
      <c r="C1485" s="1">
        <v>45751</v>
      </c>
      <c r="D1485" t="s">
        <v>75</v>
      </c>
      <c r="E1485" t="s">
        <v>44</v>
      </c>
      <c r="F1485" t="s">
        <v>45</v>
      </c>
      <c r="G1485" t="s">
        <v>35</v>
      </c>
      <c r="H1485" t="s">
        <v>40</v>
      </c>
      <c r="I1485">
        <v>3</v>
      </c>
      <c r="J1485">
        <v>289.02</v>
      </c>
      <c r="K1485">
        <v>37.5</v>
      </c>
      <c r="L1485">
        <v>306</v>
      </c>
      <c r="M1485">
        <v>284.72000000000003</v>
      </c>
      <c r="N1485" t="s">
        <v>23</v>
      </c>
      <c r="O1485">
        <v>2</v>
      </c>
      <c r="P1485">
        <v>867.06</v>
      </c>
      <c r="Q1485">
        <v>904.56</v>
      </c>
      <c r="R1485" t="s">
        <v>2054</v>
      </c>
    </row>
    <row r="1486" spans="1:18" x14ac:dyDescent="0.25">
      <c r="A1486" t="s">
        <v>1537</v>
      </c>
      <c r="B1486" s="1">
        <v>45749</v>
      </c>
      <c r="C1486" s="1">
        <v>45753</v>
      </c>
      <c r="D1486" t="s">
        <v>58</v>
      </c>
      <c r="E1486" t="s">
        <v>19</v>
      </c>
      <c r="F1486" t="s">
        <v>20</v>
      </c>
      <c r="G1486" t="s">
        <v>21</v>
      </c>
      <c r="H1486" t="s">
        <v>27</v>
      </c>
      <c r="I1486">
        <v>12</v>
      </c>
      <c r="J1486">
        <v>20.079999999999998</v>
      </c>
      <c r="K1486">
        <v>8</v>
      </c>
      <c r="L1486">
        <v>182</v>
      </c>
      <c r="M1486">
        <v>15.28</v>
      </c>
      <c r="N1486" t="s">
        <v>23</v>
      </c>
      <c r="O1486">
        <v>4</v>
      </c>
      <c r="P1486">
        <v>240.95999999999998</v>
      </c>
      <c r="Q1486">
        <v>248.95999999999998</v>
      </c>
      <c r="R1486" t="s">
        <v>2054</v>
      </c>
    </row>
    <row r="1487" spans="1:18" x14ac:dyDescent="0.25">
      <c r="A1487" t="s">
        <v>1538</v>
      </c>
      <c r="B1487" s="1">
        <v>45750</v>
      </c>
      <c r="C1487" s="1">
        <v>45751</v>
      </c>
      <c r="D1487" t="s">
        <v>25</v>
      </c>
      <c r="E1487" t="s">
        <v>19</v>
      </c>
      <c r="F1487" t="s">
        <v>20</v>
      </c>
      <c r="G1487" t="s">
        <v>35</v>
      </c>
      <c r="H1487" t="s">
        <v>40</v>
      </c>
      <c r="I1487">
        <v>13</v>
      </c>
      <c r="J1487">
        <v>30.64</v>
      </c>
      <c r="K1487">
        <v>12</v>
      </c>
      <c r="L1487">
        <v>196</v>
      </c>
      <c r="M1487">
        <v>25.87</v>
      </c>
      <c r="N1487" t="s">
        <v>23</v>
      </c>
      <c r="O1487">
        <v>1</v>
      </c>
      <c r="P1487">
        <v>398.32</v>
      </c>
      <c r="Q1487">
        <v>410.32</v>
      </c>
      <c r="R1487" t="s">
        <v>2054</v>
      </c>
    </row>
    <row r="1488" spans="1:18" x14ac:dyDescent="0.25">
      <c r="A1488" t="s">
        <v>1539</v>
      </c>
      <c r="B1488" s="1">
        <v>45750</v>
      </c>
      <c r="C1488" s="1">
        <v>45751</v>
      </c>
      <c r="D1488" t="s">
        <v>25</v>
      </c>
      <c r="E1488" t="s">
        <v>19</v>
      </c>
      <c r="F1488" t="s">
        <v>20</v>
      </c>
      <c r="G1488" t="s">
        <v>35</v>
      </c>
      <c r="H1488" t="s">
        <v>40</v>
      </c>
      <c r="I1488">
        <v>11</v>
      </c>
      <c r="J1488">
        <v>30.52</v>
      </c>
      <c r="K1488">
        <v>12</v>
      </c>
      <c r="L1488">
        <v>367</v>
      </c>
      <c r="M1488">
        <v>20.86</v>
      </c>
      <c r="N1488" t="s">
        <v>23</v>
      </c>
      <c r="O1488">
        <v>1</v>
      </c>
      <c r="P1488">
        <v>335.71999999999997</v>
      </c>
      <c r="Q1488">
        <v>347.71999999999997</v>
      </c>
      <c r="R1488" t="s">
        <v>2054</v>
      </c>
    </row>
    <row r="1489" spans="1:18" x14ac:dyDescent="0.25">
      <c r="A1489" t="s">
        <v>1540</v>
      </c>
      <c r="B1489" s="1">
        <v>45751</v>
      </c>
      <c r="C1489" s="1">
        <v>45766</v>
      </c>
      <c r="D1489" t="s">
        <v>25</v>
      </c>
      <c r="E1489" t="s">
        <v>19</v>
      </c>
      <c r="F1489" t="s">
        <v>20</v>
      </c>
      <c r="G1489" t="s">
        <v>35</v>
      </c>
      <c r="H1489" t="s">
        <v>27</v>
      </c>
      <c r="I1489">
        <v>9</v>
      </c>
      <c r="J1489">
        <v>48.02</v>
      </c>
      <c r="K1489">
        <v>8</v>
      </c>
      <c r="L1489">
        <v>99</v>
      </c>
      <c r="M1489">
        <v>30.57</v>
      </c>
      <c r="N1489" t="s">
        <v>47</v>
      </c>
      <c r="O1489">
        <v>15</v>
      </c>
      <c r="P1489">
        <v>432.18</v>
      </c>
      <c r="Q1489">
        <v>440.18</v>
      </c>
      <c r="R1489" t="s">
        <v>2054</v>
      </c>
    </row>
    <row r="1490" spans="1:18" x14ac:dyDescent="0.25">
      <c r="A1490" t="s">
        <v>1541</v>
      </c>
      <c r="B1490" s="1">
        <v>45751</v>
      </c>
      <c r="C1490" s="1">
        <v>45755</v>
      </c>
      <c r="D1490" t="s">
        <v>56</v>
      </c>
      <c r="E1490" t="s">
        <v>38</v>
      </c>
      <c r="F1490" t="s">
        <v>39</v>
      </c>
      <c r="G1490" t="s">
        <v>21</v>
      </c>
      <c r="H1490" t="s">
        <v>27</v>
      </c>
      <c r="I1490">
        <v>1</v>
      </c>
      <c r="J1490">
        <v>111.64</v>
      </c>
      <c r="K1490">
        <v>75</v>
      </c>
      <c r="L1490">
        <v>34</v>
      </c>
      <c r="M1490">
        <v>-15.17</v>
      </c>
      <c r="N1490" t="s">
        <v>23</v>
      </c>
      <c r="O1490">
        <v>4</v>
      </c>
      <c r="P1490">
        <v>111.64</v>
      </c>
      <c r="Q1490">
        <v>186.64</v>
      </c>
      <c r="R1490" t="s">
        <v>2055</v>
      </c>
    </row>
    <row r="1491" spans="1:18" x14ac:dyDescent="0.25">
      <c r="A1491" t="s">
        <v>1542</v>
      </c>
      <c r="B1491" s="1">
        <v>45752</v>
      </c>
      <c r="C1491" s="1">
        <v>45755</v>
      </c>
      <c r="D1491" t="s">
        <v>58</v>
      </c>
      <c r="E1491" t="s">
        <v>19</v>
      </c>
      <c r="F1491" t="s">
        <v>20</v>
      </c>
      <c r="G1491" t="s">
        <v>21</v>
      </c>
      <c r="H1491" t="s">
        <v>27</v>
      </c>
      <c r="I1491">
        <v>14</v>
      </c>
      <c r="J1491">
        <v>15.48</v>
      </c>
      <c r="K1491">
        <v>8</v>
      </c>
      <c r="L1491">
        <v>375</v>
      </c>
      <c r="M1491">
        <v>13.34</v>
      </c>
      <c r="N1491" t="s">
        <v>23</v>
      </c>
      <c r="O1491">
        <v>3</v>
      </c>
      <c r="P1491">
        <v>216.72</v>
      </c>
      <c r="Q1491">
        <v>224.72</v>
      </c>
      <c r="R1491" t="s">
        <v>2054</v>
      </c>
    </row>
    <row r="1492" spans="1:18" x14ac:dyDescent="0.25">
      <c r="A1492" t="s">
        <v>1543</v>
      </c>
      <c r="B1492" s="1">
        <v>45752</v>
      </c>
      <c r="C1492" s="1">
        <v>45754</v>
      </c>
      <c r="D1492" t="s">
        <v>56</v>
      </c>
      <c r="E1492" t="s">
        <v>38</v>
      </c>
      <c r="F1492" t="s">
        <v>39</v>
      </c>
      <c r="G1492" t="s">
        <v>21</v>
      </c>
      <c r="H1492" t="s">
        <v>22</v>
      </c>
      <c r="I1492">
        <v>2</v>
      </c>
      <c r="J1492">
        <v>132.51</v>
      </c>
      <c r="K1492">
        <v>75</v>
      </c>
      <c r="L1492">
        <v>333</v>
      </c>
      <c r="M1492">
        <v>-39.75</v>
      </c>
      <c r="N1492" t="s">
        <v>23</v>
      </c>
      <c r="O1492">
        <v>2</v>
      </c>
      <c r="P1492">
        <v>265.02</v>
      </c>
      <c r="Q1492">
        <v>340.02</v>
      </c>
      <c r="R1492" t="s">
        <v>2054</v>
      </c>
    </row>
    <row r="1493" spans="1:18" x14ac:dyDescent="0.25">
      <c r="A1493" t="s">
        <v>1544</v>
      </c>
      <c r="B1493" s="1">
        <v>45753</v>
      </c>
      <c r="C1493" s="1">
        <v>45763</v>
      </c>
      <c r="D1493" t="s">
        <v>58</v>
      </c>
      <c r="E1493" t="s">
        <v>19</v>
      </c>
      <c r="F1493" t="s">
        <v>20</v>
      </c>
      <c r="G1493" t="s">
        <v>35</v>
      </c>
      <c r="H1493" t="s">
        <v>40</v>
      </c>
      <c r="I1493">
        <v>5</v>
      </c>
      <c r="J1493">
        <v>10.89</v>
      </c>
      <c r="K1493">
        <v>12</v>
      </c>
      <c r="L1493">
        <v>225</v>
      </c>
      <c r="M1493">
        <v>-1.64</v>
      </c>
      <c r="N1493" t="s">
        <v>63</v>
      </c>
      <c r="O1493">
        <v>10</v>
      </c>
      <c r="P1493">
        <v>54.45</v>
      </c>
      <c r="Q1493">
        <v>66.45</v>
      </c>
      <c r="R1493" t="s">
        <v>2054</v>
      </c>
    </row>
    <row r="1494" spans="1:18" x14ac:dyDescent="0.25">
      <c r="A1494" t="s">
        <v>1545</v>
      </c>
      <c r="B1494" s="1">
        <v>45753</v>
      </c>
      <c r="C1494" s="1">
        <v>45758</v>
      </c>
      <c r="D1494" t="s">
        <v>118</v>
      </c>
      <c r="E1494" t="s">
        <v>79</v>
      </c>
      <c r="F1494" t="s">
        <v>80</v>
      </c>
      <c r="G1494" t="s">
        <v>26</v>
      </c>
      <c r="H1494" t="s">
        <v>22</v>
      </c>
      <c r="I1494">
        <v>4</v>
      </c>
      <c r="J1494">
        <v>44.8</v>
      </c>
      <c r="K1494">
        <v>12</v>
      </c>
      <c r="L1494">
        <v>386</v>
      </c>
      <c r="M1494">
        <v>74.64</v>
      </c>
      <c r="N1494" t="s">
        <v>23</v>
      </c>
      <c r="O1494">
        <v>5</v>
      </c>
      <c r="P1494">
        <v>179.2</v>
      </c>
      <c r="Q1494">
        <v>191.2</v>
      </c>
      <c r="R1494" t="s">
        <v>2054</v>
      </c>
    </row>
    <row r="1495" spans="1:18" x14ac:dyDescent="0.25">
      <c r="A1495" t="s">
        <v>1546</v>
      </c>
      <c r="B1495" s="1">
        <v>45754</v>
      </c>
      <c r="C1495" s="1">
        <v>45755</v>
      </c>
      <c r="D1495" t="s">
        <v>54</v>
      </c>
      <c r="E1495" t="s">
        <v>38</v>
      </c>
      <c r="F1495" t="s">
        <v>39</v>
      </c>
      <c r="G1495" t="s">
        <v>35</v>
      </c>
      <c r="H1495" t="s">
        <v>40</v>
      </c>
      <c r="I1495">
        <v>2</v>
      </c>
      <c r="J1495">
        <v>468.74</v>
      </c>
      <c r="K1495">
        <v>112.5</v>
      </c>
      <c r="L1495">
        <v>93</v>
      </c>
      <c r="M1495">
        <v>131.25</v>
      </c>
      <c r="N1495" t="s">
        <v>23</v>
      </c>
      <c r="O1495">
        <v>1</v>
      </c>
      <c r="P1495">
        <v>937.48</v>
      </c>
      <c r="Q1495">
        <v>1049.98</v>
      </c>
      <c r="R1495" t="s">
        <v>2054</v>
      </c>
    </row>
    <row r="1496" spans="1:18" x14ac:dyDescent="0.25">
      <c r="A1496" t="s">
        <v>1547</v>
      </c>
      <c r="B1496" s="1">
        <v>45754</v>
      </c>
      <c r="C1496" s="1">
        <v>45771</v>
      </c>
      <c r="D1496" t="s">
        <v>82</v>
      </c>
      <c r="E1496" t="s">
        <v>79</v>
      </c>
      <c r="F1496" t="s">
        <v>80</v>
      </c>
      <c r="G1496" t="s">
        <v>35</v>
      </c>
      <c r="H1496" t="s">
        <v>22</v>
      </c>
      <c r="I1496">
        <v>4</v>
      </c>
      <c r="J1496">
        <v>71.89</v>
      </c>
      <c r="K1496">
        <v>12</v>
      </c>
      <c r="L1496">
        <v>81</v>
      </c>
      <c r="M1496">
        <v>123.4</v>
      </c>
      <c r="N1496" t="s">
        <v>47</v>
      </c>
      <c r="O1496">
        <v>17</v>
      </c>
      <c r="P1496">
        <v>287.56</v>
      </c>
      <c r="Q1496">
        <v>299.56</v>
      </c>
      <c r="R1496" t="s">
        <v>2054</v>
      </c>
    </row>
    <row r="1497" spans="1:18" x14ac:dyDescent="0.25">
      <c r="A1497" t="s">
        <v>1548</v>
      </c>
      <c r="B1497" s="1">
        <v>45754</v>
      </c>
      <c r="C1497" s="1">
        <v>45759</v>
      </c>
      <c r="D1497" t="s">
        <v>29</v>
      </c>
      <c r="E1497" t="s">
        <v>30</v>
      </c>
      <c r="F1497" t="s">
        <v>31</v>
      </c>
      <c r="G1497" t="s">
        <v>35</v>
      </c>
      <c r="H1497" t="s">
        <v>27</v>
      </c>
      <c r="I1497">
        <v>3</v>
      </c>
      <c r="J1497">
        <v>141.24</v>
      </c>
      <c r="K1497">
        <v>12</v>
      </c>
      <c r="L1497">
        <v>266</v>
      </c>
      <c r="M1497">
        <v>163.49</v>
      </c>
      <c r="N1497" t="s">
        <v>23</v>
      </c>
      <c r="O1497">
        <v>5</v>
      </c>
      <c r="P1497">
        <v>423.72</v>
      </c>
      <c r="Q1497">
        <v>435.72</v>
      </c>
      <c r="R1497" t="s">
        <v>2054</v>
      </c>
    </row>
    <row r="1498" spans="1:18" x14ac:dyDescent="0.25">
      <c r="A1498" t="s">
        <v>1549</v>
      </c>
      <c r="B1498" s="1">
        <v>45754</v>
      </c>
      <c r="C1498" s="1">
        <v>45756</v>
      </c>
      <c r="D1498" t="s">
        <v>75</v>
      </c>
      <c r="E1498" t="s">
        <v>44</v>
      </c>
      <c r="F1498" t="s">
        <v>45</v>
      </c>
      <c r="G1498" t="s">
        <v>21</v>
      </c>
      <c r="H1498" t="s">
        <v>22</v>
      </c>
      <c r="I1498">
        <v>2</v>
      </c>
      <c r="J1498">
        <v>474.35</v>
      </c>
      <c r="K1498">
        <v>25</v>
      </c>
      <c r="L1498">
        <v>42</v>
      </c>
      <c r="M1498">
        <v>319.54000000000002</v>
      </c>
      <c r="N1498" t="s">
        <v>23</v>
      </c>
      <c r="O1498">
        <v>2</v>
      </c>
      <c r="P1498">
        <v>948.7</v>
      </c>
      <c r="Q1498">
        <v>973.7</v>
      </c>
      <c r="R1498" t="s">
        <v>2055</v>
      </c>
    </row>
    <row r="1499" spans="1:18" x14ac:dyDescent="0.25">
      <c r="A1499" t="s">
        <v>1550</v>
      </c>
      <c r="B1499" s="1">
        <v>45755</v>
      </c>
      <c r="C1499" s="1">
        <v>45768</v>
      </c>
      <c r="D1499" t="s">
        <v>29</v>
      </c>
      <c r="E1499" t="s">
        <v>30</v>
      </c>
      <c r="F1499" t="s">
        <v>31</v>
      </c>
      <c r="G1499" t="s">
        <v>35</v>
      </c>
      <c r="H1499" t="s">
        <v>27</v>
      </c>
      <c r="I1499">
        <v>2</v>
      </c>
      <c r="J1499">
        <v>40.869999999999997</v>
      </c>
      <c r="K1499">
        <v>12</v>
      </c>
      <c r="L1499">
        <v>154</v>
      </c>
      <c r="M1499">
        <v>26.7</v>
      </c>
      <c r="N1499" t="s">
        <v>47</v>
      </c>
      <c r="O1499">
        <v>13</v>
      </c>
      <c r="P1499">
        <v>81.739999999999995</v>
      </c>
      <c r="Q1499">
        <v>93.74</v>
      </c>
      <c r="R1499" t="s">
        <v>2054</v>
      </c>
    </row>
    <row r="1500" spans="1:18" x14ac:dyDescent="0.25">
      <c r="A1500" t="s">
        <v>1551</v>
      </c>
      <c r="B1500" s="1">
        <v>45757</v>
      </c>
      <c r="C1500" s="1">
        <v>45761</v>
      </c>
      <c r="D1500" t="s">
        <v>75</v>
      </c>
      <c r="E1500" t="s">
        <v>44</v>
      </c>
      <c r="F1500" t="s">
        <v>45</v>
      </c>
      <c r="G1500" t="s">
        <v>35</v>
      </c>
      <c r="H1500" t="s">
        <v>40</v>
      </c>
      <c r="I1500">
        <v>1</v>
      </c>
      <c r="J1500">
        <v>793.68</v>
      </c>
      <c r="K1500">
        <v>37.5</v>
      </c>
      <c r="L1500">
        <v>151</v>
      </c>
      <c r="M1500">
        <v>259.04000000000002</v>
      </c>
      <c r="N1500" t="s">
        <v>23</v>
      </c>
      <c r="O1500">
        <v>4</v>
      </c>
      <c r="P1500">
        <v>793.68</v>
      </c>
      <c r="Q1500">
        <v>831.18</v>
      </c>
      <c r="R1500" t="s">
        <v>2054</v>
      </c>
    </row>
    <row r="1501" spans="1:18" x14ac:dyDescent="0.25">
      <c r="A1501" t="s">
        <v>1552</v>
      </c>
      <c r="B1501" s="1">
        <v>45757</v>
      </c>
      <c r="C1501" s="1">
        <v>45758</v>
      </c>
      <c r="D1501" t="s">
        <v>78</v>
      </c>
      <c r="E1501" t="s">
        <v>79</v>
      </c>
      <c r="F1501" t="s">
        <v>80</v>
      </c>
      <c r="G1501" t="s">
        <v>26</v>
      </c>
      <c r="H1501" t="s">
        <v>32</v>
      </c>
      <c r="I1501">
        <v>3</v>
      </c>
      <c r="J1501">
        <v>129.47</v>
      </c>
      <c r="K1501">
        <v>12</v>
      </c>
      <c r="L1501">
        <v>75</v>
      </c>
      <c r="M1501">
        <v>168.79</v>
      </c>
      <c r="N1501" t="s">
        <v>23</v>
      </c>
      <c r="O1501">
        <v>1</v>
      </c>
      <c r="P1501">
        <v>388.40999999999997</v>
      </c>
      <c r="Q1501">
        <v>400.40999999999997</v>
      </c>
      <c r="R1501" t="s">
        <v>2054</v>
      </c>
    </row>
    <row r="1502" spans="1:18" x14ac:dyDescent="0.25">
      <c r="A1502" t="s">
        <v>1553</v>
      </c>
      <c r="B1502" s="1">
        <v>45757</v>
      </c>
      <c r="C1502" s="1">
        <v>45758</v>
      </c>
      <c r="D1502" t="s">
        <v>118</v>
      </c>
      <c r="E1502" t="s">
        <v>79</v>
      </c>
      <c r="F1502" t="s">
        <v>80</v>
      </c>
      <c r="G1502" t="s">
        <v>35</v>
      </c>
      <c r="H1502" t="s">
        <v>40</v>
      </c>
      <c r="I1502">
        <v>2</v>
      </c>
      <c r="J1502">
        <v>127.51</v>
      </c>
      <c r="K1502">
        <v>18</v>
      </c>
      <c r="L1502">
        <v>352</v>
      </c>
      <c r="M1502">
        <v>105.76</v>
      </c>
      <c r="N1502" t="s">
        <v>23</v>
      </c>
      <c r="O1502">
        <v>1</v>
      </c>
      <c r="P1502">
        <v>255.02</v>
      </c>
      <c r="Q1502">
        <v>273.02</v>
      </c>
      <c r="R1502" t="s">
        <v>2054</v>
      </c>
    </row>
    <row r="1503" spans="1:18" x14ac:dyDescent="0.25">
      <c r="A1503" t="s">
        <v>1554</v>
      </c>
      <c r="B1503" s="1">
        <v>45758</v>
      </c>
      <c r="C1503" s="1">
        <v>45763</v>
      </c>
      <c r="D1503" t="s">
        <v>50</v>
      </c>
      <c r="E1503" t="s">
        <v>44</v>
      </c>
      <c r="F1503" t="s">
        <v>45</v>
      </c>
      <c r="G1503" t="s">
        <v>21</v>
      </c>
      <c r="H1503" t="s">
        <v>22</v>
      </c>
      <c r="I1503">
        <v>1</v>
      </c>
      <c r="J1503">
        <v>553.15</v>
      </c>
      <c r="K1503">
        <v>25</v>
      </c>
      <c r="L1503">
        <v>114</v>
      </c>
      <c r="M1503">
        <v>181.1</v>
      </c>
      <c r="N1503" t="s">
        <v>23</v>
      </c>
      <c r="O1503">
        <v>5</v>
      </c>
      <c r="P1503">
        <v>553.15</v>
      </c>
      <c r="Q1503">
        <v>578.15</v>
      </c>
      <c r="R1503" t="s">
        <v>2054</v>
      </c>
    </row>
    <row r="1504" spans="1:18" x14ac:dyDescent="0.25">
      <c r="A1504" t="s">
        <v>1555</v>
      </c>
      <c r="B1504" s="1">
        <v>45759</v>
      </c>
      <c r="C1504" s="1">
        <v>45766</v>
      </c>
      <c r="D1504" t="s">
        <v>29</v>
      </c>
      <c r="E1504" t="s">
        <v>30</v>
      </c>
      <c r="F1504" t="s">
        <v>31</v>
      </c>
      <c r="G1504" t="s">
        <v>35</v>
      </c>
      <c r="H1504" t="s">
        <v>40</v>
      </c>
      <c r="I1504">
        <v>4</v>
      </c>
      <c r="J1504">
        <v>81.37</v>
      </c>
      <c r="K1504">
        <v>18</v>
      </c>
      <c r="L1504">
        <v>65</v>
      </c>
      <c r="M1504">
        <v>121.19</v>
      </c>
      <c r="N1504" t="s">
        <v>63</v>
      </c>
      <c r="O1504">
        <v>7</v>
      </c>
      <c r="P1504">
        <v>325.48</v>
      </c>
      <c r="Q1504">
        <v>343.48</v>
      </c>
      <c r="R1504" t="s">
        <v>2054</v>
      </c>
    </row>
    <row r="1505" spans="1:18" x14ac:dyDescent="0.25">
      <c r="A1505" t="s">
        <v>1556</v>
      </c>
      <c r="B1505" s="1">
        <v>45759</v>
      </c>
      <c r="C1505" s="1">
        <v>45771</v>
      </c>
      <c r="D1505" t="s">
        <v>52</v>
      </c>
      <c r="E1505" t="s">
        <v>30</v>
      </c>
      <c r="F1505" t="s">
        <v>31</v>
      </c>
      <c r="G1505" t="s">
        <v>35</v>
      </c>
      <c r="H1505" t="s">
        <v>32</v>
      </c>
      <c r="I1505">
        <v>1</v>
      </c>
      <c r="J1505">
        <v>144.31</v>
      </c>
      <c r="K1505">
        <v>12</v>
      </c>
      <c r="L1505">
        <v>219</v>
      </c>
      <c r="M1505">
        <v>51.72</v>
      </c>
      <c r="N1505" t="s">
        <v>47</v>
      </c>
      <c r="O1505">
        <v>12</v>
      </c>
      <c r="P1505">
        <v>144.31</v>
      </c>
      <c r="Q1505">
        <v>156.31</v>
      </c>
      <c r="R1505" t="s">
        <v>2054</v>
      </c>
    </row>
    <row r="1506" spans="1:18" x14ac:dyDescent="0.25">
      <c r="A1506" t="s">
        <v>1557</v>
      </c>
      <c r="B1506" s="1">
        <v>45760</v>
      </c>
      <c r="C1506" s="1">
        <v>45764</v>
      </c>
      <c r="D1506" t="s">
        <v>82</v>
      </c>
      <c r="E1506" t="s">
        <v>79</v>
      </c>
      <c r="F1506" t="s">
        <v>80</v>
      </c>
      <c r="G1506" t="s">
        <v>26</v>
      </c>
      <c r="H1506" t="s">
        <v>22</v>
      </c>
      <c r="I1506">
        <v>1</v>
      </c>
      <c r="J1506">
        <v>60.16</v>
      </c>
      <c r="K1506">
        <v>12</v>
      </c>
      <c r="L1506">
        <v>82</v>
      </c>
      <c r="M1506">
        <v>21.07</v>
      </c>
      <c r="N1506" t="s">
        <v>23</v>
      </c>
      <c r="O1506">
        <v>4</v>
      </c>
      <c r="P1506">
        <v>60.16</v>
      </c>
      <c r="Q1506">
        <v>72.16</v>
      </c>
      <c r="R1506" t="s">
        <v>2054</v>
      </c>
    </row>
    <row r="1507" spans="1:18" x14ac:dyDescent="0.25">
      <c r="A1507" t="s">
        <v>1558</v>
      </c>
      <c r="B1507" s="1">
        <v>45761</v>
      </c>
      <c r="C1507" s="1">
        <v>45764</v>
      </c>
      <c r="D1507" t="s">
        <v>58</v>
      </c>
      <c r="E1507" t="s">
        <v>19</v>
      </c>
      <c r="F1507" t="s">
        <v>20</v>
      </c>
      <c r="G1507" t="s">
        <v>35</v>
      </c>
      <c r="H1507" t="s">
        <v>40</v>
      </c>
      <c r="I1507">
        <v>11</v>
      </c>
      <c r="J1507">
        <v>48.97</v>
      </c>
      <c r="K1507">
        <v>12</v>
      </c>
      <c r="L1507">
        <v>88</v>
      </c>
      <c r="M1507">
        <v>37.1</v>
      </c>
      <c r="N1507" t="s">
        <v>23</v>
      </c>
      <c r="O1507">
        <v>3</v>
      </c>
      <c r="P1507">
        <v>538.66999999999996</v>
      </c>
      <c r="Q1507">
        <v>550.66999999999996</v>
      </c>
      <c r="R1507" t="s">
        <v>2054</v>
      </c>
    </row>
    <row r="1508" spans="1:18" x14ac:dyDescent="0.25">
      <c r="A1508" t="s">
        <v>1559</v>
      </c>
      <c r="B1508" s="1">
        <v>45762</v>
      </c>
      <c r="C1508" s="1">
        <v>45779</v>
      </c>
      <c r="D1508" t="s">
        <v>43</v>
      </c>
      <c r="E1508" t="s">
        <v>44</v>
      </c>
      <c r="F1508" t="s">
        <v>45</v>
      </c>
      <c r="G1508" t="s">
        <v>35</v>
      </c>
      <c r="H1508" t="s">
        <v>40</v>
      </c>
      <c r="I1508">
        <v>1</v>
      </c>
      <c r="J1508">
        <v>818.29</v>
      </c>
      <c r="K1508">
        <v>37.5</v>
      </c>
      <c r="L1508">
        <v>235</v>
      </c>
      <c r="M1508">
        <v>267.64999999999998</v>
      </c>
      <c r="N1508" t="s">
        <v>47</v>
      </c>
      <c r="O1508">
        <v>17</v>
      </c>
      <c r="P1508">
        <v>818.29</v>
      </c>
      <c r="Q1508">
        <v>855.79</v>
      </c>
      <c r="R1508" t="s">
        <v>2054</v>
      </c>
    </row>
    <row r="1509" spans="1:18" x14ac:dyDescent="0.25">
      <c r="A1509" t="s">
        <v>1560</v>
      </c>
      <c r="B1509" s="1">
        <v>45762</v>
      </c>
      <c r="C1509" s="1">
        <v>45773</v>
      </c>
      <c r="D1509" t="s">
        <v>52</v>
      </c>
      <c r="E1509" t="s">
        <v>30</v>
      </c>
      <c r="F1509" t="s">
        <v>31</v>
      </c>
      <c r="G1509" t="s">
        <v>35</v>
      </c>
      <c r="H1509" t="s">
        <v>40</v>
      </c>
      <c r="I1509">
        <v>2</v>
      </c>
      <c r="J1509">
        <v>137.75</v>
      </c>
      <c r="K1509">
        <v>18</v>
      </c>
      <c r="L1509">
        <v>175</v>
      </c>
      <c r="M1509">
        <v>-41.33</v>
      </c>
      <c r="N1509" t="s">
        <v>47</v>
      </c>
      <c r="O1509">
        <v>11</v>
      </c>
      <c r="P1509">
        <v>275.5</v>
      </c>
      <c r="Q1509">
        <v>293.5</v>
      </c>
      <c r="R1509" t="s">
        <v>2054</v>
      </c>
    </row>
    <row r="1510" spans="1:18" x14ac:dyDescent="0.25">
      <c r="A1510" t="s">
        <v>1561</v>
      </c>
      <c r="B1510" s="1">
        <v>45762</v>
      </c>
      <c r="C1510" s="1">
        <v>45764</v>
      </c>
      <c r="D1510" t="s">
        <v>54</v>
      </c>
      <c r="E1510" t="s">
        <v>38</v>
      </c>
      <c r="F1510" t="s">
        <v>39</v>
      </c>
      <c r="G1510" t="s">
        <v>35</v>
      </c>
      <c r="H1510" t="s">
        <v>22</v>
      </c>
      <c r="I1510">
        <v>1</v>
      </c>
      <c r="J1510">
        <v>456.2</v>
      </c>
      <c r="K1510">
        <v>75</v>
      </c>
      <c r="L1510">
        <v>196</v>
      </c>
      <c r="M1510">
        <v>53.74</v>
      </c>
      <c r="N1510" t="s">
        <v>23</v>
      </c>
      <c r="O1510">
        <v>2</v>
      </c>
      <c r="P1510">
        <v>456.2</v>
      </c>
      <c r="Q1510">
        <v>531.20000000000005</v>
      </c>
      <c r="R1510" t="s">
        <v>2054</v>
      </c>
    </row>
    <row r="1511" spans="1:18" x14ac:dyDescent="0.25">
      <c r="A1511" t="s">
        <v>1562</v>
      </c>
      <c r="B1511" s="1">
        <v>45763</v>
      </c>
      <c r="C1511" s="1">
        <v>45764</v>
      </c>
      <c r="D1511" t="s">
        <v>25</v>
      </c>
      <c r="E1511" t="s">
        <v>19</v>
      </c>
      <c r="F1511" t="s">
        <v>20</v>
      </c>
      <c r="G1511" t="s">
        <v>21</v>
      </c>
      <c r="H1511" t="s">
        <v>22</v>
      </c>
      <c r="I1511">
        <v>14</v>
      </c>
      <c r="J1511">
        <v>30.51</v>
      </c>
      <c r="K1511">
        <v>8</v>
      </c>
      <c r="L1511">
        <v>22</v>
      </c>
      <c r="M1511">
        <v>30.17</v>
      </c>
      <c r="N1511" t="s">
        <v>23</v>
      </c>
      <c r="O1511">
        <v>1</v>
      </c>
      <c r="P1511">
        <v>427.14000000000004</v>
      </c>
      <c r="Q1511">
        <v>435.14000000000004</v>
      </c>
      <c r="R1511" t="s">
        <v>2055</v>
      </c>
    </row>
    <row r="1512" spans="1:18" x14ac:dyDescent="0.25">
      <c r="A1512" t="s">
        <v>1563</v>
      </c>
      <c r="B1512" s="1">
        <v>45763</v>
      </c>
      <c r="C1512" s="1">
        <v>45766</v>
      </c>
      <c r="D1512" t="s">
        <v>18</v>
      </c>
      <c r="E1512" t="s">
        <v>19</v>
      </c>
      <c r="F1512" t="s">
        <v>20</v>
      </c>
      <c r="G1512" t="s">
        <v>35</v>
      </c>
      <c r="H1512" t="s">
        <v>40</v>
      </c>
      <c r="I1512">
        <v>9</v>
      </c>
      <c r="J1512">
        <v>41.46</v>
      </c>
      <c r="K1512">
        <v>12</v>
      </c>
      <c r="L1512">
        <v>67</v>
      </c>
      <c r="M1512">
        <v>23.85</v>
      </c>
      <c r="N1512" t="s">
        <v>23</v>
      </c>
      <c r="O1512">
        <v>3</v>
      </c>
      <c r="P1512">
        <v>373.14</v>
      </c>
      <c r="Q1512">
        <v>385.14</v>
      </c>
      <c r="R1512" t="s">
        <v>2054</v>
      </c>
    </row>
    <row r="1513" spans="1:18" x14ac:dyDescent="0.25">
      <c r="A1513" t="s">
        <v>1564</v>
      </c>
      <c r="B1513" s="1">
        <v>45764</v>
      </c>
      <c r="C1513" s="1">
        <v>45776</v>
      </c>
      <c r="D1513" t="s">
        <v>58</v>
      </c>
      <c r="E1513" t="s">
        <v>19</v>
      </c>
      <c r="F1513" t="s">
        <v>20</v>
      </c>
      <c r="G1513" t="s">
        <v>35</v>
      </c>
      <c r="H1513" t="s">
        <v>22</v>
      </c>
      <c r="I1513">
        <v>5</v>
      </c>
      <c r="J1513">
        <v>44.47</v>
      </c>
      <c r="K1513">
        <v>8</v>
      </c>
      <c r="L1513">
        <v>367</v>
      </c>
      <c r="M1513">
        <v>13.79</v>
      </c>
      <c r="N1513" t="s">
        <v>47</v>
      </c>
      <c r="O1513">
        <v>12</v>
      </c>
      <c r="P1513">
        <v>222.35</v>
      </c>
      <c r="Q1513">
        <v>230.35</v>
      </c>
      <c r="R1513" t="s">
        <v>2054</v>
      </c>
    </row>
    <row r="1514" spans="1:18" x14ac:dyDescent="0.25">
      <c r="A1514" t="s">
        <v>1565</v>
      </c>
      <c r="B1514" s="1">
        <v>45764</v>
      </c>
      <c r="C1514" s="1">
        <v>45767</v>
      </c>
      <c r="D1514" t="s">
        <v>37</v>
      </c>
      <c r="E1514" t="s">
        <v>38</v>
      </c>
      <c r="F1514" t="s">
        <v>39</v>
      </c>
      <c r="G1514" t="s">
        <v>35</v>
      </c>
      <c r="H1514" t="s">
        <v>40</v>
      </c>
      <c r="I1514">
        <v>2</v>
      </c>
      <c r="J1514">
        <v>117.13</v>
      </c>
      <c r="K1514">
        <v>112.5</v>
      </c>
      <c r="L1514">
        <v>177</v>
      </c>
      <c r="M1514">
        <v>-9.4</v>
      </c>
      <c r="N1514" t="s">
        <v>23</v>
      </c>
      <c r="O1514">
        <v>3</v>
      </c>
      <c r="P1514">
        <v>234.26</v>
      </c>
      <c r="Q1514">
        <v>346.76</v>
      </c>
      <c r="R1514" t="s">
        <v>2054</v>
      </c>
    </row>
    <row r="1515" spans="1:18" x14ac:dyDescent="0.25">
      <c r="A1515" t="s">
        <v>1566</v>
      </c>
      <c r="B1515" s="1">
        <v>45764</v>
      </c>
      <c r="C1515" s="1">
        <v>45780</v>
      </c>
      <c r="D1515" t="s">
        <v>75</v>
      </c>
      <c r="E1515" t="s">
        <v>44</v>
      </c>
      <c r="F1515" t="s">
        <v>45</v>
      </c>
      <c r="G1515" t="s">
        <v>35</v>
      </c>
      <c r="H1515" t="s">
        <v>22</v>
      </c>
      <c r="I1515">
        <v>3</v>
      </c>
      <c r="J1515">
        <v>314.32</v>
      </c>
      <c r="K1515">
        <v>25</v>
      </c>
      <c r="L1515">
        <v>230</v>
      </c>
      <c r="M1515">
        <v>317.54000000000002</v>
      </c>
      <c r="N1515" t="s">
        <v>47</v>
      </c>
      <c r="O1515">
        <v>16</v>
      </c>
      <c r="P1515">
        <v>942.96</v>
      </c>
      <c r="Q1515">
        <v>967.96</v>
      </c>
      <c r="R1515" t="s">
        <v>2054</v>
      </c>
    </row>
    <row r="1516" spans="1:18" x14ac:dyDescent="0.25">
      <c r="A1516" t="s">
        <v>1567</v>
      </c>
      <c r="B1516" s="1">
        <v>45764</v>
      </c>
      <c r="C1516" s="1">
        <v>45766</v>
      </c>
      <c r="D1516" t="s">
        <v>18</v>
      </c>
      <c r="E1516" t="s">
        <v>19</v>
      </c>
      <c r="F1516" t="s">
        <v>20</v>
      </c>
      <c r="G1516" t="s">
        <v>35</v>
      </c>
      <c r="H1516" t="s">
        <v>40</v>
      </c>
      <c r="I1516">
        <v>8</v>
      </c>
      <c r="J1516">
        <v>21.26</v>
      </c>
      <c r="K1516">
        <v>12</v>
      </c>
      <c r="L1516">
        <v>354</v>
      </c>
      <c r="M1516">
        <v>7.61</v>
      </c>
      <c r="N1516" t="s">
        <v>23</v>
      </c>
      <c r="O1516">
        <v>2</v>
      </c>
      <c r="P1516">
        <v>170.08</v>
      </c>
      <c r="Q1516">
        <v>182.08</v>
      </c>
      <c r="R1516" t="s">
        <v>2054</v>
      </c>
    </row>
    <row r="1517" spans="1:18" x14ac:dyDescent="0.25">
      <c r="A1517" t="s">
        <v>1568</v>
      </c>
      <c r="B1517" s="1">
        <v>45767</v>
      </c>
      <c r="C1517" s="1">
        <v>45770</v>
      </c>
      <c r="D1517" t="s">
        <v>72</v>
      </c>
      <c r="E1517" t="s">
        <v>44</v>
      </c>
      <c r="F1517" t="s">
        <v>45</v>
      </c>
      <c r="G1517" t="s">
        <v>26</v>
      </c>
      <c r="H1517" t="s">
        <v>32</v>
      </c>
      <c r="I1517">
        <v>1</v>
      </c>
      <c r="J1517">
        <v>884.43</v>
      </c>
      <c r="K1517">
        <v>25</v>
      </c>
      <c r="L1517">
        <v>371</v>
      </c>
      <c r="M1517">
        <v>297.05</v>
      </c>
      <c r="N1517" t="s">
        <v>23</v>
      </c>
      <c r="O1517">
        <v>3</v>
      </c>
      <c r="P1517">
        <v>884.43</v>
      </c>
      <c r="Q1517">
        <v>909.43</v>
      </c>
      <c r="R1517" t="s">
        <v>2054</v>
      </c>
    </row>
    <row r="1518" spans="1:18" x14ac:dyDescent="0.25">
      <c r="A1518" t="s">
        <v>1569</v>
      </c>
      <c r="B1518" s="1">
        <v>45768</v>
      </c>
      <c r="C1518" s="1">
        <v>45775</v>
      </c>
      <c r="D1518" t="s">
        <v>75</v>
      </c>
      <c r="E1518" t="s">
        <v>44</v>
      </c>
      <c r="F1518" t="s">
        <v>45</v>
      </c>
      <c r="G1518" t="s">
        <v>35</v>
      </c>
      <c r="H1518" t="s">
        <v>40</v>
      </c>
      <c r="I1518">
        <v>2</v>
      </c>
      <c r="J1518">
        <v>207.73</v>
      </c>
      <c r="K1518">
        <v>37.5</v>
      </c>
      <c r="L1518">
        <v>79</v>
      </c>
      <c r="M1518">
        <v>126.66</v>
      </c>
      <c r="N1518" t="s">
        <v>63</v>
      </c>
      <c r="O1518">
        <v>7</v>
      </c>
      <c r="P1518">
        <v>415.46</v>
      </c>
      <c r="Q1518">
        <v>452.96</v>
      </c>
      <c r="R1518" t="s">
        <v>2054</v>
      </c>
    </row>
    <row r="1519" spans="1:18" x14ac:dyDescent="0.25">
      <c r="A1519" t="s">
        <v>1570</v>
      </c>
      <c r="B1519" s="1">
        <v>45769</v>
      </c>
      <c r="C1519" s="1">
        <v>45773</v>
      </c>
      <c r="D1519" t="s">
        <v>43</v>
      </c>
      <c r="E1519" t="s">
        <v>44</v>
      </c>
      <c r="F1519" t="s">
        <v>45</v>
      </c>
      <c r="G1519" t="s">
        <v>35</v>
      </c>
      <c r="H1519" t="s">
        <v>27</v>
      </c>
      <c r="I1519">
        <v>2</v>
      </c>
      <c r="J1519">
        <v>652.53</v>
      </c>
      <c r="K1519">
        <v>25</v>
      </c>
      <c r="L1519">
        <v>385</v>
      </c>
      <c r="M1519">
        <v>-195.76</v>
      </c>
      <c r="N1519" t="s">
        <v>23</v>
      </c>
      <c r="O1519">
        <v>4</v>
      </c>
      <c r="P1519">
        <v>1305.06</v>
      </c>
      <c r="Q1519">
        <v>1330.06</v>
      </c>
      <c r="R1519" t="s">
        <v>2054</v>
      </c>
    </row>
    <row r="1520" spans="1:18" x14ac:dyDescent="0.25">
      <c r="A1520" t="s">
        <v>1571</v>
      </c>
      <c r="B1520" s="1">
        <v>45770</v>
      </c>
      <c r="C1520" s="1">
        <v>45774</v>
      </c>
      <c r="D1520" t="s">
        <v>54</v>
      </c>
      <c r="E1520" t="s">
        <v>38</v>
      </c>
      <c r="F1520" t="s">
        <v>39</v>
      </c>
      <c r="G1520" t="s">
        <v>26</v>
      </c>
      <c r="H1520" t="s">
        <v>32</v>
      </c>
      <c r="I1520">
        <v>1</v>
      </c>
      <c r="J1520">
        <v>412.74</v>
      </c>
      <c r="K1520">
        <v>75</v>
      </c>
      <c r="L1520">
        <v>339</v>
      </c>
      <c r="M1520">
        <v>45.05</v>
      </c>
      <c r="N1520" t="s">
        <v>23</v>
      </c>
      <c r="O1520">
        <v>4</v>
      </c>
      <c r="P1520">
        <v>412.74</v>
      </c>
      <c r="Q1520">
        <v>487.74</v>
      </c>
      <c r="R1520" t="s">
        <v>2054</v>
      </c>
    </row>
    <row r="1521" spans="1:18" x14ac:dyDescent="0.25">
      <c r="A1521" t="s">
        <v>1572</v>
      </c>
      <c r="B1521" s="1">
        <v>45770</v>
      </c>
      <c r="C1521" s="1">
        <v>45775</v>
      </c>
      <c r="D1521" t="s">
        <v>58</v>
      </c>
      <c r="E1521" t="s">
        <v>19</v>
      </c>
      <c r="F1521" t="s">
        <v>20</v>
      </c>
      <c r="G1521" t="s">
        <v>35</v>
      </c>
      <c r="H1521" t="s">
        <v>22</v>
      </c>
      <c r="I1521">
        <v>11</v>
      </c>
      <c r="J1521">
        <v>33.049999999999997</v>
      </c>
      <c r="K1521">
        <v>8</v>
      </c>
      <c r="L1521">
        <v>296</v>
      </c>
      <c r="M1521">
        <v>25.08</v>
      </c>
      <c r="N1521" t="s">
        <v>23</v>
      </c>
      <c r="O1521">
        <v>5</v>
      </c>
      <c r="P1521">
        <v>363.54999999999995</v>
      </c>
      <c r="Q1521">
        <v>371.54999999999995</v>
      </c>
      <c r="R1521" t="s">
        <v>2054</v>
      </c>
    </row>
    <row r="1522" spans="1:18" x14ac:dyDescent="0.25">
      <c r="A1522" t="s">
        <v>1573</v>
      </c>
      <c r="B1522" s="1">
        <v>45771</v>
      </c>
      <c r="C1522" s="1">
        <v>45776</v>
      </c>
      <c r="D1522" t="s">
        <v>34</v>
      </c>
      <c r="E1522" t="s">
        <v>30</v>
      </c>
      <c r="F1522" t="s">
        <v>31</v>
      </c>
      <c r="G1522" t="s">
        <v>35</v>
      </c>
      <c r="H1522" t="s">
        <v>40</v>
      </c>
      <c r="I1522">
        <v>2</v>
      </c>
      <c r="J1522">
        <v>95.65</v>
      </c>
      <c r="K1522">
        <v>18</v>
      </c>
      <c r="L1522">
        <v>341</v>
      </c>
      <c r="M1522">
        <v>67.52</v>
      </c>
      <c r="N1522" t="s">
        <v>23</v>
      </c>
      <c r="O1522">
        <v>5</v>
      </c>
      <c r="P1522">
        <v>191.3</v>
      </c>
      <c r="Q1522">
        <v>209.3</v>
      </c>
      <c r="R1522" t="s">
        <v>2054</v>
      </c>
    </row>
    <row r="1523" spans="1:18" x14ac:dyDescent="0.25">
      <c r="A1523" t="s">
        <v>1574</v>
      </c>
      <c r="B1523" s="1">
        <v>45771</v>
      </c>
      <c r="C1523" s="1">
        <v>45772</v>
      </c>
      <c r="D1523" t="s">
        <v>78</v>
      </c>
      <c r="E1523" t="s">
        <v>79</v>
      </c>
      <c r="F1523" t="s">
        <v>80</v>
      </c>
      <c r="G1523" t="s">
        <v>21</v>
      </c>
      <c r="H1523" t="s">
        <v>32</v>
      </c>
      <c r="I1523">
        <v>4</v>
      </c>
      <c r="J1523">
        <v>66.290000000000006</v>
      </c>
      <c r="K1523">
        <v>12</v>
      </c>
      <c r="L1523">
        <v>290</v>
      </c>
      <c r="M1523">
        <v>113.33</v>
      </c>
      <c r="N1523" t="s">
        <v>23</v>
      </c>
      <c r="O1523">
        <v>1</v>
      </c>
      <c r="P1523">
        <v>265.16000000000003</v>
      </c>
      <c r="Q1523">
        <v>277.16000000000003</v>
      </c>
      <c r="R1523" t="s">
        <v>2054</v>
      </c>
    </row>
    <row r="1524" spans="1:18" x14ac:dyDescent="0.25">
      <c r="A1524" t="s">
        <v>1575</v>
      </c>
      <c r="B1524" s="1">
        <v>45772</v>
      </c>
      <c r="C1524" s="1">
        <v>45776</v>
      </c>
      <c r="D1524" t="s">
        <v>82</v>
      </c>
      <c r="E1524" t="s">
        <v>79</v>
      </c>
      <c r="F1524" t="s">
        <v>80</v>
      </c>
      <c r="G1524" t="s">
        <v>21</v>
      </c>
      <c r="H1524" t="s">
        <v>27</v>
      </c>
      <c r="I1524">
        <v>5</v>
      </c>
      <c r="J1524">
        <v>86.5</v>
      </c>
      <c r="K1524">
        <v>12</v>
      </c>
      <c r="L1524">
        <v>224</v>
      </c>
      <c r="M1524">
        <v>188.63</v>
      </c>
      <c r="N1524" t="s">
        <v>23</v>
      </c>
      <c r="O1524">
        <v>4</v>
      </c>
      <c r="P1524">
        <v>432.5</v>
      </c>
      <c r="Q1524">
        <v>444.5</v>
      </c>
      <c r="R1524" t="s">
        <v>2054</v>
      </c>
    </row>
    <row r="1525" spans="1:18" x14ac:dyDescent="0.25">
      <c r="A1525" t="s">
        <v>1576</v>
      </c>
      <c r="B1525" s="1">
        <v>45772</v>
      </c>
      <c r="C1525" s="1">
        <v>45786</v>
      </c>
      <c r="D1525" t="s">
        <v>52</v>
      </c>
      <c r="E1525" t="s">
        <v>30</v>
      </c>
      <c r="F1525" t="s">
        <v>31</v>
      </c>
      <c r="G1525" t="s">
        <v>35</v>
      </c>
      <c r="H1525" t="s">
        <v>40</v>
      </c>
      <c r="I1525">
        <v>5</v>
      </c>
      <c r="J1525">
        <v>74.86</v>
      </c>
      <c r="K1525">
        <v>18</v>
      </c>
      <c r="L1525">
        <v>377</v>
      </c>
      <c r="M1525">
        <v>140.72</v>
      </c>
      <c r="N1525" t="s">
        <v>47</v>
      </c>
      <c r="O1525">
        <v>14</v>
      </c>
      <c r="P1525">
        <v>374.3</v>
      </c>
      <c r="Q1525">
        <v>392.3</v>
      </c>
      <c r="R1525" t="s">
        <v>2054</v>
      </c>
    </row>
    <row r="1526" spans="1:18" x14ac:dyDescent="0.25">
      <c r="A1526" t="s">
        <v>1577</v>
      </c>
      <c r="B1526" s="1">
        <v>45773</v>
      </c>
      <c r="C1526" s="1">
        <v>45778</v>
      </c>
      <c r="D1526" t="s">
        <v>29</v>
      </c>
      <c r="E1526" t="s">
        <v>30</v>
      </c>
      <c r="F1526" t="s">
        <v>31</v>
      </c>
      <c r="G1526" t="s">
        <v>21</v>
      </c>
      <c r="H1526" t="s">
        <v>32</v>
      </c>
      <c r="I1526">
        <v>3</v>
      </c>
      <c r="J1526">
        <v>120.9</v>
      </c>
      <c r="K1526">
        <v>12</v>
      </c>
      <c r="L1526">
        <v>141</v>
      </c>
      <c r="M1526">
        <v>139.08000000000001</v>
      </c>
      <c r="N1526" t="s">
        <v>23</v>
      </c>
      <c r="O1526">
        <v>5</v>
      </c>
      <c r="P1526">
        <v>362.70000000000005</v>
      </c>
      <c r="Q1526">
        <v>374.70000000000005</v>
      </c>
      <c r="R1526" t="s">
        <v>2054</v>
      </c>
    </row>
    <row r="1527" spans="1:18" x14ac:dyDescent="0.25">
      <c r="A1527" t="s">
        <v>1578</v>
      </c>
      <c r="B1527" s="1">
        <v>45774</v>
      </c>
      <c r="C1527" s="1">
        <v>45776</v>
      </c>
      <c r="D1527" t="s">
        <v>56</v>
      </c>
      <c r="E1527" t="s">
        <v>38</v>
      </c>
      <c r="F1527" t="s">
        <v>39</v>
      </c>
      <c r="G1527" t="s">
        <v>21</v>
      </c>
      <c r="H1527" t="s">
        <v>32</v>
      </c>
      <c r="I1527">
        <v>2</v>
      </c>
      <c r="J1527">
        <v>391.57</v>
      </c>
      <c r="K1527">
        <v>75</v>
      </c>
      <c r="L1527">
        <v>373</v>
      </c>
      <c r="M1527">
        <v>119.13</v>
      </c>
      <c r="N1527" t="s">
        <v>23</v>
      </c>
      <c r="O1527">
        <v>2</v>
      </c>
      <c r="P1527">
        <v>783.14</v>
      </c>
      <c r="Q1527">
        <v>858.14</v>
      </c>
      <c r="R1527" t="s">
        <v>2054</v>
      </c>
    </row>
    <row r="1528" spans="1:18" x14ac:dyDescent="0.25">
      <c r="A1528" t="s">
        <v>1579</v>
      </c>
      <c r="B1528" s="1">
        <v>45775</v>
      </c>
      <c r="C1528" s="1">
        <v>45778</v>
      </c>
      <c r="D1528" t="s">
        <v>52</v>
      </c>
      <c r="E1528" t="s">
        <v>30</v>
      </c>
      <c r="F1528" t="s">
        <v>31</v>
      </c>
      <c r="G1528" t="s">
        <v>35</v>
      </c>
      <c r="H1528" t="s">
        <v>40</v>
      </c>
      <c r="I1528">
        <v>5</v>
      </c>
      <c r="J1528">
        <v>63.2</v>
      </c>
      <c r="K1528">
        <v>18</v>
      </c>
      <c r="L1528">
        <v>177</v>
      </c>
      <c r="M1528">
        <v>117.41</v>
      </c>
      <c r="N1528" t="s">
        <v>23</v>
      </c>
      <c r="O1528">
        <v>3</v>
      </c>
      <c r="P1528">
        <v>316</v>
      </c>
      <c r="Q1528">
        <v>334</v>
      </c>
      <c r="R1528" t="s">
        <v>2054</v>
      </c>
    </row>
    <row r="1529" spans="1:18" x14ac:dyDescent="0.25">
      <c r="A1529" t="s">
        <v>1580</v>
      </c>
      <c r="B1529" s="1">
        <v>45775</v>
      </c>
      <c r="C1529" s="1">
        <v>45787</v>
      </c>
      <c r="D1529" t="s">
        <v>58</v>
      </c>
      <c r="E1529" t="s">
        <v>19</v>
      </c>
      <c r="F1529" t="s">
        <v>20</v>
      </c>
      <c r="G1529" t="s">
        <v>35</v>
      </c>
      <c r="H1529" t="s">
        <v>40</v>
      </c>
      <c r="I1529">
        <v>13</v>
      </c>
      <c r="J1529">
        <v>32.42</v>
      </c>
      <c r="K1529">
        <v>12</v>
      </c>
      <c r="L1529">
        <v>318</v>
      </c>
      <c r="M1529">
        <v>27.72</v>
      </c>
      <c r="N1529" t="s">
        <v>47</v>
      </c>
      <c r="O1529">
        <v>12</v>
      </c>
      <c r="P1529">
        <v>421.46000000000004</v>
      </c>
      <c r="Q1529">
        <v>433.46000000000004</v>
      </c>
      <c r="R1529" t="s">
        <v>2054</v>
      </c>
    </row>
    <row r="1530" spans="1:18" x14ac:dyDescent="0.25">
      <c r="A1530" t="s">
        <v>1581</v>
      </c>
      <c r="B1530" s="1">
        <v>45775</v>
      </c>
      <c r="C1530" s="1">
        <v>45780</v>
      </c>
      <c r="D1530" t="s">
        <v>118</v>
      </c>
      <c r="E1530" t="s">
        <v>79</v>
      </c>
      <c r="F1530" t="s">
        <v>80</v>
      </c>
      <c r="G1530" t="s">
        <v>35</v>
      </c>
      <c r="H1530" t="s">
        <v>27</v>
      </c>
      <c r="I1530">
        <v>4</v>
      </c>
      <c r="J1530">
        <v>108.79</v>
      </c>
      <c r="K1530">
        <v>12</v>
      </c>
      <c r="L1530">
        <v>35</v>
      </c>
      <c r="M1530">
        <v>189.81</v>
      </c>
      <c r="N1530" t="s">
        <v>23</v>
      </c>
      <c r="O1530">
        <v>5</v>
      </c>
      <c r="P1530">
        <v>435.16</v>
      </c>
      <c r="Q1530">
        <v>447.16</v>
      </c>
      <c r="R1530" t="s">
        <v>2055</v>
      </c>
    </row>
    <row r="1531" spans="1:18" x14ac:dyDescent="0.25">
      <c r="A1531" t="s">
        <v>1582</v>
      </c>
      <c r="B1531" s="1">
        <v>45776</v>
      </c>
      <c r="C1531" s="1">
        <v>45779</v>
      </c>
      <c r="D1531" t="s">
        <v>52</v>
      </c>
      <c r="E1531" t="s">
        <v>30</v>
      </c>
      <c r="F1531" t="s">
        <v>31</v>
      </c>
      <c r="G1531" t="s">
        <v>26</v>
      </c>
      <c r="H1531" t="s">
        <v>27</v>
      </c>
      <c r="I1531">
        <v>1</v>
      </c>
      <c r="J1531">
        <v>93.5</v>
      </c>
      <c r="K1531">
        <v>12</v>
      </c>
      <c r="L1531">
        <v>52</v>
      </c>
      <c r="M1531">
        <v>31.4</v>
      </c>
      <c r="N1531" t="s">
        <v>23</v>
      </c>
      <c r="O1531">
        <v>3</v>
      </c>
      <c r="P1531">
        <v>93.5</v>
      </c>
      <c r="Q1531">
        <v>105.5</v>
      </c>
      <c r="R1531" t="s">
        <v>2054</v>
      </c>
    </row>
    <row r="1532" spans="1:18" x14ac:dyDescent="0.25">
      <c r="A1532" t="s">
        <v>1583</v>
      </c>
      <c r="B1532" s="1">
        <v>45777</v>
      </c>
      <c r="C1532" s="1">
        <v>45778</v>
      </c>
      <c r="D1532" t="s">
        <v>72</v>
      </c>
      <c r="E1532" t="s">
        <v>44</v>
      </c>
      <c r="F1532" t="s">
        <v>45</v>
      </c>
      <c r="G1532" t="s">
        <v>26</v>
      </c>
      <c r="H1532" t="s">
        <v>32</v>
      </c>
      <c r="I1532">
        <v>3</v>
      </c>
      <c r="J1532">
        <v>232.13</v>
      </c>
      <c r="K1532">
        <v>25</v>
      </c>
      <c r="L1532">
        <v>260</v>
      </c>
      <c r="M1532">
        <v>231.24</v>
      </c>
      <c r="N1532" t="s">
        <v>23</v>
      </c>
      <c r="O1532">
        <v>1</v>
      </c>
      <c r="P1532">
        <v>696.39</v>
      </c>
      <c r="Q1532">
        <v>721.39</v>
      </c>
      <c r="R1532" t="s">
        <v>2054</v>
      </c>
    </row>
    <row r="1533" spans="1:18" x14ac:dyDescent="0.25">
      <c r="A1533" t="s">
        <v>1584</v>
      </c>
      <c r="B1533" s="1">
        <v>45777</v>
      </c>
      <c r="C1533" s="1">
        <v>45779</v>
      </c>
      <c r="D1533" t="s">
        <v>18</v>
      </c>
      <c r="E1533" t="s">
        <v>19</v>
      </c>
      <c r="F1533" t="s">
        <v>20</v>
      </c>
      <c r="G1533" t="s">
        <v>35</v>
      </c>
      <c r="H1533" t="s">
        <v>40</v>
      </c>
      <c r="I1533">
        <v>6</v>
      </c>
      <c r="J1533">
        <v>46.99</v>
      </c>
      <c r="K1533">
        <v>12</v>
      </c>
      <c r="L1533">
        <v>258</v>
      </c>
      <c r="M1533">
        <v>16.55</v>
      </c>
      <c r="N1533" t="s">
        <v>23</v>
      </c>
      <c r="O1533">
        <v>2</v>
      </c>
      <c r="P1533">
        <v>281.94</v>
      </c>
      <c r="Q1533">
        <v>293.94</v>
      </c>
      <c r="R1533" t="s">
        <v>2054</v>
      </c>
    </row>
    <row r="1534" spans="1:18" x14ac:dyDescent="0.25">
      <c r="A1534" t="s">
        <v>1585</v>
      </c>
      <c r="B1534" s="1">
        <v>45777</v>
      </c>
      <c r="C1534" s="1">
        <v>45778</v>
      </c>
      <c r="D1534" t="s">
        <v>29</v>
      </c>
      <c r="E1534" t="s">
        <v>30</v>
      </c>
      <c r="F1534" t="s">
        <v>31</v>
      </c>
      <c r="G1534" t="s">
        <v>21</v>
      </c>
      <c r="H1534" t="s">
        <v>22</v>
      </c>
      <c r="I1534">
        <v>3</v>
      </c>
      <c r="J1534">
        <v>143.18</v>
      </c>
      <c r="K1534">
        <v>12</v>
      </c>
      <c r="L1534">
        <v>93</v>
      </c>
      <c r="M1534">
        <v>165.81</v>
      </c>
      <c r="N1534" t="s">
        <v>23</v>
      </c>
      <c r="O1534">
        <v>1</v>
      </c>
      <c r="P1534">
        <v>429.54</v>
      </c>
      <c r="Q1534">
        <v>441.54</v>
      </c>
      <c r="R1534" t="s">
        <v>2054</v>
      </c>
    </row>
    <row r="1535" spans="1:18" x14ac:dyDescent="0.25">
      <c r="A1535" t="s">
        <v>1586</v>
      </c>
      <c r="B1535" s="1">
        <v>45778</v>
      </c>
      <c r="C1535" s="1">
        <v>45780</v>
      </c>
      <c r="D1535" t="s">
        <v>18</v>
      </c>
      <c r="E1535" t="s">
        <v>19</v>
      </c>
      <c r="F1535" t="s">
        <v>20</v>
      </c>
      <c r="G1535" t="s">
        <v>26</v>
      </c>
      <c r="H1535" t="s">
        <v>22</v>
      </c>
      <c r="I1535">
        <v>7</v>
      </c>
      <c r="J1535">
        <v>45.11</v>
      </c>
      <c r="K1535">
        <v>8</v>
      </c>
      <c r="L1535">
        <v>0</v>
      </c>
      <c r="M1535">
        <v>21.26</v>
      </c>
      <c r="N1535" t="s">
        <v>23</v>
      </c>
      <c r="O1535">
        <v>2</v>
      </c>
      <c r="P1535">
        <v>315.77</v>
      </c>
      <c r="Q1535">
        <v>323.77</v>
      </c>
      <c r="R1535" t="s">
        <v>2056</v>
      </c>
    </row>
    <row r="1536" spans="1:18" x14ac:dyDescent="0.25">
      <c r="A1536" t="s">
        <v>1587</v>
      </c>
      <c r="B1536" s="1">
        <v>45779</v>
      </c>
      <c r="C1536" s="1">
        <v>45783</v>
      </c>
      <c r="D1536" t="s">
        <v>18</v>
      </c>
      <c r="E1536" t="s">
        <v>19</v>
      </c>
      <c r="F1536" t="s">
        <v>20</v>
      </c>
      <c r="G1536" t="s">
        <v>21</v>
      </c>
      <c r="H1536" t="s">
        <v>27</v>
      </c>
      <c r="I1536">
        <v>5</v>
      </c>
      <c r="J1536">
        <v>15.73</v>
      </c>
      <c r="K1536">
        <v>8</v>
      </c>
      <c r="L1536">
        <v>74</v>
      </c>
      <c r="M1536">
        <v>2.29</v>
      </c>
      <c r="N1536" t="s">
        <v>23</v>
      </c>
      <c r="O1536">
        <v>4</v>
      </c>
      <c r="P1536">
        <v>78.650000000000006</v>
      </c>
      <c r="Q1536">
        <v>86.65</v>
      </c>
      <c r="R1536" t="s">
        <v>2054</v>
      </c>
    </row>
    <row r="1537" spans="1:18" x14ac:dyDescent="0.25">
      <c r="A1537" t="s">
        <v>1588</v>
      </c>
      <c r="B1537" s="1">
        <v>45779</v>
      </c>
      <c r="C1537" s="1">
        <v>45780</v>
      </c>
      <c r="D1537" t="s">
        <v>25</v>
      </c>
      <c r="E1537" t="s">
        <v>19</v>
      </c>
      <c r="F1537" t="s">
        <v>20</v>
      </c>
      <c r="G1537" t="s">
        <v>21</v>
      </c>
      <c r="H1537" t="s">
        <v>40</v>
      </c>
      <c r="I1537">
        <v>7</v>
      </c>
      <c r="J1537">
        <v>11.27</v>
      </c>
      <c r="K1537">
        <v>12</v>
      </c>
      <c r="L1537">
        <v>9</v>
      </c>
      <c r="M1537">
        <v>0.31</v>
      </c>
      <c r="N1537" t="s">
        <v>23</v>
      </c>
      <c r="O1537">
        <v>1</v>
      </c>
      <c r="P1537">
        <v>78.89</v>
      </c>
      <c r="Q1537">
        <v>90.89</v>
      </c>
      <c r="R1537" t="s">
        <v>2056</v>
      </c>
    </row>
    <row r="1538" spans="1:18" x14ac:dyDescent="0.25">
      <c r="A1538" t="s">
        <v>1589</v>
      </c>
      <c r="B1538" s="1">
        <v>45780</v>
      </c>
      <c r="C1538" s="1">
        <v>45782</v>
      </c>
      <c r="D1538" t="s">
        <v>75</v>
      </c>
      <c r="E1538" t="s">
        <v>44</v>
      </c>
      <c r="F1538" t="s">
        <v>45</v>
      </c>
      <c r="G1538" t="s">
        <v>21</v>
      </c>
      <c r="H1538" t="s">
        <v>22</v>
      </c>
      <c r="I1538">
        <v>2</v>
      </c>
      <c r="J1538">
        <v>393.01</v>
      </c>
      <c r="K1538">
        <v>25</v>
      </c>
      <c r="L1538">
        <v>52</v>
      </c>
      <c r="M1538">
        <v>262.61</v>
      </c>
      <c r="N1538" t="s">
        <v>23</v>
      </c>
      <c r="O1538">
        <v>2</v>
      </c>
      <c r="P1538">
        <v>786.02</v>
      </c>
      <c r="Q1538">
        <v>811.02</v>
      </c>
      <c r="R1538" t="s">
        <v>2054</v>
      </c>
    </row>
    <row r="1539" spans="1:18" x14ac:dyDescent="0.25">
      <c r="A1539" t="s">
        <v>1590</v>
      </c>
      <c r="B1539" s="1">
        <v>45780</v>
      </c>
      <c r="C1539" s="1">
        <v>45784</v>
      </c>
      <c r="D1539" t="s">
        <v>52</v>
      </c>
      <c r="E1539" t="s">
        <v>30</v>
      </c>
      <c r="F1539" t="s">
        <v>31</v>
      </c>
      <c r="G1539" t="s">
        <v>26</v>
      </c>
      <c r="H1539" t="s">
        <v>22</v>
      </c>
      <c r="I1539">
        <v>4</v>
      </c>
      <c r="J1539">
        <v>30.05</v>
      </c>
      <c r="K1539">
        <v>12</v>
      </c>
      <c r="L1539">
        <v>157</v>
      </c>
      <c r="M1539">
        <v>-18.03</v>
      </c>
      <c r="N1539" t="s">
        <v>23</v>
      </c>
      <c r="O1539">
        <v>4</v>
      </c>
      <c r="P1539">
        <v>120.2</v>
      </c>
      <c r="Q1539">
        <v>132.19999999999999</v>
      </c>
      <c r="R1539" t="s">
        <v>2054</v>
      </c>
    </row>
    <row r="1540" spans="1:18" x14ac:dyDescent="0.25">
      <c r="A1540" t="s">
        <v>1591</v>
      </c>
      <c r="B1540" s="1">
        <v>45780</v>
      </c>
      <c r="C1540" s="1">
        <v>45784</v>
      </c>
      <c r="D1540" t="s">
        <v>75</v>
      </c>
      <c r="E1540" t="s">
        <v>44</v>
      </c>
      <c r="F1540" t="s">
        <v>45</v>
      </c>
      <c r="G1540" t="s">
        <v>21</v>
      </c>
      <c r="H1540" t="s">
        <v>32</v>
      </c>
      <c r="I1540">
        <v>1</v>
      </c>
      <c r="J1540">
        <v>1082.93</v>
      </c>
      <c r="K1540">
        <v>25</v>
      </c>
      <c r="L1540">
        <v>387</v>
      </c>
      <c r="M1540">
        <v>366.53</v>
      </c>
      <c r="N1540" t="s">
        <v>23</v>
      </c>
      <c r="O1540">
        <v>4</v>
      </c>
      <c r="P1540">
        <v>1082.93</v>
      </c>
      <c r="Q1540">
        <v>1107.93</v>
      </c>
      <c r="R1540" t="s">
        <v>2054</v>
      </c>
    </row>
    <row r="1541" spans="1:18" x14ac:dyDescent="0.25">
      <c r="A1541" t="s">
        <v>1592</v>
      </c>
      <c r="B1541" s="1">
        <v>45781</v>
      </c>
      <c r="C1541" s="1">
        <v>45783</v>
      </c>
      <c r="D1541" t="s">
        <v>50</v>
      </c>
      <c r="E1541" t="s">
        <v>44</v>
      </c>
      <c r="F1541" t="s">
        <v>45</v>
      </c>
      <c r="G1541" t="s">
        <v>35</v>
      </c>
      <c r="H1541" t="s">
        <v>27</v>
      </c>
      <c r="I1541">
        <v>2</v>
      </c>
      <c r="J1541">
        <v>795.37</v>
      </c>
      <c r="K1541">
        <v>25</v>
      </c>
      <c r="L1541">
        <v>54</v>
      </c>
      <c r="M1541">
        <v>544.26</v>
      </c>
      <c r="N1541" t="s">
        <v>23</v>
      </c>
      <c r="O1541">
        <v>2</v>
      </c>
      <c r="P1541">
        <v>1590.74</v>
      </c>
      <c r="Q1541">
        <v>1615.74</v>
      </c>
      <c r="R1541" t="s">
        <v>2054</v>
      </c>
    </row>
    <row r="1542" spans="1:18" x14ac:dyDescent="0.25">
      <c r="A1542" t="s">
        <v>1593</v>
      </c>
      <c r="B1542" s="1">
        <v>45782</v>
      </c>
      <c r="C1542" s="1">
        <v>45783</v>
      </c>
      <c r="D1542" t="s">
        <v>52</v>
      </c>
      <c r="E1542" t="s">
        <v>30</v>
      </c>
      <c r="F1542" t="s">
        <v>31</v>
      </c>
      <c r="G1542" t="s">
        <v>21</v>
      </c>
      <c r="H1542" t="s">
        <v>22</v>
      </c>
      <c r="I1542">
        <v>3</v>
      </c>
      <c r="J1542">
        <v>23.47</v>
      </c>
      <c r="K1542">
        <v>12</v>
      </c>
      <c r="L1542">
        <v>320</v>
      </c>
      <c r="M1542">
        <v>22.16</v>
      </c>
      <c r="N1542" t="s">
        <v>23</v>
      </c>
      <c r="O1542">
        <v>1</v>
      </c>
      <c r="P1542">
        <v>70.41</v>
      </c>
      <c r="Q1542">
        <v>82.41</v>
      </c>
      <c r="R1542" t="s">
        <v>2054</v>
      </c>
    </row>
    <row r="1543" spans="1:18" x14ac:dyDescent="0.25">
      <c r="A1543" t="s">
        <v>1594</v>
      </c>
      <c r="B1543" s="1">
        <v>45782</v>
      </c>
      <c r="C1543" s="1">
        <v>45784</v>
      </c>
      <c r="D1543" t="s">
        <v>50</v>
      </c>
      <c r="E1543" t="s">
        <v>44</v>
      </c>
      <c r="F1543" t="s">
        <v>45</v>
      </c>
      <c r="G1543" t="s">
        <v>35</v>
      </c>
      <c r="H1543" t="s">
        <v>32</v>
      </c>
      <c r="I1543">
        <v>3</v>
      </c>
      <c r="J1543">
        <v>726.18</v>
      </c>
      <c r="K1543">
        <v>25</v>
      </c>
      <c r="L1543">
        <v>158</v>
      </c>
      <c r="M1543">
        <v>749.99</v>
      </c>
      <c r="N1543" t="s">
        <v>23</v>
      </c>
      <c r="O1543">
        <v>2</v>
      </c>
      <c r="P1543">
        <v>2178.54</v>
      </c>
      <c r="Q1543">
        <v>2203.54</v>
      </c>
      <c r="R1543" t="s">
        <v>2054</v>
      </c>
    </row>
    <row r="1544" spans="1:18" x14ac:dyDescent="0.25">
      <c r="A1544" t="s">
        <v>1595</v>
      </c>
      <c r="B1544" s="1">
        <v>45783</v>
      </c>
      <c r="C1544" s="1">
        <v>45788</v>
      </c>
      <c r="D1544" t="s">
        <v>34</v>
      </c>
      <c r="E1544" t="s">
        <v>30</v>
      </c>
      <c r="F1544" t="s">
        <v>31</v>
      </c>
      <c r="G1544" t="s">
        <v>21</v>
      </c>
      <c r="H1544" t="s">
        <v>40</v>
      </c>
      <c r="I1544">
        <v>2</v>
      </c>
      <c r="J1544">
        <v>107.18</v>
      </c>
      <c r="K1544">
        <v>18</v>
      </c>
      <c r="L1544">
        <v>284</v>
      </c>
      <c r="M1544">
        <v>76.739999999999995</v>
      </c>
      <c r="N1544" t="s">
        <v>23</v>
      </c>
      <c r="O1544">
        <v>5</v>
      </c>
      <c r="P1544">
        <v>214.36</v>
      </c>
      <c r="Q1544">
        <v>232.36</v>
      </c>
      <c r="R1544" t="s">
        <v>2054</v>
      </c>
    </row>
    <row r="1545" spans="1:18" x14ac:dyDescent="0.25">
      <c r="A1545" t="s">
        <v>1596</v>
      </c>
      <c r="B1545" s="1">
        <v>45783</v>
      </c>
      <c r="C1545" s="1">
        <v>45790</v>
      </c>
      <c r="D1545" t="s">
        <v>34</v>
      </c>
      <c r="E1545" t="s">
        <v>30</v>
      </c>
      <c r="F1545" t="s">
        <v>31</v>
      </c>
      <c r="G1545" t="s">
        <v>35</v>
      </c>
      <c r="H1545" t="s">
        <v>40</v>
      </c>
      <c r="I1545">
        <v>1</v>
      </c>
      <c r="J1545">
        <v>66</v>
      </c>
      <c r="K1545">
        <v>18</v>
      </c>
      <c r="L1545">
        <v>381</v>
      </c>
      <c r="M1545">
        <v>17.399999999999999</v>
      </c>
      <c r="N1545" t="s">
        <v>63</v>
      </c>
      <c r="O1545">
        <v>7</v>
      </c>
      <c r="P1545">
        <v>66</v>
      </c>
      <c r="Q1545">
        <v>84</v>
      </c>
      <c r="R1545" t="s">
        <v>2054</v>
      </c>
    </row>
    <row r="1546" spans="1:18" x14ac:dyDescent="0.25">
      <c r="A1546" t="s">
        <v>1597</v>
      </c>
      <c r="B1546" s="1">
        <v>45785</v>
      </c>
      <c r="C1546" s="1">
        <v>45790</v>
      </c>
      <c r="D1546" t="s">
        <v>54</v>
      </c>
      <c r="E1546" t="s">
        <v>38</v>
      </c>
      <c r="F1546" t="s">
        <v>39</v>
      </c>
      <c r="G1546" t="s">
        <v>21</v>
      </c>
      <c r="H1546" t="s">
        <v>40</v>
      </c>
      <c r="I1546">
        <v>1</v>
      </c>
      <c r="J1546">
        <v>486.56</v>
      </c>
      <c r="K1546">
        <v>112.5</v>
      </c>
      <c r="L1546">
        <v>96</v>
      </c>
      <c r="M1546">
        <v>41.06</v>
      </c>
      <c r="N1546" t="s">
        <v>23</v>
      </c>
      <c r="O1546">
        <v>5</v>
      </c>
      <c r="P1546">
        <v>486.56</v>
      </c>
      <c r="Q1546">
        <v>599.05999999999995</v>
      </c>
      <c r="R1546" t="s">
        <v>2054</v>
      </c>
    </row>
    <row r="1547" spans="1:18" x14ac:dyDescent="0.25">
      <c r="A1547" t="s">
        <v>1598</v>
      </c>
      <c r="B1547" s="1">
        <v>45785</v>
      </c>
      <c r="C1547" s="1">
        <v>45786</v>
      </c>
      <c r="D1547" t="s">
        <v>34</v>
      </c>
      <c r="E1547" t="s">
        <v>30</v>
      </c>
      <c r="F1547" t="s">
        <v>31</v>
      </c>
      <c r="G1547" t="s">
        <v>21</v>
      </c>
      <c r="H1547" t="s">
        <v>40</v>
      </c>
      <c r="I1547">
        <v>4</v>
      </c>
      <c r="J1547">
        <v>112.39</v>
      </c>
      <c r="K1547">
        <v>18</v>
      </c>
      <c r="L1547">
        <v>353</v>
      </c>
      <c r="M1547">
        <v>170.82</v>
      </c>
      <c r="N1547" t="s">
        <v>23</v>
      </c>
      <c r="O1547">
        <v>1</v>
      </c>
      <c r="P1547">
        <v>449.56</v>
      </c>
      <c r="Q1547">
        <v>467.56</v>
      </c>
      <c r="R1547" t="s">
        <v>2054</v>
      </c>
    </row>
    <row r="1548" spans="1:18" x14ac:dyDescent="0.25">
      <c r="A1548" t="s">
        <v>1599</v>
      </c>
      <c r="B1548" s="1">
        <v>45785</v>
      </c>
      <c r="C1548" s="1">
        <v>45786</v>
      </c>
      <c r="D1548" t="s">
        <v>75</v>
      </c>
      <c r="E1548" t="s">
        <v>44</v>
      </c>
      <c r="F1548" t="s">
        <v>45</v>
      </c>
      <c r="G1548" t="s">
        <v>21</v>
      </c>
      <c r="H1548" t="s">
        <v>27</v>
      </c>
      <c r="I1548">
        <v>3</v>
      </c>
      <c r="J1548">
        <v>235.19</v>
      </c>
      <c r="K1548">
        <v>25</v>
      </c>
      <c r="L1548">
        <v>56</v>
      </c>
      <c r="M1548">
        <v>234.45</v>
      </c>
      <c r="N1548" t="s">
        <v>23</v>
      </c>
      <c r="O1548">
        <v>1</v>
      </c>
      <c r="P1548">
        <v>705.56999999999994</v>
      </c>
      <c r="Q1548">
        <v>730.56999999999994</v>
      </c>
      <c r="R1548" t="s">
        <v>2054</v>
      </c>
    </row>
    <row r="1549" spans="1:18" x14ac:dyDescent="0.25">
      <c r="A1549" t="s">
        <v>1600</v>
      </c>
      <c r="B1549" s="1">
        <v>45786</v>
      </c>
      <c r="C1549" s="1">
        <v>45791</v>
      </c>
      <c r="D1549" t="s">
        <v>78</v>
      </c>
      <c r="E1549" t="s">
        <v>79</v>
      </c>
      <c r="F1549" t="s">
        <v>80</v>
      </c>
      <c r="G1549" t="s">
        <v>35</v>
      </c>
      <c r="H1549" t="s">
        <v>32</v>
      </c>
      <c r="I1549">
        <v>1</v>
      </c>
      <c r="J1549">
        <v>85.51</v>
      </c>
      <c r="K1549">
        <v>12</v>
      </c>
      <c r="L1549">
        <v>202</v>
      </c>
      <c r="M1549">
        <v>32.479999999999997</v>
      </c>
      <c r="N1549" t="s">
        <v>23</v>
      </c>
      <c r="O1549">
        <v>5</v>
      </c>
      <c r="P1549">
        <v>85.51</v>
      </c>
      <c r="Q1549">
        <v>97.51</v>
      </c>
      <c r="R1549" t="s">
        <v>2054</v>
      </c>
    </row>
    <row r="1550" spans="1:18" x14ac:dyDescent="0.25">
      <c r="A1550" t="s">
        <v>1601</v>
      </c>
      <c r="B1550" s="1">
        <v>45787</v>
      </c>
      <c r="C1550" s="1">
        <v>45790</v>
      </c>
      <c r="D1550" t="s">
        <v>25</v>
      </c>
      <c r="E1550" t="s">
        <v>19</v>
      </c>
      <c r="F1550" t="s">
        <v>20</v>
      </c>
      <c r="G1550" t="s">
        <v>35</v>
      </c>
      <c r="H1550" t="s">
        <v>40</v>
      </c>
      <c r="I1550">
        <v>7</v>
      </c>
      <c r="J1550">
        <v>15.03</v>
      </c>
      <c r="K1550">
        <v>12</v>
      </c>
      <c r="L1550">
        <v>3</v>
      </c>
      <c r="M1550">
        <v>2.42</v>
      </c>
      <c r="N1550" t="s">
        <v>23</v>
      </c>
      <c r="O1550">
        <v>3</v>
      </c>
      <c r="P1550">
        <v>105.21</v>
      </c>
      <c r="Q1550">
        <v>117.21</v>
      </c>
      <c r="R1550" t="s">
        <v>2056</v>
      </c>
    </row>
    <row r="1551" spans="1:18" x14ac:dyDescent="0.25">
      <c r="A1551" t="s">
        <v>1602</v>
      </c>
      <c r="B1551" s="1">
        <v>45787</v>
      </c>
      <c r="C1551" s="1">
        <v>45791</v>
      </c>
      <c r="D1551" t="s">
        <v>58</v>
      </c>
      <c r="E1551" t="s">
        <v>19</v>
      </c>
      <c r="F1551" t="s">
        <v>20</v>
      </c>
      <c r="G1551" t="s">
        <v>35</v>
      </c>
      <c r="H1551" t="s">
        <v>40</v>
      </c>
      <c r="I1551">
        <v>11</v>
      </c>
      <c r="J1551">
        <v>22.21</v>
      </c>
      <c r="K1551">
        <v>12</v>
      </c>
      <c r="L1551">
        <v>4</v>
      </c>
      <c r="M1551">
        <v>13.54</v>
      </c>
      <c r="N1551" t="s">
        <v>23</v>
      </c>
      <c r="O1551">
        <v>4</v>
      </c>
      <c r="P1551">
        <v>244.31</v>
      </c>
      <c r="Q1551">
        <v>256.31</v>
      </c>
      <c r="R1551" t="s">
        <v>2056</v>
      </c>
    </row>
    <row r="1552" spans="1:18" x14ac:dyDescent="0.25">
      <c r="A1552" t="s">
        <v>1603</v>
      </c>
      <c r="B1552" s="1">
        <v>45788</v>
      </c>
      <c r="C1552" s="1">
        <v>45793</v>
      </c>
      <c r="D1552" t="s">
        <v>43</v>
      </c>
      <c r="E1552" t="s">
        <v>44</v>
      </c>
      <c r="F1552" t="s">
        <v>45</v>
      </c>
      <c r="G1552" t="s">
        <v>35</v>
      </c>
      <c r="H1552" t="s">
        <v>40</v>
      </c>
      <c r="I1552">
        <v>2</v>
      </c>
      <c r="J1552">
        <v>210.57</v>
      </c>
      <c r="K1552">
        <v>37.5</v>
      </c>
      <c r="L1552">
        <v>274</v>
      </c>
      <c r="M1552">
        <v>128.65</v>
      </c>
      <c r="N1552" t="s">
        <v>23</v>
      </c>
      <c r="O1552">
        <v>5</v>
      </c>
      <c r="P1552">
        <v>421.14</v>
      </c>
      <c r="Q1552">
        <v>458.64</v>
      </c>
      <c r="R1552" t="s">
        <v>2054</v>
      </c>
    </row>
    <row r="1553" spans="1:18" x14ac:dyDescent="0.25">
      <c r="A1553" t="s">
        <v>1604</v>
      </c>
      <c r="B1553" s="1">
        <v>45788</v>
      </c>
      <c r="C1553" s="1">
        <v>45792</v>
      </c>
      <c r="D1553" t="s">
        <v>25</v>
      </c>
      <c r="E1553" t="s">
        <v>19</v>
      </c>
      <c r="F1553" t="s">
        <v>20</v>
      </c>
      <c r="G1553" t="s">
        <v>35</v>
      </c>
      <c r="H1553" t="s">
        <v>40</v>
      </c>
      <c r="I1553">
        <v>13</v>
      </c>
      <c r="J1553">
        <v>22.91</v>
      </c>
      <c r="K1553">
        <v>12</v>
      </c>
      <c r="L1553">
        <v>320</v>
      </c>
      <c r="M1553">
        <v>17.82</v>
      </c>
      <c r="N1553" t="s">
        <v>23</v>
      </c>
      <c r="O1553">
        <v>4</v>
      </c>
      <c r="P1553">
        <v>297.83</v>
      </c>
      <c r="Q1553">
        <v>309.83</v>
      </c>
      <c r="R1553" t="s">
        <v>2054</v>
      </c>
    </row>
    <row r="1554" spans="1:18" x14ac:dyDescent="0.25">
      <c r="A1554" t="s">
        <v>1605</v>
      </c>
      <c r="B1554" s="1">
        <v>45790</v>
      </c>
      <c r="C1554" s="1">
        <v>45791</v>
      </c>
      <c r="D1554" t="s">
        <v>50</v>
      </c>
      <c r="E1554" t="s">
        <v>44</v>
      </c>
      <c r="F1554" t="s">
        <v>45</v>
      </c>
      <c r="G1554" t="s">
        <v>35</v>
      </c>
      <c r="H1554" t="s">
        <v>40</v>
      </c>
      <c r="I1554">
        <v>3</v>
      </c>
      <c r="J1554">
        <v>391.98</v>
      </c>
      <c r="K1554">
        <v>37.5</v>
      </c>
      <c r="L1554">
        <v>380</v>
      </c>
      <c r="M1554">
        <v>392.83</v>
      </c>
      <c r="N1554" t="s">
        <v>23</v>
      </c>
      <c r="O1554">
        <v>1</v>
      </c>
      <c r="P1554">
        <v>1175.94</v>
      </c>
      <c r="Q1554">
        <v>1213.44</v>
      </c>
      <c r="R1554" t="s">
        <v>2054</v>
      </c>
    </row>
    <row r="1555" spans="1:18" x14ac:dyDescent="0.25">
      <c r="A1555" t="s">
        <v>1606</v>
      </c>
      <c r="B1555" s="1">
        <v>45790</v>
      </c>
      <c r="C1555" s="1">
        <v>45795</v>
      </c>
      <c r="D1555" t="s">
        <v>50</v>
      </c>
      <c r="E1555" t="s">
        <v>44</v>
      </c>
      <c r="F1555" t="s">
        <v>45</v>
      </c>
      <c r="G1555" t="s">
        <v>21</v>
      </c>
      <c r="H1555" t="s">
        <v>22</v>
      </c>
      <c r="I1555">
        <v>3</v>
      </c>
      <c r="J1555">
        <v>735.51</v>
      </c>
      <c r="K1555">
        <v>25</v>
      </c>
      <c r="L1555">
        <v>173</v>
      </c>
      <c r="M1555">
        <v>759.79</v>
      </c>
      <c r="N1555" t="s">
        <v>23</v>
      </c>
      <c r="O1555">
        <v>5</v>
      </c>
      <c r="P1555">
        <v>2206.5299999999997</v>
      </c>
      <c r="Q1555">
        <v>2231.5299999999997</v>
      </c>
      <c r="R1555" t="s">
        <v>2054</v>
      </c>
    </row>
    <row r="1556" spans="1:18" x14ac:dyDescent="0.25">
      <c r="A1556" t="s">
        <v>1607</v>
      </c>
      <c r="B1556" s="1">
        <v>45791</v>
      </c>
      <c r="C1556" s="1">
        <v>45792</v>
      </c>
      <c r="D1556" t="s">
        <v>58</v>
      </c>
      <c r="E1556" t="s">
        <v>19</v>
      </c>
      <c r="F1556" t="s">
        <v>20</v>
      </c>
      <c r="G1556" t="s">
        <v>35</v>
      </c>
      <c r="H1556" t="s">
        <v>40</v>
      </c>
      <c r="I1556">
        <v>14</v>
      </c>
      <c r="J1556">
        <v>19.62</v>
      </c>
      <c r="K1556">
        <v>12</v>
      </c>
      <c r="L1556">
        <v>220</v>
      </c>
      <c r="M1556">
        <v>15.97</v>
      </c>
      <c r="N1556" t="s">
        <v>23</v>
      </c>
      <c r="O1556">
        <v>1</v>
      </c>
      <c r="P1556">
        <v>274.68</v>
      </c>
      <c r="Q1556">
        <v>286.68</v>
      </c>
      <c r="R1556" t="s">
        <v>2054</v>
      </c>
    </row>
    <row r="1557" spans="1:18" x14ac:dyDescent="0.25">
      <c r="A1557" t="s">
        <v>1608</v>
      </c>
      <c r="B1557" s="1">
        <v>45792</v>
      </c>
      <c r="C1557" s="1">
        <v>45806</v>
      </c>
      <c r="D1557" t="s">
        <v>43</v>
      </c>
      <c r="E1557" t="s">
        <v>44</v>
      </c>
      <c r="F1557" t="s">
        <v>45</v>
      </c>
      <c r="G1557" t="s">
        <v>35</v>
      </c>
      <c r="H1557" t="s">
        <v>40</v>
      </c>
      <c r="I1557">
        <v>3</v>
      </c>
      <c r="J1557">
        <v>213.82</v>
      </c>
      <c r="K1557">
        <v>37.5</v>
      </c>
      <c r="L1557">
        <v>62</v>
      </c>
      <c r="M1557">
        <v>205.76</v>
      </c>
      <c r="N1557" t="s">
        <v>47</v>
      </c>
      <c r="O1557">
        <v>14</v>
      </c>
      <c r="P1557">
        <v>641.46</v>
      </c>
      <c r="Q1557">
        <v>678.96</v>
      </c>
      <c r="R1557" t="s">
        <v>2054</v>
      </c>
    </row>
    <row r="1558" spans="1:18" x14ac:dyDescent="0.25">
      <c r="A1558" t="s">
        <v>1609</v>
      </c>
      <c r="B1558" s="1">
        <v>45792</v>
      </c>
      <c r="C1558" s="1">
        <v>45797</v>
      </c>
      <c r="D1558" t="s">
        <v>75</v>
      </c>
      <c r="E1558" t="s">
        <v>44</v>
      </c>
      <c r="F1558" t="s">
        <v>45</v>
      </c>
      <c r="G1558" t="s">
        <v>35</v>
      </c>
      <c r="H1558" t="s">
        <v>22</v>
      </c>
      <c r="I1558">
        <v>3</v>
      </c>
      <c r="J1558">
        <v>777.66</v>
      </c>
      <c r="K1558">
        <v>25</v>
      </c>
      <c r="L1558">
        <v>72</v>
      </c>
      <c r="M1558">
        <v>804.04</v>
      </c>
      <c r="N1558" t="s">
        <v>23</v>
      </c>
      <c r="O1558">
        <v>5</v>
      </c>
      <c r="P1558">
        <v>2332.98</v>
      </c>
      <c r="Q1558">
        <v>2357.98</v>
      </c>
      <c r="R1558" t="s">
        <v>2054</v>
      </c>
    </row>
    <row r="1559" spans="1:18" x14ac:dyDescent="0.25">
      <c r="A1559" t="s">
        <v>1610</v>
      </c>
      <c r="B1559" s="1">
        <v>45792</v>
      </c>
      <c r="C1559" s="1">
        <v>45796</v>
      </c>
      <c r="D1559" t="s">
        <v>25</v>
      </c>
      <c r="E1559" t="s">
        <v>19</v>
      </c>
      <c r="F1559" t="s">
        <v>20</v>
      </c>
      <c r="G1559" t="s">
        <v>26</v>
      </c>
      <c r="H1559" t="s">
        <v>32</v>
      </c>
      <c r="I1559">
        <v>9</v>
      </c>
      <c r="J1559">
        <v>26.91</v>
      </c>
      <c r="K1559">
        <v>8</v>
      </c>
      <c r="L1559">
        <v>126</v>
      </c>
      <c r="M1559">
        <v>15.38</v>
      </c>
      <c r="N1559" t="s">
        <v>23</v>
      </c>
      <c r="O1559">
        <v>4</v>
      </c>
      <c r="P1559">
        <v>242.19</v>
      </c>
      <c r="Q1559">
        <v>250.19</v>
      </c>
      <c r="R1559" t="s">
        <v>2054</v>
      </c>
    </row>
    <row r="1560" spans="1:18" x14ac:dyDescent="0.25">
      <c r="A1560" t="s">
        <v>1611</v>
      </c>
      <c r="B1560" s="1">
        <v>45793</v>
      </c>
      <c r="C1560" s="1">
        <v>45796</v>
      </c>
      <c r="D1560" t="s">
        <v>75</v>
      </c>
      <c r="E1560" t="s">
        <v>44</v>
      </c>
      <c r="F1560" t="s">
        <v>45</v>
      </c>
      <c r="G1560" t="s">
        <v>26</v>
      </c>
      <c r="H1560" t="s">
        <v>22</v>
      </c>
      <c r="I1560">
        <v>1</v>
      </c>
      <c r="J1560">
        <v>957.85</v>
      </c>
      <c r="K1560">
        <v>25</v>
      </c>
      <c r="L1560">
        <v>373</v>
      </c>
      <c r="M1560">
        <v>322.75</v>
      </c>
      <c r="N1560" t="s">
        <v>23</v>
      </c>
      <c r="O1560">
        <v>3</v>
      </c>
      <c r="P1560">
        <v>957.85</v>
      </c>
      <c r="Q1560">
        <v>982.85</v>
      </c>
      <c r="R1560" t="s">
        <v>2054</v>
      </c>
    </row>
    <row r="1561" spans="1:18" x14ac:dyDescent="0.25">
      <c r="A1561" t="s">
        <v>1612</v>
      </c>
      <c r="B1561" s="1">
        <v>45793</v>
      </c>
      <c r="C1561" s="1">
        <v>45798</v>
      </c>
      <c r="D1561" t="s">
        <v>37</v>
      </c>
      <c r="E1561" t="s">
        <v>38</v>
      </c>
      <c r="F1561" t="s">
        <v>39</v>
      </c>
      <c r="G1561" t="s">
        <v>35</v>
      </c>
      <c r="H1561" t="s">
        <v>32</v>
      </c>
      <c r="I1561">
        <v>1</v>
      </c>
      <c r="J1561">
        <v>151.35</v>
      </c>
      <c r="K1561">
        <v>75</v>
      </c>
      <c r="L1561">
        <v>103</v>
      </c>
      <c r="M1561">
        <v>-7.23</v>
      </c>
      <c r="N1561" t="s">
        <v>23</v>
      </c>
      <c r="O1561">
        <v>5</v>
      </c>
      <c r="P1561">
        <v>151.35</v>
      </c>
      <c r="Q1561">
        <v>226.35</v>
      </c>
      <c r="R1561" t="s">
        <v>2054</v>
      </c>
    </row>
    <row r="1562" spans="1:18" x14ac:dyDescent="0.25">
      <c r="A1562" t="s">
        <v>1613</v>
      </c>
      <c r="B1562" s="1">
        <v>45793</v>
      </c>
      <c r="C1562" s="1">
        <v>45796</v>
      </c>
      <c r="D1562" t="s">
        <v>25</v>
      </c>
      <c r="E1562" t="s">
        <v>19</v>
      </c>
      <c r="F1562" t="s">
        <v>20</v>
      </c>
      <c r="G1562" t="s">
        <v>35</v>
      </c>
      <c r="H1562" t="s">
        <v>40</v>
      </c>
      <c r="I1562">
        <v>7</v>
      </c>
      <c r="J1562">
        <v>39.53</v>
      </c>
      <c r="K1562">
        <v>12</v>
      </c>
      <c r="L1562">
        <v>233</v>
      </c>
      <c r="M1562">
        <v>16.14</v>
      </c>
      <c r="N1562" t="s">
        <v>23</v>
      </c>
      <c r="O1562">
        <v>3</v>
      </c>
      <c r="P1562">
        <v>276.71000000000004</v>
      </c>
      <c r="Q1562">
        <v>288.71000000000004</v>
      </c>
      <c r="R1562" t="s">
        <v>2054</v>
      </c>
    </row>
    <row r="1563" spans="1:18" x14ac:dyDescent="0.25">
      <c r="A1563" t="s">
        <v>1614</v>
      </c>
      <c r="B1563" s="1">
        <v>45793</v>
      </c>
      <c r="C1563" s="1">
        <v>45795</v>
      </c>
      <c r="D1563" t="s">
        <v>37</v>
      </c>
      <c r="E1563" t="s">
        <v>38</v>
      </c>
      <c r="F1563" t="s">
        <v>39</v>
      </c>
      <c r="G1563" t="s">
        <v>35</v>
      </c>
      <c r="H1563" t="s">
        <v>22</v>
      </c>
      <c r="I1563">
        <v>1</v>
      </c>
      <c r="J1563">
        <v>242.71</v>
      </c>
      <c r="K1563">
        <v>75</v>
      </c>
      <c r="L1563">
        <v>77</v>
      </c>
      <c r="M1563">
        <v>11.04</v>
      </c>
      <c r="N1563" t="s">
        <v>23</v>
      </c>
      <c r="O1563">
        <v>2</v>
      </c>
      <c r="P1563">
        <v>242.71</v>
      </c>
      <c r="Q1563">
        <v>317.71000000000004</v>
      </c>
      <c r="R1563" t="s">
        <v>2054</v>
      </c>
    </row>
    <row r="1564" spans="1:18" x14ac:dyDescent="0.25">
      <c r="A1564" t="s">
        <v>1615</v>
      </c>
      <c r="B1564" s="1">
        <v>45795</v>
      </c>
      <c r="C1564" s="1">
        <v>45796</v>
      </c>
      <c r="D1564" t="s">
        <v>118</v>
      </c>
      <c r="E1564" t="s">
        <v>79</v>
      </c>
      <c r="F1564" t="s">
        <v>80</v>
      </c>
      <c r="G1564" t="s">
        <v>35</v>
      </c>
      <c r="H1564" t="s">
        <v>22</v>
      </c>
      <c r="I1564">
        <v>1</v>
      </c>
      <c r="J1564">
        <v>116.47</v>
      </c>
      <c r="K1564">
        <v>12</v>
      </c>
      <c r="L1564">
        <v>106</v>
      </c>
      <c r="M1564">
        <v>46.41</v>
      </c>
      <c r="N1564" t="s">
        <v>23</v>
      </c>
      <c r="O1564">
        <v>1</v>
      </c>
      <c r="P1564">
        <v>116.47</v>
      </c>
      <c r="Q1564">
        <v>128.47</v>
      </c>
      <c r="R1564" t="s">
        <v>2054</v>
      </c>
    </row>
    <row r="1565" spans="1:18" x14ac:dyDescent="0.25">
      <c r="A1565" t="s">
        <v>1616</v>
      </c>
      <c r="B1565" s="1">
        <v>45795</v>
      </c>
      <c r="C1565" s="1">
        <v>45799</v>
      </c>
      <c r="D1565" t="s">
        <v>37</v>
      </c>
      <c r="E1565" t="s">
        <v>38</v>
      </c>
      <c r="F1565" t="s">
        <v>39</v>
      </c>
      <c r="G1565" t="s">
        <v>21</v>
      </c>
      <c r="H1565" t="s">
        <v>32</v>
      </c>
      <c r="I1565">
        <v>1</v>
      </c>
      <c r="J1565">
        <v>438.7</v>
      </c>
      <c r="K1565">
        <v>75</v>
      </c>
      <c r="L1565">
        <v>304</v>
      </c>
      <c r="M1565">
        <v>50.24</v>
      </c>
      <c r="N1565" t="s">
        <v>23</v>
      </c>
      <c r="O1565">
        <v>4</v>
      </c>
      <c r="P1565">
        <v>438.7</v>
      </c>
      <c r="Q1565">
        <v>513.70000000000005</v>
      </c>
      <c r="R1565" t="s">
        <v>2054</v>
      </c>
    </row>
    <row r="1566" spans="1:18" x14ac:dyDescent="0.25">
      <c r="A1566" t="s">
        <v>1617</v>
      </c>
      <c r="B1566" s="1">
        <v>45797</v>
      </c>
      <c r="C1566" s="1">
        <v>45799</v>
      </c>
      <c r="D1566" t="s">
        <v>50</v>
      </c>
      <c r="E1566" t="s">
        <v>44</v>
      </c>
      <c r="F1566" t="s">
        <v>45</v>
      </c>
      <c r="G1566" t="s">
        <v>26</v>
      </c>
      <c r="H1566" t="s">
        <v>27</v>
      </c>
      <c r="I1566">
        <v>1</v>
      </c>
      <c r="J1566">
        <v>1189.55</v>
      </c>
      <c r="K1566">
        <v>25</v>
      </c>
      <c r="L1566">
        <v>259</v>
      </c>
      <c r="M1566">
        <v>403.84</v>
      </c>
      <c r="N1566" t="s">
        <v>23</v>
      </c>
      <c r="O1566">
        <v>2</v>
      </c>
      <c r="P1566">
        <v>1189.55</v>
      </c>
      <c r="Q1566">
        <v>1214.55</v>
      </c>
      <c r="R1566" t="s">
        <v>2054</v>
      </c>
    </row>
    <row r="1567" spans="1:18" x14ac:dyDescent="0.25">
      <c r="A1567" t="s">
        <v>1618</v>
      </c>
      <c r="B1567" s="1">
        <v>45797</v>
      </c>
      <c r="C1567" s="1">
        <v>45798</v>
      </c>
      <c r="D1567" t="s">
        <v>29</v>
      </c>
      <c r="E1567" t="s">
        <v>30</v>
      </c>
      <c r="F1567" t="s">
        <v>31</v>
      </c>
      <c r="G1567" t="s">
        <v>35</v>
      </c>
      <c r="H1567" t="s">
        <v>40</v>
      </c>
      <c r="I1567">
        <v>3</v>
      </c>
      <c r="J1567">
        <v>110.83</v>
      </c>
      <c r="K1567">
        <v>18</v>
      </c>
      <c r="L1567">
        <v>151</v>
      </c>
      <c r="M1567">
        <v>124</v>
      </c>
      <c r="N1567" t="s">
        <v>23</v>
      </c>
      <c r="O1567">
        <v>1</v>
      </c>
      <c r="P1567">
        <v>332.49</v>
      </c>
      <c r="Q1567">
        <v>350.49</v>
      </c>
      <c r="R1567" t="s">
        <v>2054</v>
      </c>
    </row>
    <row r="1568" spans="1:18" x14ac:dyDescent="0.25">
      <c r="A1568" t="s">
        <v>1619</v>
      </c>
      <c r="B1568" s="1">
        <v>45798</v>
      </c>
      <c r="C1568" s="1">
        <v>45802</v>
      </c>
      <c r="D1568" t="s">
        <v>75</v>
      </c>
      <c r="E1568" t="s">
        <v>44</v>
      </c>
      <c r="F1568" t="s">
        <v>45</v>
      </c>
      <c r="G1568" t="s">
        <v>26</v>
      </c>
      <c r="H1568" t="s">
        <v>22</v>
      </c>
      <c r="I1568">
        <v>1</v>
      </c>
      <c r="J1568">
        <v>685.11</v>
      </c>
      <c r="K1568">
        <v>25</v>
      </c>
      <c r="L1568">
        <v>132</v>
      </c>
      <c r="M1568">
        <v>227.29</v>
      </c>
      <c r="N1568" t="s">
        <v>23</v>
      </c>
      <c r="O1568">
        <v>4</v>
      </c>
      <c r="P1568">
        <v>685.11</v>
      </c>
      <c r="Q1568">
        <v>710.11</v>
      </c>
      <c r="R1568" t="s">
        <v>2054</v>
      </c>
    </row>
    <row r="1569" spans="1:18" x14ac:dyDescent="0.25">
      <c r="A1569" t="s">
        <v>1620</v>
      </c>
      <c r="B1569" s="1">
        <v>45798</v>
      </c>
      <c r="C1569" s="1">
        <v>45800</v>
      </c>
      <c r="D1569" t="s">
        <v>78</v>
      </c>
      <c r="E1569" t="s">
        <v>79</v>
      </c>
      <c r="F1569" t="s">
        <v>80</v>
      </c>
      <c r="G1569" t="s">
        <v>35</v>
      </c>
      <c r="H1569" t="s">
        <v>40</v>
      </c>
      <c r="I1569">
        <v>4</v>
      </c>
      <c r="J1569">
        <v>91.04</v>
      </c>
      <c r="K1569">
        <v>18</v>
      </c>
      <c r="L1569">
        <v>210</v>
      </c>
      <c r="M1569">
        <v>154.87</v>
      </c>
      <c r="N1569" t="s">
        <v>23</v>
      </c>
      <c r="O1569">
        <v>2</v>
      </c>
      <c r="P1569">
        <v>364.16</v>
      </c>
      <c r="Q1569">
        <v>382.16</v>
      </c>
      <c r="R1569" t="s">
        <v>2054</v>
      </c>
    </row>
    <row r="1570" spans="1:18" x14ac:dyDescent="0.25">
      <c r="A1570" t="s">
        <v>1621</v>
      </c>
      <c r="B1570" s="1">
        <v>45798</v>
      </c>
      <c r="C1570" s="1">
        <v>45812</v>
      </c>
      <c r="D1570" t="s">
        <v>43</v>
      </c>
      <c r="E1570" t="s">
        <v>44</v>
      </c>
      <c r="F1570" t="s">
        <v>45</v>
      </c>
      <c r="G1570" t="s">
        <v>35</v>
      </c>
      <c r="H1570" t="s">
        <v>32</v>
      </c>
      <c r="I1570">
        <v>1</v>
      </c>
      <c r="J1570">
        <v>525.58000000000004</v>
      </c>
      <c r="K1570">
        <v>25</v>
      </c>
      <c r="L1570">
        <v>235</v>
      </c>
      <c r="M1570">
        <v>-78.84</v>
      </c>
      <c r="N1570" t="s">
        <v>47</v>
      </c>
      <c r="O1570">
        <v>14</v>
      </c>
      <c r="P1570">
        <v>525.58000000000004</v>
      </c>
      <c r="Q1570">
        <v>550.58000000000004</v>
      </c>
      <c r="R1570" t="s">
        <v>2054</v>
      </c>
    </row>
    <row r="1571" spans="1:18" x14ac:dyDescent="0.25">
      <c r="A1571" t="s">
        <v>1622</v>
      </c>
      <c r="B1571" s="1">
        <v>45799</v>
      </c>
      <c r="C1571" s="1">
        <v>45807</v>
      </c>
      <c r="D1571" t="s">
        <v>54</v>
      </c>
      <c r="E1571" t="s">
        <v>38</v>
      </c>
      <c r="F1571" t="s">
        <v>39</v>
      </c>
      <c r="G1571" t="s">
        <v>35</v>
      </c>
      <c r="H1571" t="s">
        <v>40</v>
      </c>
      <c r="I1571">
        <v>2</v>
      </c>
      <c r="J1571">
        <v>387.93</v>
      </c>
      <c r="K1571">
        <v>112.5</v>
      </c>
      <c r="L1571">
        <v>218</v>
      </c>
      <c r="M1571">
        <v>-116.38</v>
      </c>
      <c r="N1571" t="s">
        <v>63</v>
      </c>
      <c r="O1571">
        <v>8</v>
      </c>
      <c r="P1571">
        <v>775.86</v>
      </c>
      <c r="Q1571">
        <v>888.36</v>
      </c>
      <c r="R1571" t="s">
        <v>2054</v>
      </c>
    </row>
    <row r="1572" spans="1:18" x14ac:dyDescent="0.25">
      <c r="A1572" t="s">
        <v>1623</v>
      </c>
      <c r="B1572" s="1">
        <v>45799</v>
      </c>
      <c r="C1572" s="1">
        <v>45801</v>
      </c>
      <c r="D1572" t="s">
        <v>34</v>
      </c>
      <c r="E1572" t="s">
        <v>30</v>
      </c>
      <c r="F1572" t="s">
        <v>31</v>
      </c>
      <c r="G1572" t="s">
        <v>35</v>
      </c>
      <c r="H1572" t="s">
        <v>40</v>
      </c>
      <c r="I1572">
        <v>1</v>
      </c>
      <c r="J1572">
        <v>139.36000000000001</v>
      </c>
      <c r="K1572">
        <v>18</v>
      </c>
      <c r="L1572">
        <v>170</v>
      </c>
      <c r="M1572">
        <v>46.74</v>
      </c>
      <c r="N1572" t="s">
        <v>23</v>
      </c>
      <c r="O1572">
        <v>2</v>
      </c>
      <c r="P1572">
        <v>139.36000000000001</v>
      </c>
      <c r="Q1572">
        <v>157.36000000000001</v>
      </c>
      <c r="R1572" t="s">
        <v>2054</v>
      </c>
    </row>
    <row r="1573" spans="1:18" x14ac:dyDescent="0.25">
      <c r="A1573" t="s">
        <v>1624</v>
      </c>
      <c r="B1573" s="1">
        <v>45799</v>
      </c>
      <c r="C1573" s="1">
        <v>45804</v>
      </c>
      <c r="D1573" t="s">
        <v>52</v>
      </c>
      <c r="E1573" t="s">
        <v>30</v>
      </c>
      <c r="F1573" t="s">
        <v>31</v>
      </c>
      <c r="G1573" t="s">
        <v>21</v>
      </c>
      <c r="H1573" t="s">
        <v>22</v>
      </c>
      <c r="I1573">
        <v>3</v>
      </c>
      <c r="J1573">
        <v>30.71</v>
      </c>
      <c r="K1573">
        <v>12</v>
      </c>
      <c r="L1573">
        <v>53</v>
      </c>
      <c r="M1573">
        <v>-13.82</v>
      </c>
      <c r="N1573" t="s">
        <v>23</v>
      </c>
      <c r="O1573">
        <v>5</v>
      </c>
      <c r="P1573">
        <v>92.13</v>
      </c>
      <c r="Q1573">
        <v>104.13</v>
      </c>
      <c r="R1573" t="s">
        <v>2054</v>
      </c>
    </row>
    <row r="1574" spans="1:18" x14ac:dyDescent="0.25">
      <c r="A1574" t="s">
        <v>1625</v>
      </c>
      <c r="B1574" s="1">
        <v>45800</v>
      </c>
      <c r="C1574" s="1">
        <v>45801</v>
      </c>
      <c r="D1574" t="s">
        <v>50</v>
      </c>
      <c r="E1574" t="s">
        <v>44</v>
      </c>
      <c r="F1574" t="s">
        <v>45</v>
      </c>
      <c r="G1574" t="s">
        <v>21</v>
      </c>
      <c r="H1574" t="s">
        <v>22</v>
      </c>
      <c r="I1574">
        <v>2</v>
      </c>
      <c r="J1574">
        <v>824.4</v>
      </c>
      <c r="K1574">
        <v>25</v>
      </c>
      <c r="L1574">
        <v>226</v>
      </c>
      <c r="M1574">
        <v>564.58000000000004</v>
      </c>
      <c r="N1574" t="s">
        <v>23</v>
      </c>
      <c r="O1574">
        <v>1</v>
      </c>
      <c r="P1574">
        <v>1648.8</v>
      </c>
      <c r="Q1574">
        <v>1673.8</v>
      </c>
      <c r="R1574" t="s">
        <v>2054</v>
      </c>
    </row>
    <row r="1575" spans="1:18" x14ac:dyDescent="0.25">
      <c r="A1575" t="s">
        <v>1626</v>
      </c>
      <c r="B1575" s="1">
        <v>45802</v>
      </c>
      <c r="C1575" s="1">
        <v>45803</v>
      </c>
      <c r="D1575" t="s">
        <v>37</v>
      </c>
      <c r="E1575" t="s">
        <v>38</v>
      </c>
      <c r="F1575" t="s">
        <v>39</v>
      </c>
      <c r="G1575" t="s">
        <v>35</v>
      </c>
      <c r="H1575" t="s">
        <v>22</v>
      </c>
      <c r="I1575">
        <v>1</v>
      </c>
      <c r="J1575">
        <v>187.12</v>
      </c>
      <c r="K1575">
        <v>75</v>
      </c>
      <c r="L1575">
        <v>303</v>
      </c>
      <c r="M1575">
        <v>-0.08</v>
      </c>
      <c r="N1575" t="s">
        <v>23</v>
      </c>
      <c r="O1575">
        <v>1</v>
      </c>
      <c r="P1575">
        <v>187.12</v>
      </c>
      <c r="Q1575">
        <v>262.12</v>
      </c>
      <c r="R1575" t="s">
        <v>2054</v>
      </c>
    </row>
    <row r="1576" spans="1:18" x14ac:dyDescent="0.25">
      <c r="A1576" t="s">
        <v>1627</v>
      </c>
      <c r="B1576" s="1">
        <v>45802</v>
      </c>
      <c r="C1576" s="1">
        <v>45807</v>
      </c>
      <c r="D1576" t="s">
        <v>52</v>
      </c>
      <c r="E1576" t="s">
        <v>30</v>
      </c>
      <c r="F1576" t="s">
        <v>31</v>
      </c>
      <c r="G1576" t="s">
        <v>21</v>
      </c>
      <c r="H1576" t="s">
        <v>32</v>
      </c>
      <c r="I1576">
        <v>5</v>
      </c>
      <c r="J1576">
        <v>113.18</v>
      </c>
      <c r="K1576">
        <v>12</v>
      </c>
      <c r="L1576">
        <v>203</v>
      </c>
      <c r="M1576">
        <v>220.36</v>
      </c>
      <c r="N1576" t="s">
        <v>23</v>
      </c>
      <c r="O1576">
        <v>5</v>
      </c>
      <c r="P1576">
        <v>565.90000000000009</v>
      </c>
      <c r="Q1576">
        <v>577.90000000000009</v>
      </c>
      <c r="R1576" t="s">
        <v>2054</v>
      </c>
    </row>
    <row r="1577" spans="1:18" x14ac:dyDescent="0.25">
      <c r="A1577" t="s">
        <v>1628</v>
      </c>
      <c r="B1577" s="1">
        <v>45803</v>
      </c>
      <c r="C1577" s="1">
        <v>45806</v>
      </c>
      <c r="D1577" t="s">
        <v>56</v>
      </c>
      <c r="E1577" t="s">
        <v>38</v>
      </c>
      <c r="F1577" t="s">
        <v>39</v>
      </c>
      <c r="G1577" t="s">
        <v>26</v>
      </c>
      <c r="H1577" t="s">
        <v>32</v>
      </c>
      <c r="I1577">
        <v>2</v>
      </c>
      <c r="J1577">
        <v>193.2</v>
      </c>
      <c r="K1577">
        <v>75</v>
      </c>
      <c r="L1577">
        <v>192</v>
      </c>
      <c r="M1577">
        <v>39.78</v>
      </c>
      <c r="N1577" t="s">
        <v>23</v>
      </c>
      <c r="O1577">
        <v>3</v>
      </c>
      <c r="P1577">
        <v>386.4</v>
      </c>
      <c r="Q1577">
        <v>461.4</v>
      </c>
      <c r="R1577" t="s">
        <v>2054</v>
      </c>
    </row>
    <row r="1578" spans="1:18" x14ac:dyDescent="0.25">
      <c r="A1578" t="s">
        <v>1629</v>
      </c>
      <c r="B1578" s="1">
        <v>45803</v>
      </c>
      <c r="C1578" s="1">
        <v>45805</v>
      </c>
      <c r="D1578" t="s">
        <v>25</v>
      </c>
      <c r="E1578" t="s">
        <v>19</v>
      </c>
      <c r="F1578" t="s">
        <v>20</v>
      </c>
      <c r="G1578" t="s">
        <v>21</v>
      </c>
      <c r="H1578" t="s">
        <v>27</v>
      </c>
      <c r="I1578">
        <v>14</v>
      </c>
      <c r="J1578">
        <v>43.79</v>
      </c>
      <c r="K1578">
        <v>8</v>
      </c>
      <c r="L1578">
        <v>205</v>
      </c>
      <c r="M1578">
        <v>45.05</v>
      </c>
      <c r="N1578" t="s">
        <v>23</v>
      </c>
      <c r="O1578">
        <v>2</v>
      </c>
      <c r="P1578">
        <v>613.05999999999995</v>
      </c>
      <c r="Q1578">
        <v>621.05999999999995</v>
      </c>
      <c r="R1578" t="s">
        <v>2054</v>
      </c>
    </row>
    <row r="1579" spans="1:18" x14ac:dyDescent="0.25">
      <c r="A1579" t="s">
        <v>1630</v>
      </c>
      <c r="B1579" s="1">
        <v>45803</v>
      </c>
      <c r="C1579" s="1">
        <v>45813</v>
      </c>
      <c r="D1579" t="s">
        <v>50</v>
      </c>
      <c r="E1579" t="s">
        <v>44</v>
      </c>
      <c r="F1579" t="s">
        <v>45</v>
      </c>
      <c r="G1579" t="s">
        <v>35</v>
      </c>
      <c r="H1579" t="s">
        <v>22</v>
      </c>
      <c r="I1579">
        <v>2</v>
      </c>
      <c r="J1579">
        <v>324.18</v>
      </c>
      <c r="K1579">
        <v>25</v>
      </c>
      <c r="L1579">
        <v>177</v>
      </c>
      <c r="M1579">
        <v>214.43</v>
      </c>
      <c r="N1579" t="s">
        <v>63</v>
      </c>
      <c r="O1579">
        <v>10</v>
      </c>
      <c r="P1579">
        <v>648.36</v>
      </c>
      <c r="Q1579">
        <v>673.36</v>
      </c>
      <c r="R1579" t="s">
        <v>2054</v>
      </c>
    </row>
    <row r="1580" spans="1:18" x14ac:dyDescent="0.25">
      <c r="A1580" t="s">
        <v>1631</v>
      </c>
      <c r="B1580" s="1">
        <v>45804</v>
      </c>
      <c r="C1580" s="1">
        <v>45808</v>
      </c>
      <c r="D1580" t="s">
        <v>34</v>
      </c>
      <c r="E1580" t="s">
        <v>30</v>
      </c>
      <c r="F1580" t="s">
        <v>31</v>
      </c>
      <c r="G1580" t="s">
        <v>35</v>
      </c>
      <c r="H1580" t="s">
        <v>40</v>
      </c>
      <c r="I1580">
        <v>2</v>
      </c>
      <c r="J1580">
        <v>109.23</v>
      </c>
      <c r="K1580">
        <v>18</v>
      </c>
      <c r="L1580">
        <v>314</v>
      </c>
      <c r="M1580">
        <v>78.39</v>
      </c>
      <c r="N1580" t="s">
        <v>23</v>
      </c>
      <c r="O1580">
        <v>4</v>
      </c>
      <c r="P1580">
        <v>218.46</v>
      </c>
      <c r="Q1580">
        <v>236.46</v>
      </c>
      <c r="R1580" t="s">
        <v>2054</v>
      </c>
    </row>
    <row r="1581" spans="1:18" x14ac:dyDescent="0.25">
      <c r="A1581" t="s">
        <v>1632</v>
      </c>
      <c r="B1581" s="1">
        <v>45805</v>
      </c>
      <c r="C1581" s="1">
        <v>45810</v>
      </c>
      <c r="D1581" t="s">
        <v>43</v>
      </c>
      <c r="E1581" t="s">
        <v>44</v>
      </c>
      <c r="F1581" t="s">
        <v>45</v>
      </c>
      <c r="G1581" t="s">
        <v>35</v>
      </c>
      <c r="H1581" t="s">
        <v>40</v>
      </c>
      <c r="I1581">
        <v>1</v>
      </c>
      <c r="J1581">
        <v>485.45</v>
      </c>
      <c r="K1581">
        <v>37.5</v>
      </c>
      <c r="L1581">
        <v>249</v>
      </c>
      <c r="M1581">
        <v>151.16</v>
      </c>
      <c r="N1581" t="s">
        <v>23</v>
      </c>
      <c r="O1581">
        <v>5</v>
      </c>
      <c r="P1581">
        <v>485.45</v>
      </c>
      <c r="Q1581">
        <v>522.95000000000005</v>
      </c>
      <c r="R1581" t="s">
        <v>2054</v>
      </c>
    </row>
    <row r="1582" spans="1:18" x14ac:dyDescent="0.25">
      <c r="A1582" t="s">
        <v>1633</v>
      </c>
      <c r="B1582" s="1">
        <v>45805</v>
      </c>
      <c r="C1582" s="1">
        <v>45809</v>
      </c>
      <c r="D1582" t="s">
        <v>52</v>
      </c>
      <c r="E1582" t="s">
        <v>30</v>
      </c>
      <c r="F1582" t="s">
        <v>31</v>
      </c>
      <c r="G1582" t="s">
        <v>35</v>
      </c>
      <c r="H1582" t="s">
        <v>40</v>
      </c>
      <c r="I1582">
        <v>1</v>
      </c>
      <c r="J1582">
        <v>111.09</v>
      </c>
      <c r="K1582">
        <v>18</v>
      </c>
      <c r="L1582">
        <v>193</v>
      </c>
      <c r="M1582">
        <v>35.44</v>
      </c>
      <c r="N1582" t="s">
        <v>23</v>
      </c>
      <c r="O1582">
        <v>4</v>
      </c>
      <c r="P1582">
        <v>111.09</v>
      </c>
      <c r="Q1582">
        <v>129.09</v>
      </c>
      <c r="R1582" t="s">
        <v>2054</v>
      </c>
    </row>
    <row r="1583" spans="1:18" x14ac:dyDescent="0.25">
      <c r="A1583" t="s">
        <v>1634</v>
      </c>
      <c r="B1583" s="1">
        <v>45805</v>
      </c>
      <c r="C1583" s="1">
        <v>45807</v>
      </c>
      <c r="D1583" t="s">
        <v>58</v>
      </c>
      <c r="E1583" t="s">
        <v>19</v>
      </c>
      <c r="F1583" t="s">
        <v>20</v>
      </c>
      <c r="G1583" t="s">
        <v>35</v>
      </c>
      <c r="H1583" t="s">
        <v>40</v>
      </c>
      <c r="I1583">
        <v>14</v>
      </c>
      <c r="J1583">
        <v>22.46</v>
      </c>
      <c r="K1583">
        <v>12</v>
      </c>
      <c r="L1583">
        <v>203</v>
      </c>
      <c r="M1583">
        <v>-47.16</v>
      </c>
      <c r="N1583" t="s">
        <v>23</v>
      </c>
      <c r="O1583">
        <v>2</v>
      </c>
      <c r="P1583">
        <v>314.44</v>
      </c>
      <c r="Q1583">
        <v>326.44</v>
      </c>
      <c r="R1583" t="s">
        <v>2054</v>
      </c>
    </row>
    <row r="1584" spans="1:18" x14ac:dyDescent="0.25">
      <c r="A1584" t="s">
        <v>1635</v>
      </c>
      <c r="B1584" s="1">
        <v>45807</v>
      </c>
      <c r="C1584" s="1">
        <v>45811</v>
      </c>
      <c r="D1584" t="s">
        <v>34</v>
      </c>
      <c r="E1584" t="s">
        <v>30</v>
      </c>
      <c r="F1584" t="s">
        <v>31</v>
      </c>
      <c r="G1584" t="s">
        <v>21</v>
      </c>
      <c r="H1584" t="s">
        <v>40</v>
      </c>
      <c r="I1584">
        <v>1</v>
      </c>
      <c r="J1584">
        <v>132.63</v>
      </c>
      <c r="K1584">
        <v>18</v>
      </c>
      <c r="L1584">
        <v>23</v>
      </c>
      <c r="M1584">
        <v>44.05</v>
      </c>
      <c r="N1584" t="s">
        <v>23</v>
      </c>
      <c r="O1584">
        <v>4</v>
      </c>
      <c r="P1584">
        <v>132.63</v>
      </c>
      <c r="Q1584">
        <v>150.63</v>
      </c>
      <c r="R1584" t="s">
        <v>2055</v>
      </c>
    </row>
    <row r="1585" spans="1:18" x14ac:dyDescent="0.25">
      <c r="A1585" t="s">
        <v>1636</v>
      </c>
      <c r="B1585" s="1">
        <v>45807</v>
      </c>
      <c r="C1585" s="1">
        <v>45809</v>
      </c>
      <c r="D1585" t="s">
        <v>72</v>
      </c>
      <c r="E1585" t="s">
        <v>44</v>
      </c>
      <c r="F1585" t="s">
        <v>45</v>
      </c>
      <c r="G1585" t="s">
        <v>26</v>
      </c>
      <c r="H1585" t="s">
        <v>32</v>
      </c>
      <c r="I1585">
        <v>3</v>
      </c>
      <c r="J1585">
        <v>493.8</v>
      </c>
      <c r="K1585">
        <v>25</v>
      </c>
      <c r="L1585">
        <v>237</v>
      </c>
      <c r="M1585">
        <v>505.99</v>
      </c>
      <c r="N1585" t="s">
        <v>23</v>
      </c>
      <c r="O1585">
        <v>2</v>
      </c>
      <c r="P1585">
        <v>1481.4</v>
      </c>
      <c r="Q1585">
        <v>1506.4</v>
      </c>
      <c r="R1585" t="s">
        <v>2054</v>
      </c>
    </row>
    <row r="1586" spans="1:18" x14ac:dyDescent="0.25">
      <c r="A1586" t="s">
        <v>1637</v>
      </c>
      <c r="B1586" s="1">
        <v>45807</v>
      </c>
      <c r="C1586" s="1">
        <v>45809</v>
      </c>
      <c r="D1586" t="s">
        <v>18</v>
      </c>
      <c r="E1586" t="s">
        <v>19</v>
      </c>
      <c r="F1586" t="s">
        <v>20</v>
      </c>
      <c r="G1586" t="s">
        <v>21</v>
      </c>
      <c r="H1586" t="s">
        <v>32</v>
      </c>
      <c r="I1586">
        <v>10</v>
      </c>
      <c r="J1586">
        <v>41.04</v>
      </c>
      <c r="K1586">
        <v>8</v>
      </c>
      <c r="L1586">
        <v>388</v>
      </c>
      <c r="M1586">
        <v>28.83</v>
      </c>
      <c r="N1586" t="s">
        <v>23</v>
      </c>
      <c r="O1586">
        <v>2</v>
      </c>
      <c r="P1586">
        <v>410.4</v>
      </c>
      <c r="Q1586">
        <v>418.4</v>
      </c>
      <c r="R1586" t="s">
        <v>2054</v>
      </c>
    </row>
    <row r="1587" spans="1:18" x14ac:dyDescent="0.25">
      <c r="A1587" t="s">
        <v>1638</v>
      </c>
      <c r="B1587" s="1">
        <v>45809</v>
      </c>
      <c r="C1587" s="1">
        <v>45823</v>
      </c>
      <c r="D1587" t="s">
        <v>82</v>
      </c>
      <c r="E1587" t="s">
        <v>79</v>
      </c>
      <c r="F1587" t="s">
        <v>80</v>
      </c>
      <c r="G1587" t="s">
        <v>35</v>
      </c>
      <c r="H1587" t="s">
        <v>40</v>
      </c>
      <c r="I1587">
        <v>2</v>
      </c>
      <c r="J1587">
        <v>43.81</v>
      </c>
      <c r="K1587">
        <v>18</v>
      </c>
      <c r="L1587">
        <v>268</v>
      </c>
      <c r="M1587">
        <v>30.43</v>
      </c>
      <c r="N1587" t="s">
        <v>47</v>
      </c>
      <c r="O1587">
        <v>14</v>
      </c>
      <c r="P1587">
        <v>87.62</v>
      </c>
      <c r="Q1587">
        <v>105.62</v>
      </c>
      <c r="R1587" t="s">
        <v>2054</v>
      </c>
    </row>
    <row r="1588" spans="1:18" x14ac:dyDescent="0.25">
      <c r="A1588" t="s">
        <v>1639</v>
      </c>
      <c r="B1588" s="1">
        <v>45809</v>
      </c>
      <c r="C1588" s="1">
        <v>45813</v>
      </c>
      <c r="D1588" t="s">
        <v>58</v>
      </c>
      <c r="E1588" t="s">
        <v>19</v>
      </c>
      <c r="F1588" t="s">
        <v>20</v>
      </c>
      <c r="G1588" t="s">
        <v>35</v>
      </c>
      <c r="H1588" t="s">
        <v>32</v>
      </c>
      <c r="I1588">
        <v>7</v>
      </c>
      <c r="J1588">
        <v>46.77</v>
      </c>
      <c r="K1588">
        <v>8</v>
      </c>
      <c r="L1588">
        <v>8</v>
      </c>
      <c r="M1588">
        <v>22.19</v>
      </c>
      <c r="N1588" t="s">
        <v>23</v>
      </c>
      <c r="O1588">
        <v>4</v>
      </c>
      <c r="P1588">
        <v>327.39000000000004</v>
      </c>
      <c r="Q1588">
        <v>335.39000000000004</v>
      </c>
      <c r="R1588" t="s">
        <v>2056</v>
      </c>
    </row>
    <row r="1589" spans="1:18" x14ac:dyDescent="0.25">
      <c r="A1589" t="s">
        <v>1640</v>
      </c>
      <c r="B1589" s="1">
        <v>45809</v>
      </c>
      <c r="C1589" s="1">
        <v>45810</v>
      </c>
      <c r="D1589" t="s">
        <v>56</v>
      </c>
      <c r="E1589" t="s">
        <v>38</v>
      </c>
      <c r="F1589" t="s">
        <v>39</v>
      </c>
      <c r="G1589" t="s">
        <v>26</v>
      </c>
      <c r="H1589" t="s">
        <v>32</v>
      </c>
      <c r="I1589">
        <v>1</v>
      </c>
      <c r="J1589">
        <v>110.58</v>
      </c>
      <c r="K1589">
        <v>75</v>
      </c>
      <c r="L1589">
        <v>114</v>
      </c>
      <c r="M1589">
        <v>-15.38</v>
      </c>
      <c r="N1589" t="s">
        <v>23</v>
      </c>
      <c r="O1589">
        <v>1</v>
      </c>
      <c r="P1589">
        <v>110.58</v>
      </c>
      <c r="Q1589">
        <v>185.57999999999998</v>
      </c>
      <c r="R1589" t="s">
        <v>2054</v>
      </c>
    </row>
    <row r="1590" spans="1:18" x14ac:dyDescent="0.25">
      <c r="A1590" t="s">
        <v>1641</v>
      </c>
      <c r="B1590" s="1">
        <v>45809</v>
      </c>
      <c r="C1590" s="1">
        <v>45823</v>
      </c>
      <c r="D1590" t="s">
        <v>43</v>
      </c>
      <c r="E1590" t="s">
        <v>44</v>
      </c>
      <c r="F1590" t="s">
        <v>45</v>
      </c>
      <c r="G1590" t="s">
        <v>35</v>
      </c>
      <c r="H1590" t="s">
        <v>40</v>
      </c>
      <c r="I1590">
        <v>1</v>
      </c>
      <c r="J1590">
        <v>862.8</v>
      </c>
      <c r="K1590">
        <v>37.5</v>
      </c>
      <c r="L1590">
        <v>68</v>
      </c>
      <c r="M1590">
        <v>283.23</v>
      </c>
      <c r="N1590" t="s">
        <v>47</v>
      </c>
      <c r="O1590">
        <v>14</v>
      </c>
      <c r="P1590">
        <v>862.8</v>
      </c>
      <c r="Q1590">
        <v>900.3</v>
      </c>
      <c r="R1590" t="s">
        <v>2054</v>
      </c>
    </row>
    <row r="1591" spans="1:18" x14ac:dyDescent="0.25">
      <c r="A1591" t="s">
        <v>1642</v>
      </c>
      <c r="B1591" s="1">
        <v>45810</v>
      </c>
      <c r="C1591" s="1">
        <v>45812</v>
      </c>
      <c r="D1591" t="s">
        <v>75</v>
      </c>
      <c r="E1591" t="s">
        <v>44</v>
      </c>
      <c r="F1591" t="s">
        <v>45</v>
      </c>
      <c r="G1591" t="s">
        <v>26</v>
      </c>
      <c r="H1591" t="s">
        <v>22</v>
      </c>
      <c r="I1591">
        <v>1</v>
      </c>
      <c r="J1591">
        <v>234.72</v>
      </c>
      <c r="K1591">
        <v>25</v>
      </c>
      <c r="L1591">
        <v>27</v>
      </c>
      <c r="M1591">
        <v>69.650000000000006</v>
      </c>
      <c r="N1591" t="s">
        <v>23</v>
      </c>
      <c r="O1591">
        <v>2</v>
      </c>
      <c r="P1591">
        <v>234.72</v>
      </c>
      <c r="Q1591">
        <v>259.72000000000003</v>
      </c>
      <c r="R1591" t="s">
        <v>2055</v>
      </c>
    </row>
    <row r="1592" spans="1:18" x14ac:dyDescent="0.25">
      <c r="A1592" t="s">
        <v>1643</v>
      </c>
      <c r="B1592" s="1">
        <v>45810</v>
      </c>
      <c r="C1592" s="1">
        <v>45812</v>
      </c>
      <c r="D1592" t="s">
        <v>37</v>
      </c>
      <c r="E1592" t="s">
        <v>38</v>
      </c>
      <c r="F1592" t="s">
        <v>39</v>
      </c>
      <c r="G1592" t="s">
        <v>35</v>
      </c>
      <c r="H1592" t="s">
        <v>22</v>
      </c>
      <c r="I1592">
        <v>2</v>
      </c>
      <c r="J1592">
        <v>102.6</v>
      </c>
      <c r="K1592">
        <v>75</v>
      </c>
      <c r="L1592">
        <v>328</v>
      </c>
      <c r="M1592">
        <v>3.54</v>
      </c>
      <c r="N1592" t="s">
        <v>23</v>
      </c>
      <c r="O1592">
        <v>2</v>
      </c>
      <c r="P1592">
        <v>205.2</v>
      </c>
      <c r="Q1592">
        <v>280.2</v>
      </c>
      <c r="R1592" t="s">
        <v>2054</v>
      </c>
    </row>
    <row r="1593" spans="1:18" x14ac:dyDescent="0.25">
      <c r="A1593" t="s">
        <v>1644</v>
      </c>
      <c r="B1593" s="1">
        <v>45810</v>
      </c>
      <c r="C1593" s="1">
        <v>45818</v>
      </c>
      <c r="D1593" t="s">
        <v>58</v>
      </c>
      <c r="E1593" t="s">
        <v>19</v>
      </c>
      <c r="F1593" t="s">
        <v>20</v>
      </c>
      <c r="G1593" t="s">
        <v>35</v>
      </c>
      <c r="H1593" t="s">
        <v>40</v>
      </c>
      <c r="I1593">
        <v>10</v>
      </c>
      <c r="J1593">
        <v>31.1</v>
      </c>
      <c r="K1593">
        <v>12</v>
      </c>
      <c r="L1593">
        <v>220</v>
      </c>
      <c r="M1593">
        <v>18.88</v>
      </c>
      <c r="N1593" t="s">
        <v>63</v>
      </c>
      <c r="O1593">
        <v>8</v>
      </c>
      <c r="P1593">
        <v>311</v>
      </c>
      <c r="Q1593">
        <v>323</v>
      </c>
      <c r="R1593" t="s">
        <v>2054</v>
      </c>
    </row>
    <row r="1594" spans="1:18" x14ac:dyDescent="0.25">
      <c r="A1594" t="s">
        <v>1645</v>
      </c>
      <c r="B1594" s="1">
        <v>45811</v>
      </c>
      <c r="C1594" s="1">
        <v>45816</v>
      </c>
      <c r="D1594" t="s">
        <v>50</v>
      </c>
      <c r="E1594" t="s">
        <v>44</v>
      </c>
      <c r="F1594" t="s">
        <v>45</v>
      </c>
      <c r="G1594" t="s">
        <v>35</v>
      </c>
      <c r="H1594" t="s">
        <v>40</v>
      </c>
      <c r="I1594">
        <v>2</v>
      </c>
      <c r="J1594">
        <v>734.82</v>
      </c>
      <c r="K1594">
        <v>37.5</v>
      </c>
      <c r="L1594">
        <v>187</v>
      </c>
      <c r="M1594">
        <v>495.62</v>
      </c>
      <c r="N1594" t="s">
        <v>23</v>
      </c>
      <c r="O1594">
        <v>5</v>
      </c>
      <c r="P1594">
        <v>1469.64</v>
      </c>
      <c r="Q1594">
        <v>1507.14</v>
      </c>
      <c r="R1594" t="s">
        <v>2054</v>
      </c>
    </row>
    <row r="1595" spans="1:18" x14ac:dyDescent="0.25">
      <c r="A1595" t="s">
        <v>1646</v>
      </c>
      <c r="B1595" s="1">
        <v>45811</v>
      </c>
      <c r="C1595" s="1">
        <v>45816</v>
      </c>
      <c r="D1595" t="s">
        <v>29</v>
      </c>
      <c r="E1595" t="s">
        <v>30</v>
      </c>
      <c r="F1595" t="s">
        <v>31</v>
      </c>
      <c r="G1595" t="s">
        <v>21</v>
      </c>
      <c r="H1595" t="s">
        <v>27</v>
      </c>
      <c r="I1595">
        <v>2</v>
      </c>
      <c r="J1595">
        <v>142.78</v>
      </c>
      <c r="K1595">
        <v>12</v>
      </c>
      <c r="L1595">
        <v>205</v>
      </c>
      <c r="M1595">
        <v>108.23</v>
      </c>
      <c r="N1595" t="s">
        <v>23</v>
      </c>
      <c r="O1595">
        <v>5</v>
      </c>
      <c r="P1595">
        <v>285.56</v>
      </c>
      <c r="Q1595">
        <v>297.56</v>
      </c>
      <c r="R1595" t="s">
        <v>2054</v>
      </c>
    </row>
    <row r="1596" spans="1:18" x14ac:dyDescent="0.25">
      <c r="A1596" t="s">
        <v>1647</v>
      </c>
      <c r="B1596" s="1">
        <v>45812</v>
      </c>
      <c r="C1596" s="1">
        <v>45817</v>
      </c>
      <c r="D1596" t="s">
        <v>18</v>
      </c>
      <c r="E1596" t="s">
        <v>19</v>
      </c>
      <c r="F1596" t="s">
        <v>20</v>
      </c>
      <c r="G1596" t="s">
        <v>35</v>
      </c>
      <c r="H1596" t="s">
        <v>32</v>
      </c>
      <c r="I1596">
        <v>5</v>
      </c>
      <c r="J1596">
        <v>40.97</v>
      </c>
      <c r="K1596">
        <v>8</v>
      </c>
      <c r="L1596">
        <v>63</v>
      </c>
      <c r="M1596">
        <v>12.39</v>
      </c>
      <c r="N1596" t="s">
        <v>23</v>
      </c>
      <c r="O1596">
        <v>5</v>
      </c>
      <c r="P1596">
        <v>204.85</v>
      </c>
      <c r="Q1596">
        <v>212.85</v>
      </c>
      <c r="R1596" t="s">
        <v>2054</v>
      </c>
    </row>
    <row r="1597" spans="1:18" x14ac:dyDescent="0.25">
      <c r="A1597" t="s">
        <v>1648</v>
      </c>
      <c r="B1597" s="1">
        <v>45812</v>
      </c>
      <c r="C1597" s="1">
        <v>45813</v>
      </c>
      <c r="D1597" t="s">
        <v>75</v>
      </c>
      <c r="E1597" t="s">
        <v>44</v>
      </c>
      <c r="F1597" t="s">
        <v>45</v>
      </c>
      <c r="G1597" t="s">
        <v>35</v>
      </c>
      <c r="H1597" t="s">
        <v>27</v>
      </c>
      <c r="I1597">
        <v>2</v>
      </c>
      <c r="J1597">
        <v>467.21</v>
      </c>
      <c r="K1597">
        <v>25</v>
      </c>
      <c r="L1597">
        <v>214</v>
      </c>
      <c r="M1597">
        <v>314.54000000000002</v>
      </c>
      <c r="N1597" t="s">
        <v>23</v>
      </c>
      <c r="O1597">
        <v>1</v>
      </c>
      <c r="P1597">
        <v>934.42</v>
      </c>
      <c r="Q1597">
        <v>959.42</v>
      </c>
      <c r="R1597" t="s">
        <v>2054</v>
      </c>
    </row>
    <row r="1598" spans="1:18" x14ac:dyDescent="0.25">
      <c r="A1598" t="s">
        <v>1649</v>
      </c>
      <c r="B1598" s="1">
        <v>45812</v>
      </c>
      <c r="C1598" s="1">
        <v>45816</v>
      </c>
      <c r="D1598" t="s">
        <v>58</v>
      </c>
      <c r="E1598" t="s">
        <v>19</v>
      </c>
      <c r="F1598" t="s">
        <v>20</v>
      </c>
      <c r="G1598" t="s">
        <v>26</v>
      </c>
      <c r="H1598" t="s">
        <v>27</v>
      </c>
      <c r="I1598">
        <v>7</v>
      </c>
      <c r="J1598">
        <v>45.81</v>
      </c>
      <c r="K1598">
        <v>8</v>
      </c>
      <c r="L1598">
        <v>0</v>
      </c>
      <c r="M1598">
        <v>21.65</v>
      </c>
      <c r="N1598" t="s">
        <v>23</v>
      </c>
      <c r="O1598">
        <v>4</v>
      </c>
      <c r="P1598">
        <v>320.67</v>
      </c>
      <c r="Q1598">
        <v>328.67</v>
      </c>
      <c r="R1598" t="s">
        <v>2056</v>
      </c>
    </row>
    <row r="1599" spans="1:18" x14ac:dyDescent="0.25">
      <c r="A1599" t="s">
        <v>1650</v>
      </c>
      <c r="B1599" s="1">
        <v>45813</v>
      </c>
      <c r="C1599" s="1">
        <v>45815</v>
      </c>
      <c r="D1599" t="s">
        <v>52</v>
      </c>
      <c r="E1599" t="s">
        <v>30</v>
      </c>
      <c r="F1599" t="s">
        <v>31</v>
      </c>
      <c r="G1599" t="s">
        <v>35</v>
      </c>
      <c r="H1599" t="s">
        <v>27</v>
      </c>
      <c r="I1599">
        <v>1</v>
      </c>
      <c r="J1599">
        <v>52.79</v>
      </c>
      <c r="K1599">
        <v>12</v>
      </c>
      <c r="L1599">
        <v>248</v>
      </c>
      <c r="M1599">
        <v>15.12</v>
      </c>
      <c r="N1599" t="s">
        <v>23</v>
      </c>
      <c r="O1599">
        <v>2</v>
      </c>
      <c r="P1599">
        <v>52.79</v>
      </c>
      <c r="Q1599">
        <v>64.789999999999992</v>
      </c>
      <c r="R1599" t="s">
        <v>2054</v>
      </c>
    </row>
    <row r="1600" spans="1:18" x14ac:dyDescent="0.25">
      <c r="A1600" t="s">
        <v>1651</v>
      </c>
      <c r="B1600" s="1">
        <v>45813</v>
      </c>
      <c r="C1600" s="1">
        <v>45815</v>
      </c>
      <c r="D1600" t="s">
        <v>72</v>
      </c>
      <c r="E1600" t="s">
        <v>44</v>
      </c>
      <c r="F1600" t="s">
        <v>45</v>
      </c>
      <c r="G1600" t="s">
        <v>35</v>
      </c>
      <c r="H1600" t="s">
        <v>40</v>
      </c>
      <c r="I1600">
        <v>2</v>
      </c>
      <c r="J1600">
        <v>275.74</v>
      </c>
      <c r="K1600">
        <v>37.5</v>
      </c>
      <c r="L1600">
        <v>270</v>
      </c>
      <c r="M1600">
        <v>-82.72</v>
      </c>
      <c r="N1600" t="s">
        <v>23</v>
      </c>
      <c r="O1600">
        <v>2</v>
      </c>
      <c r="P1600">
        <v>551.48</v>
      </c>
      <c r="Q1600">
        <v>588.98</v>
      </c>
      <c r="R1600" t="s">
        <v>2054</v>
      </c>
    </row>
    <row r="1601" spans="1:18" x14ac:dyDescent="0.25">
      <c r="A1601" t="s">
        <v>1652</v>
      </c>
      <c r="B1601" s="1">
        <v>45813</v>
      </c>
      <c r="C1601" s="1">
        <v>45829</v>
      </c>
      <c r="D1601" t="s">
        <v>58</v>
      </c>
      <c r="E1601" t="s">
        <v>19</v>
      </c>
      <c r="F1601" t="s">
        <v>20</v>
      </c>
      <c r="G1601" t="s">
        <v>35</v>
      </c>
      <c r="H1601" t="s">
        <v>27</v>
      </c>
      <c r="I1601">
        <v>13</v>
      </c>
      <c r="J1601">
        <v>21.64</v>
      </c>
      <c r="K1601">
        <v>8</v>
      </c>
      <c r="L1601">
        <v>21</v>
      </c>
      <c r="M1601">
        <v>18.510000000000002</v>
      </c>
      <c r="N1601" t="s">
        <v>47</v>
      </c>
      <c r="O1601">
        <v>16</v>
      </c>
      <c r="P1601">
        <v>281.32</v>
      </c>
      <c r="Q1601">
        <v>289.32</v>
      </c>
      <c r="R1601" t="s">
        <v>2055</v>
      </c>
    </row>
    <row r="1602" spans="1:18" x14ac:dyDescent="0.25">
      <c r="A1602" t="s">
        <v>1653</v>
      </c>
      <c r="B1602" s="1">
        <v>45814</v>
      </c>
      <c r="C1602" s="1">
        <v>45816</v>
      </c>
      <c r="D1602" t="s">
        <v>43</v>
      </c>
      <c r="E1602" t="s">
        <v>44</v>
      </c>
      <c r="F1602" t="s">
        <v>45</v>
      </c>
      <c r="G1602" t="s">
        <v>35</v>
      </c>
      <c r="H1602" t="s">
        <v>40</v>
      </c>
      <c r="I1602">
        <v>2</v>
      </c>
      <c r="J1602">
        <v>410.05</v>
      </c>
      <c r="K1602">
        <v>37.5</v>
      </c>
      <c r="L1602">
        <v>76</v>
      </c>
      <c r="M1602">
        <v>268.29000000000002</v>
      </c>
      <c r="N1602" t="s">
        <v>23</v>
      </c>
      <c r="O1602">
        <v>2</v>
      </c>
      <c r="P1602">
        <v>820.1</v>
      </c>
      <c r="Q1602">
        <v>857.6</v>
      </c>
      <c r="R1602" t="s">
        <v>2054</v>
      </c>
    </row>
    <row r="1603" spans="1:18" x14ac:dyDescent="0.25">
      <c r="A1603" t="s">
        <v>1654</v>
      </c>
      <c r="B1603" s="1">
        <v>45814</v>
      </c>
      <c r="C1603" s="1">
        <v>45816</v>
      </c>
      <c r="D1603" t="s">
        <v>78</v>
      </c>
      <c r="E1603" t="s">
        <v>79</v>
      </c>
      <c r="F1603" t="s">
        <v>80</v>
      </c>
      <c r="G1603" t="s">
        <v>26</v>
      </c>
      <c r="H1603" t="s">
        <v>32</v>
      </c>
      <c r="I1603">
        <v>2</v>
      </c>
      <c r="J1603">
        <v>111.34</v>
      </c>
      <c r="K1603">
        <v>12</v>
      </c>
      <c r="L1603">
        <v>76</v>
      </c>
      <c r="M1603">
        <v>94.21</v>
      </c>
      <c r="N1603" t="s">
        <v>23</v>
      </c>
      <c r="O1603">
        <v>2</v>
      </c>
      <c r="P1603">
        <v>222.68</v>
      </c>
      <c r="Q1603">
        <v>234.68</v>
      </c>
      <c r="R1603" t="s">
        <v>2054</v>
      </c>
    </row>
    <row r="1604" spans="1:18" x14ac:dyDescent="0.25">
      <c r="A1604" t="s">
        <v>1655</v>
      </c>
      <c r="B1604" s="1">
        <v>45815</v>
      </c>
      <c r="C1604" s="1">
        <v>45817</v>
      </c>
      <c r="D1604" t="s">
        <v>56</v>
      </c>
      <c r="E1604" t="s">
        <v>38</v>
      </c>
      <c r="F1604" t="s">
        <v>39</v>
      </c>
      <c r="G1604" t="s">
        <v>26</v>
      </c>
      <c r="H1604" t="s">
        <v>32</v>
      </c>
      <c r="I1604">
        <v>2</v>
      </c>
      <c r="J1604">
        <v>436.8</v>
      </c>
      <c r="K1604">
        <v>75</v>
      </c>
      <c r="L1604">
        <v>222</v>
      </c>
      <c r="M1604">
        <v>137.22</v>
      </c>
      <c r="N1604" t="s">
        <v>23</v>
      </c>
      <c r="O1604">
        <v>2</v>
      </c>
      <c r="P1604">
        <v>873.6</v>
      </c>
      <c r="Q1604">
        <v>948.6</v>
      </c>
      <c r="R1604" t="s">
        <v>2054</v>
      </c>
    </row>
    <row r="1605" spans="1:18" x14ac:dyDescent="0.25">
      <c r="A1605" t="s">
        <v>1656</v>
      </c>
      <c r="B1605" s="1">
        <v>45817</v>
      </c>
      <c r="C1605" s="1">
        <v>45821</v>
      </c>
      <c r="D1605" t="s">
        <v>82</v>
      </c>
      <c r="E1605" t="s">
        <v>79</v>
      </c>
      <c r="F1605" t="s">
        <v>80</v>
      </c>
      <c r="G1605" t="s">
        <v>21</v>
      </c>
      <c r="H1605" t="s">
        <v>32</v>
      </c>
      <c r="I1605">
        <v>3</v>
      </c>
      <c r="J1605">
        <v>34.65</v>
      </c>
      <c r="K1605">
        <v>12</v>
      </c>
      <c r="L1605">
        <v>289</v>
      </c>
      <c r="M1605">
        <v>40.78</v>
      </c>
      <c r="N1605" t="s">
        <v>23</v>
      </c>
      <c r="O1605">
        <v>4</v>
      </c>
      <c r="P1605">
        <v>103.94999999999999</v>
      </c>
      <c r="Q1605">
        <v>115.94999999999999</v>
      </c>
      <c r="R1605" t="s">
        <v>2054</v>
      </c>
    </row>
    <row r="1606" spans="1:18" x14ac:dyDescent="0.25">
      <c r="A1606" t="s">
        <v>1657</v>
      </c>
      <c r="B1606" s="1">
        <v>45817</v>
      </c>
      <c r="C1606" s="1">
        <v>45819</v>
      </c>
      <c r="D1606" t="s">
        <v>54</v>
      </c>
      <c r="E1606" t="s">
        <v>38</v>
      </c>
      <c r="F1606" t="s">
        <v>39</v>
      </c>
      <c r="G1606" t="s">
        <v>26</v>
      </c>
      <c r="H1606" t="s">
        <v>27</v>
      </c>
      <c r="I1606">
        <v>1</v>
      </c>
      <c r="J1606">
        <v>261.97000000000003</v>
      </c>
      <c r="K1606">
        <v>75</v>
      </c>
      <c r="L1606">
        <v>207</v>
      </c>
      <c r="M1606">
        <v>14.89</v>
      </c>
      <c r="N1606" t="s">
        <v>23</v>
      </c>
      <c r="O1606">
        <v>2</v>
      </c>
      <c r="P1606">
        <v>261.97000000000003</v>
      </c>
      <c r="Q1606">
        <v>336.97</v>
      </c>
      <c r="R1606" t="s">
        <v>2054</v>
      </c>
    </row>
    <row r="1607" spans="1:18" x14ac:dyDescent="0.25">
      <c r="A1607" t="s">
        <v>1658</v>
      </c>
      <c r="B1607" s="1">
        <v>45817</v>
      </c>
      <c r="C1607" s="1">
        <v>45820</v>
      </c>
      <c r="D1607" t="s">
        <v>52</v>
      </c>
      <c r="E1607" t="s">
        <v>30</v>
      </c>
      <c r="F1607" t="s">
        <v>31</v>
      </c>
      <c r="G1607" t="s">
        <v>26</v>
      </c>
      <c r="H1607" t="s">
        <v>22</v>
      </c>
      <c r="I1607">
        <v>3</v>
      </c>
      <c r="J1607">
        <v>98.33</v>
      </c>
      <c r="K1607">
        <v>12</v>
      </c>
      <c r="L1607">
        <v>300</v>
      </c>
      <c r="M1607">
        <v>111.99</v>
      </c>
      <c r="N1607" t="s">
        <v>23</v>
      </c>
      <c r="O1607">
        <v>3</v>
      </c>
      <c r="P1607">
        <v>294.99</v>
      </c>
      <c r="Q1607">
        <v>306.99</v>
      </c>
      <c r="R1607" t="s">
        <v>2054</v>
      </c>
    </row>
    <row r="1608" spans="1:18" x14ac:dyDescent="0.25">
      <c r="A1608" t="s">
        <v>1659</v>
      </c>
      <c r="B1608" s="1">
        <v>45817</v>
      </c>
      <c r="C1608" s="1">
        <v>45821</v>
      </c>
      <c r="D1608" t="s">
        <v>50</v>
      </c>
      <c r="E1608" t="s">
        <v>44</v>
      </c>
      <c r="F1608" t="s">
        <v>45</v>
      </c>
      <c r="G1608" t="s">
        <v>26</v>
      </c>
      <c r="H1608" t="s">
        <v>27</v>
      </c>
      <c r="I1608">
        <v>2</v>
      </c>
      <c r="J1608">
        <v>399.24</v>
      </c>
      <c r="K1608">
        <v>25</v>
      </c>
      <c r="L1608">
        <v>266</v>
      </c>
      <c r="M1608">
        <v>266.95999999999998</v>
      </c>
      <c r="N1608" t="s">
        <v>23</v>
      </c>
      <c r="O1608">
        <v>4</v>
      </c>
      <c r="P1608">
        <v>798.48</v>
      </c>
      <c r="Q1608">
        <v>823.48</v>
      </c>
      <c r="R1608" t="s">
        <v>2054</v>
      </c>
    </row>
    <row r="1609" spans="1:18" x14ac:dyDescent="0.25">
      <c r="A1609" t="s">
        <v>1660</v>
      </c>
      <c r="B1609" s="1">
        <v>45818</v>
      </c>
      <c r="C1609" s="1">
        <v>45822</v>
      </c>
      <c r="D1609" t="s">
        <v>18</v>
      </c>
      <c r="E1609" t="s">
        <v>19</v>
      </c>
      <c r="F1609" t="s">
        <v>20</v>
      </c>
      <c r="G1609" t="s">
        <v>21</v>
      </c>
      <c r="H1609" t="s">
        <v>22</v>
      </c>
      <c r="I1609">
        <v>12</v>
      </c>
      <c r="J1609">
        <v>14.38</v>
      </c>
      <c r="K1609">
        <v>8</v>
      </c>
      <c r="L1609">
        <v>135</v>
      </c>
      <c r="M1609">
        <v>9.81</v>
      </c>
      <c r="N1609" t="s">
        <v>23</v>
      </c>
      <c r="O1609">
        <v>4</v>
      </c>
      <c r="P1609">
        <v>172.56</v>
      </c>
      <c r="Q1609">
        <v>180.56</v>
      </c>
      <c r="R1609" t="s">
        <v>2054</v>
      </c>
    </row>
    <row r="1610" spans="1:18" x14ac:dyDescent="0.25">
      <c r="A1610" t="s">
        <v>1661</v>
      </c>
      <c r="B1610" s="1">
        <v>45818</v>
      </c>
      <c r="C1610" s="1">
        <v>45819</v>
      </c>
      <c r="D1610" t="s">
        <v>52</v>
      </c>
      <c r="E1610" t="s">
        <v>30</v>
      </c>
      <c r="F1610" t="s">
        <v>31</v>
      </c>
      <c r="G1610" t="s">
        <v>35</v>
      </c>
      <c r="H1610" t="s">
        <v>40</v>
      </c>
      <c r="I1610">
        <v>3</v>
      </c>
      <c r="J1610">
        <v>27.2</v>
      </c>
      <c r="K1610">
        <v>18</v>
      </c>
      <c r="L1610">
        <v>73</v>
      </c>
      <c r="M1610">
        <v>23.64</v>
      </c>
      <c r="N1610" t="s">
        <v>23</v>
      </c>
      <c r="O1610">
        <v>1</v>
      </c>
      <c r="P1610">
        <v>81.599999999999994</v>
      </c>
      <c r="Q1610">
        <v>99.6</v>
      </c>
      <c r="R1610" t="s">
        <v>2054</v>
      </c>
    </row>
    <row r="1611" spans="1:18" x14ac:dyDescent="0.25">
      <c r="A1611" t="s">
        <v>1662</v>
      </c>
      <c r="B1611" s="1">
        <v>45818</v>
      </c>
      <c r="C1611" s="1">
        <v>45821</v>
      </c>
      <c r="D1611" t="s">
        <v>54</v>
      </c>
      <c r="E1611" t="s">
        <v>38</v>
      </c>
      <c r="F1611" t="s">
        <v>39</v>
      </c>
      <c r="G1611" t="s">
        <v>21</v>
      </c>
      <c r="H1611" t="s">
        <v>32</v>
      </c>
      <c r="I1611">
        <v>1</v>
      </c>
      <c r="J1611">
        <v>465.93</v>
      </c>
      <c r="K1611">
        <v>75</v>
      </c>
      <c r="L1611">
        <v>102</v>
      </c>
      <c r="M1611">
        <v>-69.89</v>
      </c>
      <c r="N1611" t="s">
        <v>23</v>
      </c>
      <c r="O1611">
        <v>3</v>
      </c>
      <c r="P1611">
        <v>465.93</v>
      </c>
      <c r="Q1611">
        <v>540.93000000000006</v>
      </c>
      <c r="R1611" t="s">
        <v>2054</v>
      </c>
    </row>
    <row r="1612" spans="1:18" x14ac:dyDescent="0.25">
      <c r="A1612" t="s">
        <v>1663</v>
      </c>
      <c r="B1612" s="1">
        <v>45819</v>
      </c>
      <c r="C1612" s="1">
        <v>45822</v>
      </c>
      <c r="D1612" t="s">
        <v>72</v>
      </c>
      <c r="E1612" t="s">
        <v>44</v>
      </c>
      <c r="F1612" t="s">
        <v>45</v>
      </c>
      <c r="G1612" t="s">
        <v>26</v>
      </c>
      <c r="H1612" t="s">
        <v>27</v>
      </c>
      <c r="I1612">
        <v>3</v>
      </c>
      <c r="J1612">
        <v>797.36</v>
      </c>
      <c r="K1612">
        <v>25</v>
      </c>
      <c r="L1612">
        <v>60</v>
      </c>
      <c r="M1612">
        <v>824.73</v>
      </c>
      <c r="N1612" t="s">
        <v>23</v>
      </c>
      <c r="O1612">
        <v>3</v>
      </c>
      <c r="P1612">
        <v>2392.08</v>
      </c>
      <c r="Q1612">
        <v>2417.08</v>
      </c>
      <c r="R1612" t="s">
        <v>2054</v>
      </c>
    </row>
    <row r="1613" spans="1:18" x14ac:dyDescent="0.25">
      <c r="A1613" t="s">
        <v>1664</v>
      </c>
      <c r="B1613" s="1">
        <v>45820</v>
      </c>
      <c r="C1613" s="1">
        <v>45823</v>
      </c>
      <c r="D1613" t="s">
        <v>34</v>
      </c>
      <c r="E1613" t="s">
        <v>30</v>
      </c>
      <c r="F1613" t="s">
        <v>31</v>
      </c>
      <c r="G1613" t="s">
        <v>35</v>
      </c>
      <c r="H1613" t="s">
        <v>27</v>
      </c>
      <c r="I1613">
        <v>3</v>
      </c>
      <c r="J1613">
        <v>57.83</v>
      </c>
      <c r="K1613">
        <v>12</v>
      </c>
      <c r="L1613">
        <v>293</v>
      </c>
      <c r="M1613">
        <v>63.39</v>
      </c>
      <c r="N1613" t="s">
        <v>23</v>
      </c>
      <c r="O1613">
        <v>3</v>
      </c>
      <c r="P1613">
        <v>173.49</v>
      </c>
      <c r="Q1613">
        <v>185.49</v>
      </c>
      <c r="R1613" t="s">
        <v>2054</v>
      </c>
    </row>
    <row r="1614" spans="1:18" x14ac:dyDescent="0.25">
      <c r="A1614" t="s">
        <v>1665</v>
      </c>
      <c r="B1614" s="1">
        <v>45821</v>
      </c>
      <c r="C1614" s="1">
        <v>45823</v>
      </c>
      <c r="D1614" t="s">
        <v>43</v>
      </c>
      <c r="E1614" t="s">
        <v>44</v>
      </c>
      <c r="F1614" t="s">
        <v>45</v>
      </c>
      <c r="G1614" t="s">
        <v>26</v>
      </c>
      <c r="H1614" t="s">
        <v>22</v>
      </c>
      <c r="I1614">
        <v>2</v>
      </c>
      <c r="J1614">
        <v>272.83</v>
      </c>
      <c r="K1614">
        <v>25</v>
      </c>
      <c r="L1614">
        <v>73</v>
      </c>
      <c r="M1614">
        <v>-81.849999999999994</v>
      </c>
      <c r="N1614" t="s">
        <v>23</v>
      </c>
      <c r="O1614">
        <v>2</v>
      </c>
      <c r="P1614">
        <v>545.66</v>
      </c>
      <c r="Q1614">
        <v>570.66</v>
      </c>
      <c r="R1614" t="s">
        <v>2054</v>
      </c>
    </row>
    <row r="1615" spans="1:18" x14ac:dyDescent="0.25">
      <c r="A1615" t="s">
        <v>1666</v>
      </c>
      <c r="B1615" s="1">
        <v>45821</v>
      </c>
      <c r="C1615" s="1">
        <v>45826</v>
      </c>
      <c r="D1615" t="s">
        <v>34</v>
      </c>
      <c r="E1615" t="s">
        <v>30</v>
      </c>
      <c r="F1615" t="s">
        <v>31</v>
      </c>
      <c r="G1615" t="s">
        <v>26</v>
      </c>
      <c r="H1615" t="s">
        <v>22</v>
      </c>
      <c r="I1615">
        <v>3</v>
      </c>
      <c r="J1615">
        <v>96.58</v>
      </c>
      <c r="K1615">
        <v>12</v>
      </c>
      <c r="L1615">
        <v>92</v>
      </c>
      <c r="M1615">
        <v>109.89</v>
      </c>
      <c r="N1615" t="s">
        <v>23</v>
      </c>
      <c r="O1615">
        <v>5</v>
      </c>
      <c r="P1615">
        <v>289.74</v>
      </c>
      <c r="Q1615">
        <v>301.74</v>
      </c>
      <c r="R1615" t="s">
        <v>2054</v>
      </c>
    </row>
    <row r="1616" spans="1:18" x14ac:dyDescent="0.25">
      <c r="A1616" t="s">
        <v>1667</v>
      </c>
      <c r="B1616" s="1">
        <v>45822</v>
      </c>
      <c r="C1616" s="1">
        <v>45823</v>
      </c>
      <c r="D1616" t="s">
        <v>18</v>
      </c>
      <c r="E1616" t="s">
        <v>19</v>
      </c>
      <c r="F1616" t="s">
        <v>20</v>
      </c>
      <c r="G1616" t="s">
        <v>21</v>
      </c>
      <c r="H1616" t="s">
        <v>27</v>
      </c>
      <c r="I1616">
        <v>14</v>
      </c>
      <c r="J1616">
        <v>40.31</v>
      </c>
      <c r="K1616">
        <v>8</v>
      </c>
      <c r="L1616">
        <v>390</v>
      </c>
      <c r="M1616">
        <v>41.15</v>
      </c>
      <c r="N1616" t="s">
        <v>23</v>
      </c>
      <c r="O1616">
        <v>1</v>
      </c>
      <c r="P1616">
        <v>564.34</v>
      </c>
      <c r="Q1616">
        <v>572.34</v>
      </c>
      <c r="R1616" t="s">
        <v>2054</v>
      </c>
    </row>
    <row r="1617" spans="1:18" x14ac:dyDescent="0.25">
      <c r="A1617" t="s">
        <v>1668</v>
      </c>
      <c r="B1617" s="1">
        <v>45823</v>
      </c>
      <c r="C1617" s="1">
        <v>45827</v>
      </c>
      <c r="D1617" t="s">
        <v>82</v>
      </c>
      <c r="E1617" t="s">
        <v>79</v>
      </c>
      <c r="F1617" t="s">
        <v>80</v>
      </c>
      <c r="G1617" t="s">
        <v>26</v>
      </c>
      <c r="H1617" t="s">
        <v>22</v>
      </c>
      <c r="I1617">
        <v>4</v>
      </c>
      <c r="J1617">
        <v>55.22</v>
      </c>
      <c r="K1617">
        <v>12</v>
      </c>
      <c r="L1617">
        <v>258</v>
      </c>
      <c r="M1617">
        <v>93.4</v>
      </c>
      <c r="N1617" t="s">
        <v>23</v>
      </c>
      <c r="O1617">
        <v>4</v>
      </c>
      <c r="P1617">
        <v>220.88</v>
      </c>
      <c r="Q1617">
        <v>232.88</v>
      </c>
      <c r="R1617" t="s">
        <v>2054</v>
      </c>
    </row>
    <row r="1618" spans="1:18" x14ac:dyDescent="0.25">
      <c r="A1618" t="s">
        <v>1669</v>
      </c>
      <c r="B1618" s="1">
        <v>45823</v>
      </c>
      <c r="C1618" s="1">
        <v>45825</v>
      </c>
      <c r="D1618" t="s">
        <v>58</v>
      </c>
      <c r="E1618" t="s">
        <v>19</v>
      </c>
      <c r="F1618" t="s">
        <v>20</v>
      </c>
      <c r="G1618" t="s">
        <v>26</v>
      </c>
      <c r="H1618" t="s">
        <v>27</v>
      </c>
      <c r="I1618">
        <v>6</v>
      </c>
      <c r="J1618">
        <v>29</v>
      </c>
      <c r="K1618">
        <v>8</v>
      </c>
      <c r="L1618">
        <v>69</v>
      </c>
      <c r="M1618">
        <v>9.92</v>
      </c>
      <c r="N1618" t="s">
        <v>23</v>
      </c>
      <c r="O1618">
        <v>2</v>
      </c>
      <c r="P1618">
        <v>174</v>
      </c>
      <c r="Q1618">
        <v>182</v>
      </c>
      <c r="R1618" t="s">
        <v>2054</v>
      </c>
    </row>
    <row r="1619" spans="1:18" x14ac:dyDescent="0.25">
      <c r="A1619" t="s">
        <v>1670</v>
      </c>
      <c r="B1619" s="1">
        <v>45824</v>
      </c>
      <c r="C1619" s="1">
        <v>45828</v>
      </c>
      <c r="D1619" t="s">
        <v>34</v>
      </c>
      <c r="E1619" t="s">
        <v>30</v>
      </c>
      <c r="F1619" t="s">
        <v>31</v>
      </c>
      <c r="G1619" t="s">
        <v>35</v>
      </c>
      <c r="H1619" t="s">
        <v>22</v>
      </c>
      <c r="I1619">
        <v>5</v>
      </c>
      <c r="J1619">
        <v>139.31</v>
      </c>
      <c r="K1619">
        <v>12</v>
      </c>
      <c r="L1619">
        <v>28</v>
      </c>
      <c r="M1619">
        <v>272.63</v>
      </c>
      <c r="N1619" t="s">
        <v>23</v>
      </c>
      <c r="O1619">
        <v>4</v>
      </c>
      <c r="P1619">
        <v>696.55</v>
      </c>
      <c r="Q1619">
        <v>708.55</v>
      </c>
      <c r="R1619" t="s">
        <v>2055</v>
      </c>
    </row>
    <row r="1620" spans="1:18" x14ac:dyDescent="0.25">
      <c r="A1620" t="s">
        <v>1671</v>
      </c>
      <c r="B1620" s="1">
        <v>45824</v>
      </c>
      <c r="C1620" s="1">
        <v>45827</v>
      </c>
      <c r="D1620" t="s">
        <v>50</v>
      </c>
      <c r="E1620" t="s">
        <v>44</v>
      </c>
      <c r="F1620" t="s">
        <v>45</v>
      </c>
      <c r="G1620" t="s">
        <v>35</v>
      </c>
      <c r="H1620" t="s">
        <v>40</v>
      </c>
      <c r="I1620">
        <v>3</v>
      </c>
      <c r="J1620">
        <v>513.08000000000004</v>
      </c>
      <c r="K1620">
        <v>37.5</v>
      </c>
      <c r="L1620">
        <v>124</v>
      </c>
      <c r="M1620">
        <v>519.99</v>
      </c>
      <c r="N1620" t="s">
        <v>23</v>
      </c>
      <c r="O1620">
        <v>3</v>
      </c>
      <c r="P1620">
        <v>1539.2400000000002</v>
      </c>
      <c r="Q1620">
        <v>1576.7400000000002</v>
      </c>
      <c r="R1620" t="s">
        <v>2054</v>
      </c>
    </row>
    <row r="1621" spans="1:18" x14ac:dyDescent="0.25">
      <c r="A1621" t="s">
        <v>1672</v>
      </c>
      <c r="B1621" s="1">
        <v>45825</v>
      </c>
      <c r="C1621" s="1">
        <v>45828</v>
      </c>
      <c r="D1621" t="s">
        <v>58</v>
      </c>
      <c r="E1621" t="s">
        <v>19</v>
      </c>
      <c r="F1621" t="s">
        <v>20</v>
      </c>
      <c r="G1621" t="s">
        <v>35</v>
      </c>
      <c r="H1621" t="s">
        <v>22</v>
      </c>
      <c r="I1621">
        <v>14</v>
      </c>
      <c r="J1621">
        <v>14.28</v>
      </c>
      <c r="K1621">
        <v>8</v>
      </c>
      <c r="L1621">
        <v>5</v>
      </c>
      <c r="M1621">
        <v>11.99</v>
      </c>
      <c r="N1621" t="s">
        <v>23</v>
      </c>
      <c r="O1621">
        <v>3</v>
      </c>
      <c r="P1621">
        <v>199.92</v>
      </c>
      <c r="Q1621">
        <v>207.92</v>
      </c>
      <c r="R1621" t="s">
        <v>2056</v>
      </c>
    </row>
    <row r="1622" spans="1:18" x14ac:dyDescent="0.25">
      <c r="A1622" t="s">
        <v>1673</v>
      </c>
      <c r="B1622" s="1">
        <v>45825</v>
      </c>
      <c r="C1622" s="1">
        <v>45835</v>
      </c>
      <c r="D1622" t="s">
        <v>58</v>
      </c>
      <c r="E1622" t="s">
        <v>19</v>
      </c>
      <c r="F1622" t="s">
        <v>20</v>
      </c>
      <c r="G1622" t="s">
        <v>35</v>
      </c>
      <c r="H1622" t="s">
        <v>22</v>
      </c>
      <c r="I1622">
        <v>14</v>
      </c>
      <c r="J1622">
        <v>40.86</v>
      </c>
      <c r="K1622">
        <v>8</v>
      </c>
      <c r="L1622">
        <v>43</v>
      </c>
      <c r="M1622">
        <v>41.76</v>
      </c>
      <c r="N1622" t="s">
        <v>63</v>
      </c>
      <c r="O1622">
        <v>10</v>
      </c>
      <c r="P1622">
        <v>572.04</v>
      </c>
      <c r="Q1622">
        <v>580.04</v>
      </c>
      <c r="R1622" t="s">
        <v>2055</v>
      </c>
    </row>
    <row r="1623" spans="1:18" x14ac:dyDescent="0.25">
      <c r="A1623" t="s">
        <v>1674</v>
      </c>
      <c r="B1623" s="1">
        <v>45825</v>
      </c>
      <c r="C1623" s="1">
        <v>45829</v>
      </c>
      <c r="D1623" t="s">
        <v>25</v>
      </c>
      <c r="E1623" t="s">
        <v>19</v>
      </c>
      <c r="F1623" t="s">
        <v>20</v>
      </c>
      <c r="G1623" t="s">
        <v>21</v>
      </c>
      <c r="H1623" t="s">
        <v>40</v>
      </c>
      <c r="I1623">
        <v>6</v>
      </c>
      <c r="J1623">
        <v>14.51</v>
      </c>
      <c r="K1623">
        <v>12</v>
      </c>
      <c r="L1623">
        <v>354</v>
      </c>
      <c r="M1623">
        <v>0.96</v>
      </c>
      <c r="N1623" t="s">
        <v>23</v>
      </c>
      <c r="O1623">
        <v>4</v>
      </c>
      <c r="P1623">
        <v>87.06</v>
      </c>
      <c r="Q1623">
        <v>99.06</v>
      </c>
      <c r="R1623" t="s">
        <v>2054</v>
      </c>
    </row>
    <row r="1624" spans="1:18" x14ac:dyDescent="0.25">
      <c r="A1624" t="s">
        <v>1675</v>
      </c>
      <c r="B1624" s="1">
        <v>45826</v>
      </c>
      <c r="C1624" s="1">
        <v>45830</v>
      </c>
      <c r="D1624" t="s">
        <v>37</v>
      </c>
      <c r="E1624" t="s">
        <v>38</v>
      </c>
      <c r="F1624" t="s">
        <v>39</v>
      </c>
      <c r="G1624" t="s">
        <v>35</v>
      </c>
      <c r="H1624" t="s">
        <v>27</v>
      </c>
      <c r="I1624">
        <v>2</v>
      </c>
      <c r="J1624">
        <v>483.73</v>
      </c>
      <c r="K1624">
        <v>75</v>
      </c>
      <c r="L1624">
        <v>204</v>
      </c>
      <c r="M1624">
        <v>155.99</v>
      </c>
      <c r="N1624" t="s">
        <v>23</v>
      </c>
      <c r="O1624">
        <v>4</v>
      </c>
      <c r="P1624">
        <v>967.46</v>
      </c>
      <c r="Q1624">
        <v>1042.46</v>
      </c>
      <c r="R1624" t="s">
        <v>2054</v>
      </c>
    </row>
    <row r="1625" spans="1:18" x14ac:dyDescent="0.25">
      <c r="A1625" t="s">
        <v>1676</v>
      </c>
      <c r="B1625" s="1">
        <v>45826</v>
      </c>
      <c r="C1625" s="1">
        <v>45828</v>
      </c>
      <c r="D1625" t="s">
        <v>25</v>
      </c>
      <c r="E1625" t="s">
        <v>19</v>
      </c>
      <c r="F1625" t="s">
        <v>20</v>
      </c>
      <c r="G1625" t="s">
        <v>35</v>
      </c>
      <c r="H1625" t="s">
        <v>40</v>
      </c>
      <c r="I1625">
        <v>7</v>
      </c>
      <c r="J1625">
        <v>45.21</v>
      </c>
      <c r="K1625">
        <v>12</v>
      </c>
      <c r="L1625">
        <v>164</v>
      </c>
      <c r="M1625">
        <v>19.32</v>
      </c>
      <c r="N1625" t="s">
        <v>23</v>
      </c>
      <c r="O1625">
        <v>2</v>
      </c>
      <c r="P1625">
        <v>316.47000000000003</v>
      </c>
      <c r="Q1625">
        <v>328.47</v>
      </c>
      <c r="R1625" t="s">
        <v>2054</v>
      </c>
    </row>
    <row r="1626" spans="1:18" x14ac:dyDescent="0.25">
      <c r="A1626" t="s">
        <v>1677</v>
      </c>
      <c r="B1626" s="1">
        <v>45826</v>
      </c>
      <c r="C1626" s="1">
        <v>45830</v>
      </c>
      <c r="D1626" t="s">
        <v>43</v>
      </c>
      <c r="E1626" t="s">
        <v>44</v>
      </c>
      <c r="F1626" t="s">
        <v>45</v>
      </c>
      <c r="G1626" t="s">
        <v>26</v>
      </c>
      <c r="H1626" t="s">
        <v>27</v>
      </c>
      <c r="I1626">
        <v>3</v>
      </c>
      <c r="J1626">
        <v>896.18</v>
      </c>
      <c r="K1626">
        <v>25</v>
      </c>
      <c r="L1626">
        <v>110</v>
      </c>
      <c r="M1626">
        <v>928.49</v>
      </c>
      <c r="N1626" t="s">
        <v>23</v>
      </c>
      <c r="O1626">
        <v>4</v>
      </c>
      <c r="P1626">
        <v>2688.54</v>
      </c>
      <c r="Q1626">
        <v>2713.54</v>
      </c>
      <c r="R1626" t="s">
        <v>2054</v>
      </c>
    </row>
    <row r="1627" spans="1:18" x14ac:dyDescent="0.25">
      <c r="A1627" t="s">
        <v>1678</v>
      </c>
      <c r="B1627" s="1">
        <v>45826</v>
      </c>
      <c r="C1627" s="1">
        <v>45841</v>
      </c>
      <c r="D1627" t="s">
        <v>18</v>
      </c>
      <c r="E1627" t="s">
        <v>19</v>
      </c>
      <c r="F1627" t="s">
        <v>20</v>
      </c>
      <c r="G1627" t="s">
        <v>35</v>
      </c>
      <c r="H1627" t="s">
        <v>40</v>
      </c>
      <c r="I1627">
        <v>6</v>
      </c>
      <c r="J1627">
        <v>39.06</v>
      </c>
      <c r="K1627">
        <v>12</v>
      </c>
      <c r="L1627">
        <v>253</v>
      </c>
      <c r="M1627">
        <v>12.75</v>
      </c>
      <c r="N1627" t="s">
        <v>47</v>
      </c>
      <c r="O1627">
        <v>15</v>
      </c>
      <c r="P1627">
        <v>234.36</v>
      </c>
      <c r="Q1627">
        <v>246.36</v>
      </c>
      <c r="R1627" t="s">
        <v>2054</v>
      </c>
    </row>
    <row r="1628" spans="1:18" x14ac:dyDescent="0.25">
      <c r="A1628" t="s">
        <v>1679</v>
      </c>
      <c r="B1628" s="1">
        <v>45827</v>
      </c>
      <c r="C1628" s="1">
        <v>45831</v>
      </c>
      <c r="D1628" t="s">
        <v>78</v>
      </c>
      <c r="E1628" t="s">
        <v>79</v>
      </c>
      <c r="F1628" t="s">
        <v>80</v>
      </c>
      <c r="G1628" t="s">
        <v>35</v>
      </c>
      <c r="H1628" t="s">
        <v>27</v>
      </c>
      <c r="I1628">
        <v>3</v>
      </c>
      <c r="J1628">
        <v>30.88</v>
      </c>
      <c r="K1628">
        <v>12</v>
      </c>
      <c r="L1628">
        <v>235</v>
      </c>
      <c r="M1628">
        <v>35.68</v>
      </c>
      <c r="N1628" t="s">
        <v>23</v>
      </c>
      <c r="O1628">
        <v>4</v>
      </c>
      <c r="P1628">
        <v>92.64</v>
      </c>
      <c r="Q1628">
        <v>104.64</v>
      </c>
      <c r="R1628" t="s">
        <v>2054</v>
      </c>
    </row>
    <row r="1629" spans="1:18" x14ac:dyDescent="0.25">
      <c r="A1629" t="s">
        <v>1680</v>
      </c>
      <c r="B1629" s="1">
        <v>45828</v>
      </c>
      <c r="C1629" s="1">
        <v>45831</v>
      </c>
      <c r="D1629" t="s">
        <v>72</v>
      </c>
      <c r="E1629" t="s">
        <v>44</v>
      </c>
      <c r="F1629" t="s">
        <v>45</v>
      </c>
      <c r="G1629" t="s">
        <v>21</v>
      </c>
      <c r="H1629" t="s">
        <v>40</v>
      </c>
      <c r="I1629">
        <v>3</v>
      </c>
      <c r="J1629">
        <v>652.37</v>
      </c>
      <c r="K1629">
        <v>37.5</v>
      </c>
      <c r="L1629">
        <v>130</v>
      </c>
      <c r="M1629">
        <v>666.24</v>
      </c>
      <c r="N1629" t="s">
        <v>23</v>
      </c>
      <c r="O1629">
        <v>3</v>
      </c>
      <c r="P1629">
        <v>1957.1100000000001</v>
      </c>
      <c r="Q1629">
        <v>1994.6100000000001</v>
      </c>
      <c r="R1629" t="s">
        <v>2054</v>
      </c>
    </row>
    <row r="1630" spans="1:18" x14ac:dyDescent="0.25">
      <c r="A1630" t="s">
        <v>1681</v>
      </c>
      <c r="B1630" s="1">
        <v>45828</v>
      </c>
      <c r="C1630" s="1">
        <v>45833</v>
      </c>
      <c r="D1630" t="s">
        <v>37</v>
      </c>
      <c r="E1630" t="s">
        <v>38</v>
      </c>
      <c r="F1630" t="s">
        <v>39</v>
      </c>
      <c r="G1630" t="s">
        <v>26</v>
      </c>
      <c r="H1630" t="s">
        <v>22</v>
      </c>
      <c r="I1630">
        <v>2</v>
      </c>
      <c r="J1630">
        <v>127</v>
      </c>
      <c r="K1630">
        <v>75</v>
      </c>
      <c r="L1630">
        <v>319</v>
      </c>
      <c r="M1630">
        <v>13.3</v>
      </c>
      <c r="N1630" t="s">
        <v>23</v>
      </c>
      <c r="O1630">
        <v>5</v>
      </c>
      <c r="P1630">
        <v>254</v>
      </c>
      <c r="Q1630">
        <v>329</v>
      </c>
      <c r="R1630" t="s">
        <v>2054</v>
      </c>
    </row>
    <row r="1631" spans="1:18" x14ac:dyDescent="0.25">
      <c r="A1631" t="s">
        <v>1682</v>
      </c>
      <c r="B1631" s="1">
        <v>45829</v>
      </c>
      <c r="C1631" s="1">
        <v>45830</v>
      </c>
      <c r="D1631" t="s">
        <v>50</v>
      </c>
      <c r="E1631" t="s">
        <v>44</v>
      </c>
      <c r="F1631" t="s">
        <v>45</v>
      </c>
      <c r="G1631" t="s">
        <v>35</v>
      </c>
      <c r="H1631" t="s">
        <v>27</v>
      </c>
      <c r="I1631">
        <v>1</v>
      </c>
      <c r="J1631">
        <v>973.52</v>
      </c>
      <c r="K1631">
        <v>25</v>
      </c>
      <c r="L1631">
        <v>224</v>
      </c>
      <c r="M1631">
        <v>328.23</v>
      </c>
      <c r="N1631" t="s">
        <v>23</v>
      </c>
      <c r="O1631">
        <v>1</v>
      </c>
      <c r="P1631">
        <v>973.52</v>
      </c>
      <c r="Q1631">
        <v>998.52</v>
      </c>
      <c r="R1631" t="s">
        <v>2054</v>
      </c>
    </row>
    <row r="1632" spans="1:18" x14ac:dyDescent="0.25">
      <c r="A1632" t="s">
        <v>1683</v>
      </c>
      <c r="B1632" s="1">
        <v>45829</v>
      </c>
      <c r="C1632" s="1">
        <v>45832</v>
      </c>
      <c r="D1632" t="s">
        <v>50</v>
      </c>
      <c r="E1632" t="s">
        <v>44</v>
      </c>
      <c r="F1632" t="s">
        <v>45</v>
      </c>
      <c r="G1632" t="s">
        <v>35</v>
      </c>
      <c r="H1632" t="s">
        <v>32</v>
      </c>
      <c r="I1632">
        <v>1</v>
      </c>
      <c r="J1632">
        <v>315.26</v>
      </c>
      <c r="K1632">
        <v>25</v>
      </c>
      <c r="L1632">
        <v>319</v>
      </c>
      <c r="M1632">
        <v>97.84</v>
      </c>
      <c r="N1632" t="s">
        <v>23</v>
      </c>
      <c r="O1632">
        <v>3</v>
      </c>
      <c r="P1632">
        <v>315.26</v>
      </c>
      <c r="Q1632">
        <v>340.26</v>
      </c>
      <c r="R1632" t="s">
        <v>2054</v>
      </c>
    </row>
    <row r="1633" spans="1:18" x14ac:dyDescent="0.25">
      <c r="A1633" t="s">
        <v>1684</v>
      </c>
      <c r="B1633" s="1">
        <v>45831</v>
      </c>
      <c r="C1633" s="1">
        <v>45834</v>
      </c>
      <c r="D1633" t="s">
        <v>54</v>
      </c>
      <c r="E1633" t="s">
        <v>38</v>
      </c>
      <c r="F1633" t="s">
        <v>39</v>
      </c>
      <c r="G1633" t="s">
        <v>21</v>
      </c>
      <c r="H1633" t="s">
        <v>22</v>
      </c>
      <c r="I1633">
        <v>2</v>
      </c>
      <c r="J1633">
        <v>489.54</v>
      </c>
      <c r="K1633">
        <v>75</v>
      </c>
      <c r="L1633">
        <v>125</v>
      </c>
      <c r="M1633">
        <v>158.31</v>
      </c>
      <c r="N1633" t="s">
        <v>23</v>
      </c>
      <c r="O1633">
        <v>3</v>
      </c>
      <c r="P1633">
        <v>979.08</v>
      </c>
      <c r="Q1633">
        <v>1054.08</v>
      </c>
      <c r="R1633" t="s">
        <v>2054</v>
      </c>
    </row>
    <row r="1634" spans="1:18" x14ac:dyDescent="0.25">
      <c r="A1634" t="s">
        <v>1685</v>
      </c>
      <c r="B1634" s="1">
        <v>45832</v>
      </c>
      <c r="C1634" s="1">
        <v>45847</v>
      </c>
      <c r="D1634" t="s">
        <v>37</v>
      </c>
      <c r="E1634" t="s">
        <v>38</v>
      </c>
      <c r="F1634" t="s">
        <v>39</v>
      </c>
      <c r="G1634" t="s">
        <v>35</v>
      </c>
      <c r="H1634" t="s">
        <v>40</v>
      </c>
      <c r="I1634">
        <v>2</v>
      </c>
      <c r="J1634">
        <v>432.11</v>
      </c>
      <c r="K1634">
        <v>112.5</v>
      </c>
      <c r="L1634">
        <v>163</v>
      </c>
      <c r="M1634">
        <v>116.6</v>
      </c>
      <c r="N1634" t="s">
        <v>47</v>
      </c>
      <c r="O1634">
        <v>15</v>
      </c>
      <c r="P1634">
        <v>864.22</v>
      </c>
      <c r="Q1634">
        <v>976.72</v>
      </c>
      <c r="R1634" t="s">
        <v>2054</v>
      </c>
    </row>
    <row r="1635" spans="1:18" x14ac:dyDescent="0.25">
      <c r="A1635" t="s">
        <v>1686</v>
      </c>
      <c r="B1635" s="1">
        <v>45833</v>
      </c>
      <c r="C1635" s="1">
        <v>45838</v>
      </c>
      <c r="D1635" t="s">
        <v>18</v>
      </c>
      <c r="E1635" t="s">
        <v>19</v>
      </c>
      <c r="F1635" t="s">
        <v>20</v>
      </c>
      <c r="G1635" t="s">
        <v>26</v>
      </c>
      <c r="H1635" t="s">
        <v>32</v>
      </c>
      <c r="I1635">
        <v>5</v>
      </c>
      <c r="J1635">
        <v>25.26</v>
      </c>
      <c r="K1635">
        <v>8</v>
      </c>
      <c r="L1635">
        <v>36</v>
      </c>
      <c r="M1635">
        <v>6.11</v>
      </c>
      <c r="N1635" t="s">
        <v>23</v>
      </c>
      <c r="O1635">
        <v>5</v>
      </c>
      <c r="P1635">
        <v>126.30000000000001</v>
      </c>
      <c r="Q1635">
        <v>134.30000000000001</v>
      </c>
      <c r="R1635" t="s">
        <v>2055</v>
      </c>
    </row>
    <row r="1636" spans="1:18" x14ac:dyDescent="0.25">
      <c r="A1636" t="s">
        <v>1687</v>
      </c>
      <c r="B1636" s="1">
        <v>45835</v>
      </c>
      <c r="C1636" s="1">
        <v>45849</v>
      </c>
      <c r="D1636" t="s">
        <v>18</v>
      </c>
      <c r="E1636" t="s">
        <v>19</v>
      </c>
      <c r="F1636" t="s">
        <v>20</v>
      </c>
      <c r="G1636" t="s">
        <v>35</v>
      </c>
      <c r="H1636" t="s">
        <v>40</v>
      </c>
      <c r="I1636">
        <v>7</v>
      </c>
      <c r="J1636">
        <v>23.72</v>
      </c>
      <c r="K1636">
        <v>12</v>
      </c>
      <c r="L1636">
        <v>248</v>
      </c>
      <c r="M1636">
        <v>7.28</v>
      </c>
      <c r="N1636" t="s">
        <v>47</v>
      </c>
      <c r="O1636">
        <v>14</v>
      </c>
      <c r="P1636">
        <v>166.04</v>
      </c>
      <c r="Q1636">
        <v>178.04</v>
      </c>
      <c r="R1636" t="s">
        <v>2054</v>
      </c>
    </row>
    <row r="1637" spans="1:18" x14ac:dyDescent="0.25">
      <c r="A1637" t="s">
        <v>1688</v>
      </c>
      <c r="B1637" s="1">
        <v>45835</v>
      </c>
      <c r="C1637" s="1">
        <v>45837</v>
      </c>
      <c r="D1637" t="s">
        <v>29</v>
      </c>
      <c r="E1637" t="s">
        <v>30</v>
      </c>
      <c r="F1637" t="s">
        <v>31</v>
      </c>
      <c r="G1637" t="s">
        <v>35</v>
      </c>
      <c r="H1637" t="s">
        <v>40</v>
      </c>
      <c r="I1637">
        <v>2</v>
      </c>
      <c r="J1637">
        <v>37.93</v>
      </c>
      <c r="K1637">
        <v>18</v>
      </c>
      <c r="L1637">
        <v>183</v>
      </c>
      <c r="M1637">
        <v>21.34</v>
      </c>
      <c r="N1637" t="s">
        <v>23</v>
      </c>
      <c r="O1637">
        <v>2</v>
      </c>
      <c r="P1637">
        <v>75.86</v>
      </c>
      <c r="Q1637">
        <v>93.86</v>
      </c>
      <c r="R1637" t="s">
        <v>2054</v>
      </c>
    </row>
    <row r="1638" spans="1:18" x14ac:dyDescent="0.25">
      <c r="A1638" t="s">
        <v>1689</v>
      </c>
      <c r="B1638" s="1">
        <v>45835</v>
      </c>
      <c r="C1638" s="1">
        <v>45845</v>
      </c>
      <c r="D1638" t="s">
        <v>50</v>
      </c>
      <c r="E1638" t="s">
        <v>44</v>
      </c>
      <c r="F1638" t="s">
        <v>45</v>
      </c>
      <c r="G1638" t="s">
        <v>35</v>
      </c>
      <c r="H1638" t="s">
        <v>40</v>
      </c>
      <c r="I1638">
        <v>1</v>
      </c>
      <c r="J1638">
        <v>404.4</v>
      </c>
      <c r="K1638">
        <v>37.5</v>
      </c>
      <c r="L1638">
        <v>138</v>
      </c>
      <c r="M1638">
        <v>122.79</v>
      </c>
      <c r="N1638" t="s">
        <v>63</v>
      </c>
      <c r="O1638">
        <v>10</v>
      </c>
      <c r="P1638">
        <v>404.4</v>
      </c>
      <c r="Q1638">
        <v>441.9</v>
      </c>
      <c r="R1638" t="s">
        <v>2054</v>
      </c>
    </row>
    <row r="1639" spans="1:18" x14ac:dyDescent="0.25">
      <c r="A1639" t="s">
        <v>1690</v>
      </c>
      <c r="B1639" s="1">
        <v>45836</v>
      </c>
      <c r="C1639" s="1">
        <v>45837</v>
      </c>
      <c r="D1639" t="s">
        <v>43</v>
      </c>
      <c r="E1639" t="s">
        <v>44</v>
      </c>
      <c r="F1639" t="s">
        <v>45</v>
      </c>
      <c r="G1639" t="s">
        <v>26</v>
      </c>
      <c r="H1639" t="s">
        <v>32</v>
      </c>
      <c r="I1639">
        <v>3</v>
      </c>
      <c r="J1639">
        <v>462.82</v>
      </c>
      <c r="K1639">
        <v>25</v>
      </c>
      <c r="L1639">
        <v>375</v>
      </c>
      <c r="M1639">
        <v>473.46</v>
      </c>
      <c r="N1639" t="s">
        <v>23</v>
      </c>
      <c r="O1639">
        <v>1</v>
      </c>
      <c r="P1639">
        <v>1388.46</v>
      </c>
      <c r="Q1639">
        <v>1413.46</v>
      </c>
      <c r="R1639" t="s">
        <v>2054</v>
      </c>
    </row>
    <row r="1640" spans="1:18" x14ac:dyDescent="0.25">
      <c r="A1640" t="s">
        <v>1691</v>
      </c>
      <c r="B1640" s="1">
        <v>45837</v>
      </c>
      <c r="C1640" s="1">
        <v>45854</v>
      </c>
      <c r="D1640" t="s">
        <v>25</v>
      </c>
      <c r="E1640" t="s">
        <v>19</v>
      </c>
      <c r="F1640" t="s">
        <v>20</v>
      </c>
      <c r="G1640" t="s">
        <v>35</v>
      </c>
      <c r="H1640" t="s">
        <v>40</v>
      </c>
      <c r="I1640">
        <v>9</v>
      </c>
      <c r="J1640">
        <v>32.01</v>
      </c>
      <c r="K1640">
        <v>12</v>
      </c>
      <c r="L1640">
        <v>310</v>
      </c>
      <c r="M1640">
        <v>17.05</v>
      </c>
      <c r="N1640" t="s">
        <v>47</v>
      </c>
      <c r="O1640">
        <v>17</v>
      </c>
      <c r="P1640">
        <v>288.08999999999997</v>
      </c>
      <c r="Q1640">
        <v>300.08999999999997</v>
      </c>
      <c r="R1640" t="s">
        <v>2054</v>
      </c>
    </row>
    <row r="1641" spans="1:18" x14ac:dyDescent="0.25">
      <c r="A1641" t="s">
        <v>1692</v>
      </c>
      <c r="B1641" s="1">
        <v>45837</v>
      </c>
      <c r="C1641" s="1">
        <v>45841</v>
      </c>
      <c r="D1641" t="s">
        <v>56</v>
      </c>
      <c r="E1641" t="s">
        <v>38</v>
      </c>
      <c r="F1641" t="s">
        <v>39</v>
      </c>
      <c r="G1641" t="s">
        <v>26</v>
      </c>
      <c r="H1641" t="s">
        <v>32</v>
      </c>
      <c r="I1641">
        <v>1</v>
      </c>
      <c r="J1641">
        <v>262.52999999999997</v>
      </c>
      <c r="K1641">
        <v>75</v>
      </c>
      <c r="L1641">
        <v>200</v>
      </c>
      <c r="M1641">
        <v>15.01</v>
      </c>
      <c r="N1641" t="s">
        <v>23</v>
      </c>
      <c r="O1641">
        <v>4</v>
      </c>
      <c r="P1641">
        <v>262.52999999999997</v>
      </c>
      <c r="Q1641">
        <v>337.53</v>
      </c>
      <c r="R1641" t="s">
        <v>2054</v>
      </c>
    </row>
    <row r="1642" spans="1:18" x14ac:dyDescent="0.25">
      <c r="A1642" t="s">
        <v>1693</v>
      </c>
      <c r="B1642" s="1">
        <v>45838</v>
      </c>
      <c r="C1642" s="1">
        <v>45840</v>
      </c>
      <c r="D1642" t="s">
        <v>29</v>
      </c>
      <c r="E1642" t="s">
        <v>30</v>
      </c>
      <c r="F1642" t="s">
        <v>31</v>
      </c>
      <c r="G1642" t="s">
        <v>26</v>
      </c>
      <c r="H1642" t="s">
        <v>27</v>
      </c>
      <c r="I1642">
        <v>2</v>
      </c>
      <c r="J1642">
        <v>96.61</v>
      </c>
      <c r="K1642">
        <v>12</v>
      </c>
      <c r="L1642">
        <v>133</v>
      </c>
      <c r="M1642">
        <v>71.290000000000006</v>
      </c>
      <c r="N1642" t="s">
        <v>23</v>
      </c>
      <c r="O1642">
        <v>2</v>
      </c>
      <c r="P1642">
        <v>193.22</v>
      </c>
      <c r="Q1642">
        <v>205.22</v>
      </c>
      <c r="R1642" t="s">
        <v>2054</v>
      </c>
    </row>
    <row r="1643" spans="1:18" x14ac:dyDescent="0.25">
      <c r="A1643" t="s">
        <v>1694</v>
      </c>
      <c r="B1643" s="1">
        <v>45838</v>
      </c>
      <c r="C1643" s="1">
        <v>45841</v>
      </c>
      <c r="D1643" t="s">
        <v>43</v>
      </c>
      <c r="E1643" t="s">
        <v>44</v>
      </c>
      <c r="F1643" t="s">
        <v>45</v>
      </c>
      <c r="G1643" t="s">
        <v>21</v>
      </c>
      <c r="H1643" t="s">
        <v>32</v>
      </c>
      <c r="I1643">
        <v>1</v>
      </c>
      <c r="J1643">
        <v>250.42</v>
      </c>
      <c r="K1643">
        <v>25</v>
      </c>
      <c r="L1643">
        <v>328</v>
      </c>
      <c r="M1643">
        <v>75.150000000000006</v>
      </c>
      <c r="N1643" t="s">
        <v>23</v>
      </c>
      <c r="O1643">
        <v>3</v>
      </c>
      <c r="P1643">
        <v>250.42</v>
      </c>
      <c r="Q1643">
        <v>275.41999999999996</v>
      </c>
      <c r="R1643" t="s">
        <v>2054</v>
      </c>
    </row>
    <row r="1644" spans="1:18" x14ac:dyDescent="0.25">
      <c r="A1644" t="s">
        <v>1695</v>
      </c>
      <c r="B1644" s="1">
        <v>45839</v>
      </c>
      <c r="C1644" s="1">
        <v>45840</v>
      </c>
      <c r="D1644" t="s">
        <v>54</v>
      </c>
      <c r="E1644" t="s">
        <v>38</v>
      </c>
      <c r="F1644" t="s">
        <v>39</v>
      </c>
      <c r="G1644" t="s">
        <v>35</v>
      </c>
      <c r="H1644" t="s">
        <v>40</v>
      </c>
      <c r="I1644">
        <v>2</v>
      </c>
      <c r="J1644">
        <v>184.67</v>
      </c>
      <c r="K1644">
        <v>112.5</v>
      </c>
      <c r="L1644">
        <v>239</v>
      </c>
      <c r="M1644">
        <v>17.62</v>
      </c>
      <c r="N1644" t="s">
        <v>23</v>
      </c>
      <c r="O1644">
        <v>1</v>
      </c>
      <c r="P1644">
        <v>369.34</v>
      </c>
      <c r="Q1644">
        <v>481.84</v>
      </c>
      <c r="R1644" t="s">
        <v>2054</v>
      </c>
    </row>
    <row r="1645" spans="1:18" x14ac:dyDescent="0.25">
      <c r="A1645" t="s">
        <v>1696</v>
      </c>
      <c r="B1645" s="1">
        <v>45840</v>
      </c>
      <c r="C1645" s="1">
        <v>45843</v>
      </c>
      <c r="D1645" t="s">
        <v>18</v>
      </c>
      <c r="E1645" t="s">
        <v>19</v>
      </c>
      <c r="F1645" t="s">
        <v>20</v>
      </c>
      <c r="G1645" t="s">
        <v>35</v>
      </c>
      <c r="H1645" t="s">
        <v>27</v>
      </c>
      <c r="I1645">
        <v>9</v>
      </c>
      <c r="J1645">
        <v>36.700000000000003</v>
      </c>
      <c r="K1645">
        <v>8</v>
      </c>
      <c r="L1645">
        <v>277</v>
      </c>
      <c r="M1645">
        <v>22.43</v>
      </c>
      <c r="N1645" t="s">
        <v>23</v>
      </c>
      <c r="O1645">
        <v>3</v>
      </c>
      <c r="P1645">
        <v>330.3</v>
      </c>
      <c r="Q1645">
        <v>338.3</v>
      </c>
      <c r="R1645" t="s">
        <v>2054</v>
      </c>
    </row>
    <row r="1646" spans="1:18" x14ac:dyDescent="0.25">
      <c r="A1646" t="s">
        <v>1697</v>
      </c>
      <c r="B1646" s="1">
        <v>45840</v>
      </c>
      <c r="C1646" s="1">
        <v>45845</v>
      </c>
      <c r="D1646" t="s">
        <v>72</v>
      </c>
      <c r="E1646" t="s">
        <v>44</v>
      </c>
      <c r="F1646" t="s">
        <v>45</v>
      </c>
      <c r="G1646" t="s">
        <v>35</v>
      </c>
      <c r="H1646" t="s">
        <v>27</v>
      </c>
      <c r="I1646">
        <v>3</v>
      </c>
      <c r="J1646">
        <v>234.37</v>
      </c>
      <c r="K1646">
        <v>25</v>
      </c>
      <c r="L1646">
        <v>347</v>
      </c>
      <c r="M1646">
        <v>233.58</v>
      </c>
      <c r="N1646" t="s">
        <v>23</v>
      </c>
      <c r="O1646">
        <v>5</v>
      </c>
      <c r="P1646">
        <v>703.11</v>
      </c>
      <c r="Q1646">
        <v>728.11</v>
      </c>
      <c r="R1646" t="s">
        <v>2054</v>
      </c>
    </row>
    <row r="1647" spans="1:18" x14ac:dyDescent="0.25">
      <c r="A1647" t="s">
        <v>1698</v>
      </c>
      <c r="B1647" s="1">
        <v>45840</v>
      </c>
      <c r="C1647" s="1">
        <v>45845</v>
      </c>
      <c r="D1647" t="s">
        <v>75</v>
      </c>
      <c r="E1647" t="s">
        <v>44</v>
      </c>
      <c r="F1647" t="s">
        <v>45</v>
      </c>
      <c r="G1647" t="s">
        <v>35</v>
      </c>
      <c r="H1647" t="s">
        <v>40</v>
      </c>
      <c r="I1647">
        <v>1</v>
      </c>
      <c r="J1647">
        <v>440.25</v>
      </c>
      <c r="K1647">
        <v>37.5</v>
      </c>
      <c r="L1647">
        <v>96</v>
      </c>
      <c r="M1647">
        <v>135.34</v>
      </c>
      <c r="N1647" t="s">
        <v>23</v>
      </c>
      <c r="O1647">
        <v>5</v>
      </c>
      <c r="P1647">
        <v>440.25</v>
      </c>
      <c r="Q1647">
        <v>477.75</v>
      </c>
      <c r="R1647" t="s">
        <v>2054</v>
      </c>
    </row>
    <row r="1648" spans="1:18" x14ac:dyDescent="0.25">
      <c r="A1648" t="s">
        <v>1699</v>
      </c>
      <c r="B1648" s="1">
        <v>45841</v>
      </c>
      <c r="C1648" s="1">
        <v>45844</v>
      </c>
      <c r="D1648" t="s">
        <v>29</v>
      </c>
      <c r="E1648" t="s">
        <v>30</v>
      </c>
      <c r="F1648" t="s">
        <v>31</v>
      </c>
      <c r="G1648" t="s">
        <v>26</v>
      </c>
      <c r="H1648" t="s">
        <v>27</v>
      </c>
      <c r="I1648">
        <v>4</v>
      </c>
      <c r="J1648">
        <v>145.43</v>
      </c>
      <c r="K1648">
        <v>12</v>
      </c>
      <c r="L1648">
        <v>243</v>
      </c>
      <c r="M1648">
        <v>226.68</v>
      </c>
      <c r="N1648" t="s">
        <v>23</v>
      </c>
      <c r="O1648">
        <v>3</v>
      </c>
      <c r="P1648">
        <v>581.72</v>
      </c>
      <c r="Q1648">
        <v>593.72</v>
      </c>
      <c r="R1648" t="s">
        <v>2054</v>
      </c>
    </row>
    <row r="1649" spans="1:18" x14ac:dyDescent="0.25">
      <c r="A1649" t="s">
        <v>1700</v>
      </c>
      <c r="B1649" s="1">
        <v>45841</v>
      </c>
      <c r="C1649" s="1">
        <v>45843</v>
      </c>
      <c r="D1649" t="s">
        <v>52</v>
      </c>
      <c r="E1649" t="s">
        <v>30</v>
      </c>
      <c r="F1649" t="s">
        <v>31</v>
      </c>
      <c r="G1649" t="s">
        <v>26</v>
      </c>
      <c r="H1649" t="s">
        <v>32</v>
      </c>
      <c r="I1649">
        <v>3</v>
      </c>
      <c r="J1649">
        <v>145.47999999999999</v>
      </c>
      <c r="K1649">
        <v>12</v>
      </c>
      <c r="L1649">
        <v>50</v>
      </c>
      <c r="M1649">
        <v>-65.47</v>
      </c>
      <c r="N1649" t="s">
        <v>23</v>
      </c>
      <c r="O1649">
        <v>2</v>
      </c>
      <c r="P1649">
        <v>436.43999999999994</v>
      </c>
      <c r="Q1649">
        <v>448.43999999999994</v>
      </c>
      <c r="R1649" t="s">
        <v>2055</v>
      </c>
    </row>
    <row r="1650" spans="1:18" x14ac:dyDescent="0.25">
      <c r="A1650" t="s">
        <v>1701</v>
      </c>
      <c r="B1650" s="1">
        <v>45842</v>
      </c>
      <c r="C1650" s="1">
        <v>45846</v>
      </c>
      <c r="D1650" t="s">
        <v>50</v>
      </c>
      <c r="E1650" t="s">
        <v>44</v>
      </c>
      <c r="F1650" t="s">
        <v>45</v>
      </c>
      <c r="G1650" t="s">
        <v>21</v>
      </c>
      <c r="H1650" t="s">
        <v>32</v>
      </c>
      <c r="I1650">
        <v>3</v>
      </c>
      <c r="J1650">
        <v>672.66</v>
      </c>
      <c r="K1650">
        <v>25</v>
      </c>
      <c r="L1650">
        <v>221</v>
      </c>
      <c r="M1650">
        <v>693.8</v>
      </c>
      <c r="N1650" t="s">
        <v>23</v>
      </c>
      <c r="O1650">
        <v>4</v>
      </c>
      <c r="P1650">
        <v>2017.98</v>
      </c>
      <c r="Q1650">
        <v>2042.98</v>
      </c>
      <c r="R1650" t="s">
        <v>2054</v>
      </c>
    </row>
    <row r="1651" spans="1:18" x14ac:dyDescent="0.25">
      <c r="A1651" t="s">
        <v>1702</v>
      </c>
      <c r="B1651" s="1">
        <v>45842</v>
      </c>
      <c r="C1651" s="1">
        <v>45843</v>
      </c>
      <c r="D1651" t="s">
        <v>118</v>
      </c>
      <c r="E1651" t="s">
        <v>79</v>
      </c>
      <c r="F1651" t="s">
        <v>80</v>
      </c>
      <c r="G1651" t="s">
        <v>21</v>
      </c>
      <c r="H1651" t="s">
        <v>27</v>
      </c>
      <c r="I1651">
        <v>1</v>
      </c>
      <c r="J1651">
        <v>57.92</v>
      </c>
      <c r="K1651">
        <v>12</v>
      </c>
      <c r="L1651">
        <v>80</v>
      </c>
      <c r="M1651">
        <v>20.059999999999999</v>
      </c>
      <c r="N1651" t="s">
        <v>23</v>
      </c>
      <c r="O1651">
        <v>1</v>
      </c>
      <c r="P1651">
        <v>57.92</v>
      </c>
      <c r="Q1651">
        <v>69.92</v>
      </c>
      <c r="R1651" t="s">
        <v>2054</v>
      </c>
    </row>
    <row r="1652" spans="1:18" x14ac:dyDescent="0.25">
      <c r="A1652" t="s">
        <v>1703</v>
      </c>
      <c r="B1652" s="1">
        <v>45843</v>
      </c>
      <c r="C1652" s="1">
        <v>45845</v>
      </c>
      <c r="D1652" t="s">
        <v>25</v>
      </c>
      <c r="E1652" t="s">
        <v>19</v>
      </c>
      <c r="F1652" t="s">
        <v>20</v>
      </c>
      <c r="G1652" t="s">
        <v>26</v>
      </c>
      <c r="H1652" t="s">
        <v>32</v>
      </c>
      <c r="I1652">
        <v>14</v>
      </c>
      <c r="J1652">
        <v>29.58</v>
      </c>
      <c r="K1652">
        <v>8</v>
      </c>
      <c r="L1652">
        <v>2</v>
      </c>
      <c r="M1652">
        <v>29.13</v>
      </c>
      <c r="N1652" t="s">
        <v>23</v>
      </c>
      <c r="O1652">
        <v>2</v>
      </c>
      <c r="P1652">
        <v>414.12</v>
      </c>
      <c r="Q1652">
        <v>422.12</v>
      </c>
      <c r="R1652" t="s">
        <v>2056</v>
      </c>
    </row>
    <row r="1653" spans="1:18" x14ac:dyDescent="0.25">
      <c r="A1653" t="s">
        <v>1704</v>
      </c>
      <c r="B1653" s="1">
        <v>45843</v>
      </c>
      <c r="C1653" s="1">
        <v>45847</v>
      </c>
      <c r="D1653" t="s">
        <v>58</v>
      </c>
      <c r="E1653" t="s">
        <v>19</v>
      </c>
      <c r="F1653" t="s">
        <v>20</v>
      </c>
      <c r="G1653" t="s">
        <v>26</v>
      </c>
      <c r="H1653" t="s">
        <v>27</v>
      </c>
      <c r="I1653">
        <v>12</v>
      </c>
      <c r="J1653">
        <v>20.23</v>
      </c>
      <c r="K1653">
        <v>8</v>
      </c>
      <c r="L1653">
        <v>314</v>
      </c>
      <c r="M1653">
        <v>15.42</v>
      </c>
      <c r="N1653" t="s">
        <v>23</v>
      </c>
      <c r="O1653">
        <v>4</v>
      </c>
      <c r="P1653">
        <v>242.76</v>
      </c>
      <c r="Q1653">
        <v>250.76</v>
      </c>
      <c r="R1653" t="s">
        <v>2054</v>
      </c>
    </row>
    <row r="1654" spans="1:18" x14ac:dyDescent="0.25">
      <c r="A1654" t="s">
        <v>1705</v>
      </c>
      <c r="B1654" s="1">
        <v>45844</v>
      </c>
      <c r="C1654" s="1">
        <v>45848</v>
      </c>
      <c r="D1654" t="s">
        <v>25</v>
      </c>
      <c r="E1654" t="s">
        <v>19</v>
      </c>
      <c r="F1654" t="s">
        <v>20</v>
      </c>
      <c r="G1654" t="s">
        <v>26</v>
      </c>
      <c r="H1654" t="s">
        <v>22</v>
      </c>
      <c r="I1654">
        <v>11</v>
      </c>
      <c r="J1654">
        <v>33.380000000000003</v>
      </c>
      <c r="K1654">
        <v>8</v>
      </c>
      <c r="L1654">
        <v>274</v>
      </c>
      <c r="M1654">
        <v>25.37</v>
      </c>
      <c r="N1654" t="s">
        <v>23</v>
      </c>
      <c r="O1654">
        <v>4</v>
      </c>
      <c r="P1654">
        <v>367.18</v>
      </c>
      <c r="Q1654">
        <v>375.18</v>
      </c>
      <c r="R1654" t="s">
        <v>2054</v>
      </c>
    </row>
    <row r="1655" spans="1:18" x14ac:dyDescent="0.25">
      <c r="A1655" t="s">
        <v>1706</v>
      </c>
      <c r="B1655" s="1">
        <v>45844</v>
      </c>
      <c r="C1655" s="1">
        <v>45846</v>
      </c>
      <c r="D1655" t="s">
        <v>78</v>
      </c>
      <c r="E1655" t="s">
        <v>79</v>
      </c>
      <c r="F1655" t="s">
        <v>80</v>
      </c>
      <c r="G1655" t="s">
        <v>26</v>
      </c>
      <c r="H1655" t="s">
        <v>22</v>
      </c>
      <c r="I1655">
        <v>3</v>
      </c>
      <c r="J1655">
        <v>110.41</v>
      </c>
      <c r="K1655">
        <v>12</v>
      </c>
      <c r="L1655">
        <v>311</v>
      </c>
      <c r="M1655">
        <v>143.05000000000001</v>
      </c>
      <c r="N1655" t="s">
        <v>23</v>
      </c>
      <c r="O1655">
        <v>2</v>
      </c>
      <c r="P1655">
        <v>331.23</v>
      </c>
      <c r="Q1655">
        <v>343.23</v>
      </c>
      <c r="R1655" t="s">
        <v>2054</v>
      </c>
    </row>
    <row r="1656" spans="1:18" x14ac:dyDescent="0.25">
      <c r="A1656" t="s">
        <v>1707</v>
      </c>
      <c r="B1656" s="1">
        <v>45844</v>
      </c>
      <c r="C1656" s="1">
        <v>45847</v>
      </c>
      <c r="D1656" t="s">
        <v>18</v>
      </c>
      <c r="E1656" t="s">
        <v>19</v>
      </c>
      <c r="F1656" t="s">
        <v>20</v>
      </c>
      <c r="G1656" t="s">
        <v>35</v>
      </c>
      <c r="H1656" t="s">
        <v>22</v>
      </c>
      <c r="I1656">
        <v>5</v>
      </c>
      <c r="J1656">
        <v>12.05</v>
      </c>
      <c r="K1656">
        <v>8</v>
      </c>
      <c r="L1656">
        <v>44</v>
      </c>
      <c r="M1656">
        <v>0.82</v>
      </c>
      <c r="N1656" t="s">
        <v>23</v>
      </c>
      <c r="O1656">
        <v>3</v>
      </c>
      <c r="P1656">
        <v>60.25</v>
      </c>
      <c r="Q1656">
        <v>68.25</v>
      </c>
      <c r="R1656" t="s">
        <v>2055</v>
      </c>
    </row>
    <row r="1657" spans="1:18" x14ac:dyDescent="0.25">
      <c r="A1657" t="s">
        <v>1708</v>
      </c>
      <c r="B1657" s="1">
        <v>45845</v>
      </c>
      <c r="C1657" s="1">
        <v>45846</v>
      </c>
      <c r="D1657" t="s">
        <v>72</v>
      </c>
      <c r="E1657" t="s">
        <v>44</v>
      </c>
      <c r="F1657" t="s">
        <v>45</v>
      </c>
      <c r="G1657" t="s">
        <v>21</v>
      </c>
      <c r="H1657" t="s">
        <v>22</v>
      </c>
      <c r="I1657">
        <v>2</v>
      </c>
      <c r="J1657">
        <v>321.44</v>
      </c>
      <c r="K1657">
        <v>25</v>
      </c>
      <c r="L1657">
        <v>60</v>
      </c>
      <c r="M1657">
        <v>212.51</v>
      </c>
      <c r="N1657" t="s">
        <v>23</v>
      </c>
      <c r="O1657">
        <v>1</v>
      </c>
      <c r="P1657">
        <v>642.88</v>
      </c>
      <c r="Q1657">
        <v>667.88</v>
      </c>
      <c r="R1657" t="s">
        <v>2054</v>
      </c>
    </row>
    <row r="1658" spans="1:18" x14ac:dyDescent="0.25">
      <c r="A1658" t="s">
        <v>1709</v>
      </c>
      <c r="B1658" s="1">
        <v>45845</v>
      </c>
      <c r="C1658" s="1">
        <v>45847</v>
      </c>
      <c r="D1658" t="s">
        <v>58</v>
      </c>
      <c r="E1658" t="s">
        <v>19</v>
      </c>
      <c r="F1658" t="s">
        <v>20</v>
      </c>
      <c r="G1658" t="s">
        <v>26</v>
      </c>
      <c r="H1658" t="s">
        <v>32</v>
      </c>
      <c r="I1658">
        <v>7</v>
      </c>
      <c r="J1658">
        <v>34.450000000000003</v>
      </c>
      <c r="K1658">
        <v>8</v>
      </c>
      <c r="L1658">
        <v>67</v>
      </c>
      <c r="M1658">
        <v>15.29</v>
      </c>
      <c r="N1658" t="s">
        <v>23</v>
      </c>
      <c r="O1658">
        <v>2</v>
      </c>
      <c r="P1658">
        <v>241.15000000000003</v>
      </c>
      <c r="Q1658">
        <v>249.15000000000003</v>
      </c>
      <c r="R1658" t="s">
        <v>2054</v>
      </c>
    </row>
    <row r="1659" spans="1:18" x14ac:dyDescent="0.25">
      <c r="A1659" t="s">
        <v>1710</v>
      </c>
      <c r="B1659" s="1">
        <v>45845</v>
      </c>
      <c r="C1659" s="1">
        <v>45848</v>
      </c>
      <c r="D1659" t="s">
        <v>118</v>
      </c>
      <c r="E1659" t="s">
        <v>79</v>
      </c>
      <c r="F1659" t="s">
        <v>80</v>
      </c>
      <c r="G1659" t="s">
        <v>26</v>
      </c>
      <c r="H1659" t="s">
        <v>22</v>
      </c>
      <c r="I1659">
        <v>5</v>
      </c>
      <c r="J1659">
        <v>73.900000000000006</v>
      </c>
      <c r="K1659">
        <v>12</v>
      </c>
      <c r="L1659">
        <v>29</v>
      </c>
      <c r="M1659">
        <v>160.28</v>
      </c>
      <c r="N1659" t="s">
        <v>23</v>
      </c>
      <c r="O1659">
        <v>3</v>
      </c>
      <c r="P1659">
        <v>369.5</v>
      </c>
      <c r="Q1659">
        <v>381.5</v>
      </c>
      <c r="R1659" t="s">
        <v>2055</v>
      </c>
    </row>
    <row r="1660" spans="1:18" x14ac:dyDescent="0.25">
      <c r="A1660" t="s">
        <v>1711</v>
      </c>
      <c r="B1660" s="1">
        <v>45845</v>
      </c>
      <c r="C1660" s="1">
        <v>45847</v>
      </c>
      <c r="D1660" t="s">
        <v>75</v>
      </c>
      <c r="E1660" t="s">
        <v>44</v>
      </c>
      <c r="F1660" t="s">
        <v>45</v>
      </c>
      <c r="G1660" t="s">
        <v>26</v>
      </c>
      <c r="H1660" t="s">
        <v>32</v>
      </c>
      <c r="I1660">
        <v>2</v>
      </c>
      <c r="J1660">
        <v>343.6</v>
      </c>
      <c r="K1660">
        <v>25</v>
      </c>
      <c r="L1660">
        <v>72</v>
      </c>
      <c r="M1660">
        <v>228.02</v>
      </c>
      <c r="N1660" t="s">
        <v>23</v>
      </c>
      <c r="O1660">
        <v>2</v>
      </c>
      <c r="P1660">
        <v>687.2</v>
      </c>
      <c r="Q1660">
        <v>712.2</v>
      </c>
      <c r="R1660" t="s">
        <v>2054</v>
      </c>
    </row>
    <row r="1661" spans="1:18" x14ac:dyDescent="0.25">
      <c r="A1661" t="s">
        <v>1712</v>
      </c>
      <c r="B1661" s="1">
        <v>45846</v>
      </c>
      <c r="C1661" s="1">
        <v>45856</v>
      </c>
      <c r="D1661" t="s">
        <v>118</v>
      </c>
      <c r="E1661" t="s">
        <v>79</v>
      </c>
      <c r="F1661" t="s">
        <v>80</v>
      </c>
      <c r="G1661" t="s">
        <v>35</v>
      </c>
      <c r="H1661" t="s">
        <v>40</v>
      </c>
      <c r="I1661">
        <v>4</v>
      </c>
      <c r="J1661">
        <v>71.08</v>
      </c>
      <c r="K1661">
        <v>18</v>
      </c>
      <c r="L1661">
        <v>384</v>
      </c>
      <c r="M1661">
        <v>118.95</v>
      </c>
      <c r="N1661" t="s">
        <v>63</v>
      </c>
      <c r="O1661">
        <v>10</v>
      </c>
      <c r="P1661">
        <v>284.32</v>
      </c>
      <c r="Q1661">
        <v>302.32</v>
      </c>
      <c r="R1661" t="s">
        <v>2054</v>
      </c>
    </row>
    <row r="1662" spans="1:18" x14ac:dyDescent="0.25">
      <c r="A1662" t="s">
        <v>1713</v>
      </c>
      <c r="B1662" s="1">
        <v>45846</v>
      </c>
      <c r="C1662" s="1">
        <v>45848</v>
      </c>
      <c r="D1662" t="s">
        <v>52</v>
      </c>
      <c r="E1662" t="s">
        <v>30</v>
      </c>
      <c r="F1662" t="s">
        <v>31</v>
      </c>
      <c r="G1662" t="s">
        <v>21</v>
      </c>
      <c r="H1662" t="s">
        <v>27</v>
      </c>
      <c r="I1662">
        <v>1</v>
      </c>
      <c r="J1662">
        <v>35.15</v>
      </c>
      <c r="K1662">
        <v>12</v>
      </c>
      <c r="L1662">
        <v>49</v>
      </c>
      <c r="M1662">
        <v>8.06</v>
      </c>
      <c r="N1662" t="s">
        <v>23</v>
      </c>
      <c r="O1662">
        <v>2</v>
      </c>
      <c r="P1662">
        <v>35.15</v>
      </c>
      <c r="Q1662">
        <v>47.15</v>
      </c>
      <c r="R1662" t="s">
        <v>2055</v>
      </c>
    </row>
    <row r="1663" spans="1:18" x14ac:dyDescent="0.25">
      <c r="A1663" t="s">
        <v>1714</v>
      </c>
      <c r="B1663" s="1">
        <v>45847</v>
      </c>
      <c r="C1663" s="1">
        <v>45851</v>
      </c>
      <c r="D1663" t="s">
        <v>50</v>
      </c>
      <c r="E1663" t="s">
        <v>44</v>
      </c>
      <c r="F1663" t="s">
        <v>45</v>
      </c>
      <c r="G1663" t="s">
        <v>35</v>
      </c>
      <c r="H1663" t="s">
        <v>40</v>
      </c>
      <c r="I1663">
        <v>1</v>
      </c>
      <c r="J1663">
        <v>261.11</v>
      </c>
      <c r="K1663">
        <v>37.5</v>
      </c>
      <c r="L1663">
        <v>337</v>
      </c>
      <c r="M1663">
        <v>72.64</v>
      </c>
      <c r="N1663" t="s">
        <v>23</v>
      </c>
      <c r="O1663">
        <v>4</v>
      </c>
      <c r="P1663">
        <v>261.11</v>
      </c>
      <c r="Q1663">
        <v>298.61</v>
      </c>
      <c r="R1663" t="s">
        <v>2054</v>
      </c>
    </row>
    <row r="1664" spans="1:18" x14ac:dyDescent="0.25">
      <c r="A1664" t="s">
        <v>1715</v>
      </c>
      <c r="B1664" s="1">
        <v>45847</v>
      </c>
      <c r="C1664" s="1">
        <v>45851</v>
      </c>
      <c r="D1664" t="s">
        <v>75</v>
      </c>
      <c r="E1664" t="s">
        <v>44</v>
      </c>
      <c r="F1664" t="s">
        <v>45</v>
      </c>
      <c r="G1664" t="s">
        <v>21</v>
      </c>
      <c r="H1664" t="s">
        <v>40</v>
      </c>
      <c r="I1664">
        <v>2</v>
      </c>
      <c r="J1664">
        <v>879.55</v>
      </c>
      <c r="K1664">
        <v>37.5</v>
      </c>
      <c r="L1664">
        <v>199</v>
      </c>
      <c r="M1664">
        <v>596.92999999999995</v>
      </c>
      <c r="N1664" t="s">
        <v>23</v>
      </c>
      <c r="O1664">
        <v>4</v>
      </c>
      <c r="P1664">
        <v>1759.1</v>
      </c>
      <c r="Q1664">
        <v>1796.6</v>
      </c>
      <c r="R1664" t="s">
        <v>2054</v>
      </c>
    </row>
    <row r="1665" spans="1:18" x14ac:dyDescent="0.25">
      <c r="A1665" t="s">
        <v>1716</v>
      </c>
      <c r="B1665" s="1">
        <v>45847</v>
      </c>
      <c r="C1665" s="1">
        <v>45852</v>
      </c>
      <c r="D1665" t="s">
        <v>29</v>
      </c>
      <c r="E1665" t="s">
        <v>30</v>
      </c>
      <c r="F1665" t="s">
        <v>31</v>
      </c>
      <c r="G1665" t="s">
        <v>21</v>
      </c>
      <c r="H1665" t="s">
        <v>22</v>
      </c>
      <c r="I1665">
        <v>2</v>
      </c>
      <c r="J1665">
        <v>46.93</v>
      </c>
      <c r="K1665">
        <v>12</v>
      </c>
      <c r="L1665">
        <v>132</v>
      </c>
      <c r="M1665">
        <v>31.55</v>
      </c>
      <c r="N1665" t="s">
        <v>23</v>
      </c>
      <c r="O1665">
        <v>5</v>
      </c>
      <c r="P1665">
        <v>93.86</v>
      </c>
      <c r="Q1665">
        <v>105.86</v>
      </c>
      <c r="R1665" t="s">
        <v>2054</v>
      </c>
    </row>
    <row r="1666" spans="1:18" x14ac:dyDescent="0.25">
      <c r="A1666" t="s">
        <v>1717</v>
      </c>
      <c r="B1666" s="1">
        <v>45847</v>
      </c>
      <c r="C1666" s="1">
        <v>45850</v>
      </c>
      <c r="D1666" t="s">
        <v>43</v>
      </c>
      <c r="E1666" t="s">
        <v>44</v>
      </c>
      <c r="F1666" t="s">
        <v>45</v>
      </c>
      <c r="G1666" t="s">
        <v>35</v>
      </c>
      <c r="H1666" t="s">
        <v>40</v>
      </c>
      <c r="I1666">
        <v>2</v>
      </c>
      <c r="J1666">
        <v>506.16</v>
      </c>
      <c r="K1666">
        <v>37.5</v>
      </c>
      <c r="L1666">
        <v>33</v>
      </c>
      <c r="M1666">
        <v>335.56</v>
      </c>
      <c r="N1666" t="s">
        <v>23</v>
      </c>
      <c r="O1666">
        <v>3</v>
      </c>
      <c r="P1666">
        <v>1012.32</v>
      </c>
      <c r="Q1666">
        <v>1049.8200000000002</v>
      </c>
      <c r="R1666" t="s">
        <v>2055</v>
      </c>
    </row>
    <row r="1667" spans="1:18" x14ac:dyDescent="0.25">
      <c r="A1667" t="s">
        <v>1718</v>
      </c>
      <c r="B1667" s="1">
        <v>45847</v>
      </c>
      <c r="C1667" s="1">
        <v>45864</v>
      </c>
      <c r="D1667" t="s">
        <v>50</v>
      </c>
      <c r="E1667" t="s">
        <v>44</v>
      </c>
      <c r="F1667" t="s">
        <v>45</v>
      </c>
      <c r="G1667" t="s">
        <v>35</v>
      </c>
      <c r="H1667" t="s">
        <v>32</v>
      </c>
      <c r="I1667">
        <v>2</v>
      </c>
      <c r="J1667">
        <v>678.7</v>
      </c>
      <c r="K1667">
        <v>25</v>
      </c>
      <c r="L1667">
        <v>177</v>
      </c>
      <c r="M1667">
        <v>462.59</v>
      </c>
      <c r="N1667" t="s">
        <v>47</v>
      </c>
      <c r="O1667">
        <v>17</v>
      </c>
      <c r="P1667">
        <v>1357.4</v>
      </c>
      <c r="Q1667">
        <v>1382.4</v>
      </c>
      <c r="R1667" t="s">
        <v>2054</v>
      </c>
    </row>
    <row r="1668" spans="1:18" x14ac:dyDescent="0.25">
      <c r="A1668" t="s">
        <v>1719</v>
      </c>
      <c r="B1668" s="1">
        <v>45847</v>
      </c>
      <c r="C1668" s="1">
        <v>45850</v>
      </c>
      <c r="D1668" t="s">
        <v>118</v>
      </c>
      <c r="E1668" t="s">
        <v>79</v>
      </c>
      <c r="F1668" t="s">
        <v>80</v>
      </c>
      <c r="G1668" t="s">
        <v>26</v>
      </c>
      <c r="H1668" t="s">
        <v>32</v>
      </c>
      <c r="I1668">
        <v>2</v>
      </c>
      <c r="J1668">
        <v>93.54</v>
      </c>
      <c r="K1668">
        <v>12</v>
      </c>
      <c r="L1668">
        <v>62</v>
      </c>
      <c r="M1668">
        <v>78.19</v>
      </c>
      <c r="N1668" t="s">
        <v>23</v>
      </c>
      <c r="O1668">
        <v>3</v>
      </c>
      <c r="P1668">
        <v>187.08</v>
      </c>
      <c r="Q1668">
        <v>199.08</v>
      </c>
      <c r="R1668" t="s">
        <v>2054</v>
      </c>
    </row>
    <row r="1669" spans="1:18" x14ac:dyDescent="0.25">
      <c r="A1669" t="s">
        <v>1720</v>
      </c>
      <c r="B1669" s="1">
        <v>45848</v>
      </c>
      <c r="C1669" s="1">
        <v>45850</v>
      </c>
      <c r="D1669" t="s">
        <v>56</v>
      </c>
      <c r="E1669" t="s">
        <v>38</v>
      </c>
      <c r="F1669" t="s">
        <v>39</v>
      </c>
      <c r="G1669" t="s">
        <v>35</v>
      </c>
      <c r="H1669" t="s">
        <v>40</v>
      </c>
      <c r="I1669">
        <v>2</v>
      </c>
      <c r="J1669">
        <v>316.82</v>
      </c>
      <c r="K1669">
        <v>112.5</v>
      </c>
      <c r="L1669">
        <v>63</v>
      </c>
      <c r="M1669">
        <v>70.48</v>
      </c>
      <c r="N1669" t="s">
        <v>23</v>
      </c>
      <c r="O1669">
        <v>2</v>
      </c>
      <c r="P1669">
        <v>633.64</v>
      </c>
      <c r="Q1669">
        <v>746.14</v>
      </c>
      <c r="R1669" t="s">
        <v>2054</v>
      </c>
    </row>
    <row r="1670" spans="1:18" x14ac:dyDescent="0.25">
      <c r="A1670" t="s">
        <v>1721</v>
      </c>
      <c r="B1670" s="1">
        <v>45849</v>
      </c>
      <c r="C1670" s="1">
        <v>45850</v>
      </c>
      <c r="D1670" t="s">
        <v>25</v>
      </c>
      <c r="E1670" t="s">
        <v>19</v>
      </c>
      <c r="F1670" t="s">
        <v>20</v>
      </c>
      <c r="G1670" t="s">
        <v>26</v>
      </c>
      <c r="H1670" t="s">
        <v>22</v>
      </c>
      <c r="I1670">
        <v>12</v>
      </c>
      <c r="J1670">
        <v>27.58</v>
      </c>
      <c r="K1670">
        <v>8</v>
      </c>
      <c r="L1670">
        <v>91</v>
      </c>
      <c r="M1670">
        <v>22.48</v>
      </c>
      <c r="N1670" t="s">
        <v>23</v>
      </c>
      <c r="O1670">
        <v>1</v>
      </c>
      <c r="P1670">
        <v>330.96</v>
      </c>
      <c r="Q1670">
        <v>338.96</v>
      </c>
      <c r="R1670" t="s">
        <v>2054</v>
      </c>
    </row>
    <row r="1671" spans="1:18" x14ac:dyDescent="0.25">
      <c r="A1671" t="s">
        <v>1722</v>
      </c>
      <c r="B1671" s="1">
        <v>45850</v>
      </c>
      <c r="C1671" s="1">
        <v>45853</v>
      </c>
      <c r="D1671" t="s">
        <v>50</v>
      </c>
      <c r="E1671" t="s">
        <v>44</v>
      </c>
      <c r="F1671" t="s">
        <v>45</v>
      </c>
      <c r="G1671" t="s">
        <v>35</v>
      </c>
      <c r="H1671" t="s">
        <v>32</v>
      </c>
      <c r="I1671">
        <v>2</v>
      </c>
      <c r="J1671">
        <v>775.37</v>
      </c>
      <c r="K1671">
        <v>25</v>
      </c>
      <c r="L1671">
        <v>31</v>
      </c>
      <c r="M1671">
        <v>530.26</v>
      </c>
      <c r="N1671" t="s">
        <v>23</v>
      </c>
      <c r="O1671">
        <v>3</v>
      </c>
      <c r="P1671">
        <v>1550.74</v>
      </c>
      <c r="Q1671">
        <v>1575.74</v>
      </c>
      <c r="R1671" t="s">
        <v>2055</v>
      </c>
    </row>
    <row r="1672" spans="1:18" x14ac:dyDescent="0.25">
      <c r="A1672" t="s">
        <v>1723</v>
      </c>
      <c r="B1672" s="1">
        <v>45851</v>
      </c>
      <c r="C1672" s="1">
        <v>45852</v>
      </c>
      <c r="D1672" t="s">
        <v>29</v>
      </c>
      <c r="E1672" t="s">
        <v>30</v>
      </c>
      <c r="F1672" t="s">
        <v>31</v>
      </c>
      <c r="G1672" t="s">
        <v>35</v>
      </c>
      <c r="H1672" t="s">
        <v>40</v>
      </c>
      <c r="I1672">
        <v>2</v>
      </c>
      <c r="J1672">
        <v>54.84</v>
      </c>
      <c r="K1672">
        <v>18</v>
      </c>
      <c r="L1672">
        <v>322</v>
      </c>
      <c r="M1672">
        <v>34.869999999999997</v>
      </c>
      <c r="N1672" t="s">
        <v>23</v>
      </c>
      <c r="O1672">
        <v>1</v>
      </c>
      <c r="P1672">
        <v>109.68</v>
      </c>
      <c r="Q1672">
        <v>127.68</v>
      </c>
      <c r="R1672" t="s">
        <v>2054</v>
      </c>
    </row>
    <row r="1673" spans="1:18" x14ac:dyDescent="0.25">
      <c r="A1673" t="s">
        <v>1724</v>
      </c>
      <c r="B1673" s="1">
        <v>45851</v>
      </c>
      <c r="C1673" s="1">
        <v>45855</v>
      </c>
      <c r="D1673" t="s">
        <v>29</v>
      </c>
      <c r="E1673" t="s">
        <v>30</v>
      </c>
      <c r="F1673" t="s">
        <v>31</v>
      </c>
      <c r="G1673" t="s">
        <v>21</v>
      </c>
      <c r="H1673" t="s">
        <v>40</v>
      </c>
      <c r="I1673">
        <v>2</v>
      </c>
      <c r="J1673">
        <v>107.97</v>
      </c>
      <c r="K1673">
        <v>18</v>
      </c>
      <c r="L1673">
        <v>20</v>
      </c>
      <c r="M1673">
        <v>77.37</v>
      </c>
      <c r="N1673" t="s">
        <v>23</v>
      </c>
      <c r="O1673">
        <v>4</v>
      </c>
      <c r="P1673">
        <v>215.94</v>
      </c>
      <c r="Q1673">
        <v>233.94</v>
      </c>
      <c r="R1673" t="s">
        <v>2056</v>
      </c>
    </row>
    <row r="1674" spans="1:18" x14ac:dyDescent="0.25">
      <c r="A1674" t="s">
        <v>1725</v>
      </c>
      <c r="B1674" s="1">
        <v>45852</v>
      </c>
      <c r="C1674" s="1">
        <v>45866</v>
      </c>
      <c r="D1674" t="s">
        <v>72</v>
      </c>
      <c r="E1674" t="s">
        <v>44</v>
      </c>
      <c r="F1674" t="s">
        <v>45</v>
      </c>
      <c r="G1674" t="s">
        <v>35</v>
      </c>
      <c r="H1674" t="s">
        <v>40</v>
      </c>
      <c r="I1674">
        <v>3</v>
      </c>
      <c r="J1674">
        <v>970.11</v>
      </c>
      <c r="K1674">
        <v>37.5</v>
      </c>
      <c r="L1674">
        <v>135</v>
      </c>
      <c r="M1674">
        <v>999.87</v>
      </c>
      <c r="N1674" t="s">
        <v>47</v>
      </c>
      <c r="O1674">
        <v>14</v>
      </c>
      <c r="P1674">
        <v>2910.33</v>
      </c>
      <c r="Q1674">
        <v>2947.83</v>
      </c>
      <c r="R1674" t="s">
        <v>2054</v>
      </c>
    </row>
    <row r="1675" spans="1:18" x14ac:dyDescent="0.25">
      <c r="A1675" t="s">
        <v>1726</v>
      </c>
      <c r="B1675" s="1">
        <v>45854</v>
      </c>
      <c r="C1675" s="1">
        <v>45867</v>
      </c>
      <c r="D1675" t="s">
        <v>82</v>
      </c>
      <c r="E1675" t="s">
        <v>79</v>
      </c>
      <c r="F1675" t="s">
        <v>80</v>
      </c>
      <c r="G1675" t="s">
        <v>35</v>
      </c>
      <c r="H1675" t="s">
        <v>40</v>
      </c>
      <c r="I1675">
        <v>4</v>
      </c>
      <c r="J1675">
        <v>97.11</v>
      </c>
      <c r="K1675">
        <v>18</v>
      </c>
      <c r="L1675">
        <v>254</v>
      </c>
      <c r="M1675">
        <v>165.81</v>
      </c>
      <c r="N1675" t="s">
        <v>47</v>
      </c>
      <c r="O1675">
        <v>13</v>
      </c>
      <c r="P1675">
        <v>388.44</v>
      </c>
      <c r="Q1675">
        <v>406.44</v>
      </c>
      <c r="R1675" t="s">
        <v>2054</v>
      </c>
    </row>
    <row r="1676" spans="1:18" x14ac:dyDescent="0.25">
      <c r="A1676" t="s">
        <v>1727</v>
      </c>
      <c r="B1676" s="1">
        <v>45855</v>
      </c>
      <c r="C1676" s="1">
        <v>45869</v>
      </c>
      <c r="D1676" t="s">
        <v>75</v>
      </c>
      <c r="E1676" t="s">
        <v>44</v>
      </c>
      <c r="F1676" t="s">
        <v>45</v>
      </c>
      <c r="G1676" t="s">
        <v>35</v>
      </c>
      <c r="H1676" t="s">
        <v>27</v>
      </c>
      <c r="I1676">
        <v>1</v>
      </c>
      <c r="J1676">
        <v>1004.56</v>
      </c>
      <c r="K1676">
        <v>25</v>
      </c>
      <c r="L1676">
        <v>388</v>
      </c>
      <c r="M1676">
        <v>339.1</v>
      </c>
      <c r="N1676" t="s">
        <v>47</v>
      </c>
      <c r="O1676">
        <v>14</v>
      </c>
      <c r="P1676">
        <v>1004.56</v>
      </c>
      <c r="Q1676">
        <v>1029.56</v>
      </c>
      <c r="R1676" t="s">
        <v>2054</v>
      </c>
    </row>
    <row r="1677" spans="1:18" x14ac:dyDescent="0.25">
      <c r="A1677" t="s">
        <v>1728</v>
      </c>
      <c r="B1677" s="1">
        <v>45855</v>
      </c>
      <c r="C1677" s="1">
        <v>45859</v>
      </c>
      <c r="D1677" t="s">
        <v>43</v>
      </c>
      <c r="E1677" t="s">
        <v>44</v>
      </c>
      <c r="F1677" t="s">
        <v>45</v>
      </c>
      <c r="G1677" t="s">
        <v>35</v>
      </c>
      <c r="H1677" t="s">
        <v>32</v>
      </c>
      <c r="I1677">
        <v>3</v>
      </c>
      <c r="J1677">
        <v>1103.01</v>
      </c>
      <c r="K1677">
        <v>25</v>
      </c>
      <c r="L1677">
        <v>21</v>
      </c>
      <c r="M1677">
        <v>1145.6600000000001</v>
      </c>
      <c r="N1677" t="s">
        <v>23</v>
      </c>
      <c r="O1677">
        <v>4</v>
      </c>
      <c r="P1677">
        <v>3309.0299999999997</v>
      </c>
      <c r="Q1677">
        <v>3334.0299999999997</v>
      </c>
      <c r="R1677" t="s">
        <v>2055</v>
      </c>
    </row>
    <row r="1678" spans="1:18" x14ac:dyDescent="0.25">
      <c r="A1678" t="s">
        <v>1729</v>
      </c>
      <c r="B1678" s="1">
        <v>45855</v>
      </c>
      <c r="C1678" s="1">
        <v>45857</v>
      </c>
      <c r="D1678" t="s">
        <v>54</v>
      </c>
      <c r="E1678" t="s">
        <v>38</v>
      </c>
      <c r="F1678" t="s">
        <v>39</v>
      </c>
      <c r="G1678" t="s">
        <v>26</v>
      </c>
      <c r="H1678" t="s">
        <v>27</v>
      </c>
      <c r="I1678">
        <v>2</v>
      </c>
      <c r="J1678">
        <v>472.85</v>
      </c>
      <c r="K1678">
        <v>75</v>
      </c>
      <c r="L1678">
        <v>390</v>
      </c>
      <c r="M1678">
        <v>151.63999999999999</v>
      </c>
      <c r="N1678" t="s">
        <v>23</v>
      </c>
      <c r="O1678">
        <v>2</v>
      </c>
      <c r="P1678">
        <v>945.7</v>
      </c>
      <c r="Q1678">
        <v>1020.7</v>
      </c>
      <c r="R1678" t="s">
        <v>2054</v>
      </c>
    </row>
    <row r="1679" spans="1:18" x14ac:dyDescent="0.25">
      <c r="A1679" t="s">
        <v>1730</v>
      </c>
      <c r="B1679" s="1">
        <v>45856</v>
      </c>
      <c r="C1679" s="1">
        <v>45872</v>
      </c>
      <c r="D1679" t="s">
        <v>82</v>
      </c>
      <c r="E1679" t="s">
        <v>79</v>
      </c>
      <c r="F1679" t="s">
        <v>80</v>
      </c>
      <c r="G1679" t="s">
        <v>35</v>
      </c>
      <c r="H1679" t="s">
        <v>40</v>
      </c>
      <c r="I1679">
        <v>4</v>
      </c>
      <c r="J1679">
        <v>90.53</v>
      </c>
      <c r="K1679">
        <v>18</v>
      </c>
      <c r="L1679">
        <v>70</v>
      </c>
      <c r="M1679">
        <v>153.96</v>
      </c>
      <c r="N1679" t="s">
        <v>47</v>
      </c>
      <c r="O1679">
        <v>16</v>
      </c>
      <c r="P1679">
        <v>362.12</v>
      </c>
      <c r="Q1679">
        <v>380.12</v>
      </c>
      <c r="R1679" t="s">
        <v>2054</v>
      </c>
    </row>
    <row r="1680" spans="1:18" x14ac:dyDescent="0.25">
      <c r="A1680" t="s">
        <v>1731</v>
      </c>
      <c r="B1680" s="1">
        <v>45857</v>
      </c>
      <c r="C1680" s="1">
        <v>45874</v>
      </c>
      <c r="D1680" t="s">
        <v>56</v>
      </c>
      <c r="E1680" t="s">
        <v>38</v>
      </c>
      <c r="F1680" t="s">
        <v>39</v>
      </c>
      <c r="G1680" t="s">
        <v>35</v>
      </c>
      <c r="H1680" t="s">
        <v>22</v>
      </c>
      <c r="I1680">
        <v>1</v>
      </c>
      <c r="J1680">
        <v>194.36</v>
      </c>
      <c r="K1680">
        <v>75</v>
      </c>
      <c r="L1680">
        <v>364</v>
      </c>
      <c r="M1680">
        <v>1.37</v>
      </c>
      <c r="N1680" t="s">
        <v>47</v>
      </c>
      <c r="O1680">
        <v>17</v>
      </c>
      <c r="P1680">
        <v>194.36</v>
      </c>
      <c r="Q1680">
        <v>269.36</v>
      </c>
      <c r="R1680" t="s">
        <v>2054</v>
      </c>
    </row>
    <row r="1681" spans="1:18" x14ac:dyDescent="0.25">
      <c r="A1681" t="s">
        <v>1732</v>
      </c>
      <c r="B1681" s="1">
        <v>45858</v>
      </c>
      <c r="C1681" s="1">
        <v>45869</v>
      </c>
      <c r="D1681" t="s">
        <v>58</v>
      </c>
      <c r="E1681" t="s">
        <v>19</v>
      </c>
      <c r="F1681" t="s">
        <v>20</v>
      </c>
      <c r="G1681" t="s">
        <v>35</v>
      </c>
      <c r="H1681" t="s">
        <v>40</v>
      </c>
      <c r="I1681">
        <v>11</v>
      </c>
      <c r="J1681">
        <v>33.97</v>
      </c>
      <c r="K1681">
        <v>12</v>
      </c>
      <c r="L1681">
        <v>211</v>
      </c>
      <c r="M1681">
        <v>23.9</v>
      </c>
      <c r="N1681" t="s">
        <v>47</v>
      </c>
      <c r="O1681">
        <v>11</v>
      </c>
      <c r="P1681">
        <v>373.66999999999996</v>
      </c>
      <c r="Q1681">
        <v>385.66999999999996</v>
      </c>
      <c r="R1681" t="s">
        <v>2054</v>
      </c>
    </row>
    <row r="1682" spans="1:18" x14ac:dyDescent="0.25">
      <c r="A1682" t="s">
        <v>1733</v>
      </c>
      <c r="B1682" s="1">
        <v>45860</v>
      </c>
      <c r="C1682" s="1">
        <v>45865</v>
      </c>
      <c r="D1682" t="s">
        <v>37</v>
      </c>
      <c r="E1682" t="s">
        <v>38</v>
      </c>
      <c r="F1682" t="s">
        <v>39</v>
      </c>
      <c r="G1682" t="s">
        <v>21</v>
      </c>
      <c r="H1682" t="s">
        <v>22</v>
      </c>
      <c r="I1682">
        <v>2</v>
      </c>
      <c r="J1682">
        <v>351.6</v>
      </c>
      <c r="K1682">
        <v>75</v>
      </c>
      <c r="L1682">
        <v>397</v>
      </c>
      <c r="M1682">
        <v>103.14</v>
      </c>
      <c r="N1682" t="s">
        <v>23</v>
      </c>
      <c r="O1682">
        <v>5</v>
      </c>
      <c r="P1682">
        <v>703.2</v>
      </c>
      <c r="Q1682">
        <v>778.2</v>
      </c>
      <c r="R1682" t="s">
        <v>2054</v>
      </c>
    </row>
    <row r="1683" spans="1:18" x14ac:dyDescent="0.25">
      <c r="A1683" t="s">
        <v>1734</v>
      </c>
      <c r="B1683" s="1">
        <v>45860</v>
      </c>
      <c r="C1683" s="1">
        <v>45862</v>
      </c>
      <c r="D1683" t="s">
        <v>52</v>
      </c>
      <c r="E1683" t="s">
        <v>30</v>
      </c>
      <c r="F1683" t="s">
        <v>31</v>
      </c>
      <c r="G1683" t="s">
        <v>35</v>
      </c>
      <c r="H1683" t="s">
        <v>40</v>
      </c>
      <c r="I1683">
        <v>5</v>
      </c>
      <c r="J1683">
        <v>122.9</v>
      </c>
      <c r="K1683">
        <v>18</v>
      </c>
      <c r="L1683">
        <v>377</v>
      </c>
      <c r="M1683">
        <v>236.8</v>
      </c>
      <c r="N1683" t="s">
        <v>23</v>
      </c>
      <c r="O1683">
        <v>2</v>
      </c>
      <c r="P1683">
        <v>614.5</v>
      </c>
      <c r="Q1683">
        <v>632.5</v>
      </c>
      <c r="R1683" t="s">
        <v>2054</v>
      </c>
    </row>
    <row r="1684" spans="1:18" x14ac:dyDescent="0.25">
      <c r="A1684" t="s">
        <v>1735</v>
      </c>
      <c r="B1684" s="1">
        <v>45860</v>
      </c>
      <c r="C1684" s="1">
        <v>45864</v>
      </c>
      <c r="D1684" t="s">
        <v>58</v>
      </c>
      <c r="E1684" t="s">
        <v>19</v>
      </c>
      <c r="F1684" t="s">
        <v>20</v>
      </c>
      <c r="G1684" t="s">
        <v>26</v>
      </c>
      <c r="H1684" t="s">
        <v>32</v>
      </c>
      <c r="I1684">
        <v>12</v>
      </c>
      <c r="J1684">
        <v>10.69</v>
      </c>
      <c r="K1684">
        <v>8</v>
      </c>
      <c r="L1684">
        <v>371</v>
      </c>
      <c r="M1684">
        <v>6.26</v>
      </c>
      <c r="N1684" t="s">
        <v>23</v>
      </c>
      <c r="O1684">
        <v>4</v>
      </c>
      <c r="P1684">
        <v>128.28</v>
      </c>
      <c r="Q1684">
        <v>136.28</v>
      </c>
      <c r="R1684" t="s">
        <v>2054</v>
      </c>
    </row>
    <row r="1685" spans="1:18" x14ac:dyDescent="0.25">
      <c r="A1685" t="s">
        <v>1736</v>
      </c>
      <c r="B1685" s="1">
        <v>45860</v>
      </c>
      <c r="C1685" s="1">
        <v>45873</v>
      </c>
      <c r="D1685" t="s">
        <v>75</v>
      </c>
      <c r="E1685" t="s">
        <v>44</v>
      </c>
      <c r="F1685" t="s">
        <v>45</v>
      </c>
      <c r="G1685" t="s">
        <v>35</v>
      </c>
      <c r="H1685" t="s">
        <v>32</v>
      </c>
      <c r="I1685">
        <v>3</v>
      </c>
      <c r="J1685">
        <v>1108.3800000000001</v>
      </c>
      <c r="K1685">
        <v>25</v>
      </c>
      <c r="L1685">
        <v>198</v>
      </c>
      <c r="M1685">
        <v>1151.3</v>
      </c>
      <c r="N1685" t="s">
        <v>47</v>
      </c>
      <c r="O1685">
        <v>13</v>
      </c>
      <c r="P1685">
        <v>3325.1400000000003</v>
      </c>
      <c r="Q1685">
        <v>3350.1400000000003</v>
      </c>
      <c r="R1685" t="s">
        <v>2054</v>
      </c>
    </row>
    <row r="1686" spans="1:18" x14ac:dyDescent="0.25">
      <c r="A1686" t="s">
        <v>1737</v>
      </c>
      <c r="B1686" s="1">
        <v>45861</v>
      </c>
      <c r="C1686" s="1">
        <v>45866</v>
      </c>
      <c r="D1686" t="s">
        <v>37</v>
      </c>
      <c r="E1686" t="s">
        <v>38</v>
      </c>
      <c r="F1686" t="s">
        <v>39</v>
      </c>
      <c r="G1686" t="s">
        <v>26</v>
      </c>
      <c r="H1686" t="s">
        <v>27</v>
      </c>
      <c r="I1686">
        <v>2</v>
      </c>
      <c r="J1686">
        <v>217.41</v>
      </c>
      <c r="K1686">
        <v>75</v>
      </c>
      <c r="L1686">
        <v>333</v>
      </c>
      <c r="M1686">
        <v>49.46</v>
      </c>
      <c r="N1686" t="s">
        <v>23</v>
      </c>
      <c r="O1686">
        <v>5</v>
      </c>
      <c r="P1686">
        <v>434.82</v>
      </c>
      <c r="Q1686">
        <v>509.82</v>
      </c>
      <c r="R1686" t="s">
        <v>2054</v>
      </c>
    </row>
    <row r="1687" spans="1:18" x14ac:dyDescent="0.25">
      <c r="A1687" t="s">
        <v>1738</v>
      </c>
      <c r="B1687" s="1">
        <v>45861</v>
      </c>
      <c r="C1687" s="1">
        <v>45871</v>
      </c>
      <c r="D1687" t="s">
        <v>58</v>
      </c>
      <c r="E1687" t="s">
        <v>19</v>
      </c>
      <c r="F1687" t="s">
        <v>20</v>
      </c>
      <c r="G1687" t="s">
        <v>35</v>
      </c>
      <c r="H1687" t="s">
        <v>32</v>
      </c>
      <c r="I1687">
        <v>9</v>
      </c>
      <c r="J1687">
        <v>19.75</v>
      </c>
      <c r="K1687">
        <v>8</v>
      </c>
      <c r="L1687">
        <v>8</v>
      </c>
      <c r="M1687">
        <v>10.220000000000001</v>
      </c>
      <c r="N1687" t="s">
        <v>63</v>
      </c>
      <c r="O1687">
        <v>10</v>
      </c>
      <c r="P1687">
        <v>177.75</v>
      </c>
      <c r="Q1687">
        <v>185.75</v>
      </c>
      <c r="R1687" t="s">
        <v>2056</v>
      </c>
    </row>
    <row r="1688" spans="1:18" x14ac:dyDescent="0.25">
      <c r="A1688" t="s">
        <v>1739</v>
      </c>
      <c r="B1688" s="1">
        <v>45862</v>
      </c>
      <c r="C1688" s="1">
        <v>45877</v>
      </c>
      <c r="D1688" t="s">
        <v>25</v>
      </c>
      <c r="E1688" t="s">
        <v>19</v>
      </c>
      <c r="F1688" t="s">
        <v>20</v>
      </c>
      <c r="G1688" t="s">
        <v>35</v>
      </c>
      <c r="H1688" t="s">
        <v>40</v>
      </c>
      <c r="I1688">
        <v>10</v>
      </c>
      <c r="J1688">
        <v>24.94</v>
      </c>
      <c r="K1688">
        <v>12</v>
      </c>
      <c r="L1688">
        <v>4</v>
      </c>
      <c r="M1688">
        <v>13.95</v>
      </c>
      <c r="N1688" t="s">
        <v>47</v>
      </c>
      <c r="O1688">
        <v>15</v>
      </c>
      <c r="P1688">
        <v>249.4</v>
      </c>
      <c r="Q1688">
        <v>261.39999999999998</v>
      </c>
      <c r="R1688" t="s">
        <v>2056</v>
      </c>
    </row>
    <row r="1689" spans="1:18" x14ac:dyDescent="0.25">
      <c r="A1689" t="s">
        <v>1740</v>
      </c>
      <c r="B1689" s="1">
        <v>45862</v>
      </c>
      <c r="C1689" s="1">
        <v>45867</v>
      </c>
      <c r="D1689" t="s">
        <v>29</v>
      </c>
      <c r="E1689" t="s">
        <v>30</v>
      </c>
      <c r="F1689" t="s">
        <v>31</v>
      </c>
      <c r="G1689" t="s">
        <v>21</v>
      </c>
      <c r="H1689" t="s">
        <v>32</v>
      </c>
      <c r="I1689">
        <v>4</v>
      </c>
      <c r="J1689">
        <v>98.15</v>
      </c>
      <c r="K1689">
        <v>12</v>
      </c>
      <c r="L1689">
        <v>163</v>
      </c>
      <c r="M1689">
        <v>151.04</v>
      </c>
      <c r="N1689" t="s">
        <v>23</v>
      </c>
      <c r="O1689">
        <v>5</v>
      </c>
      <c r="P1689">
        <v>392.6</v>
      </c>
      <c r="Q1689">
        <v>404.6</v>
      </c>
      <c r="R1689" t="s">
        <v>2054</v>
      </c>
    </row>
    <row r="1690" spans="1:18" x14ac:dyDescent="0.25">
      <c r="A1690" t="s">
        <v>1741</v>
      </c>
      <c r="B1690" s="1">
        <v>45862</v>
      </c>
      <c r="C1690" s="1">
        <v>45863</v>
      </c>
      <c r="D1690" t="s">
        <v>37</v>
      </c>
      <c r="E1690" t="s">
        <v>38</v>
      </c>
      <c r="F1690" t="s">
        <v>39</v>
      </c>
      <c r="G1690" t="s">
        <v>35</v>
      </c>
      <c r="H1690" t="s">
        <v>40</v>
      </c>
      <c r="I1690">
        <v>2</v>
      </c>
      <c r="J1690">
        <v>400.69</v>
      </c>
      <c r="K1690">
        <v>112.5</v>
      </c>
      <c r="L1690">
        <v>229</v>
      </c>
      <c r="M1690">
        <v>104.02</v>
      </c>
      <c r="N1690" t="s">
        <v>23</v>
      </c>
      <c r="O1690">
        <v>1</v>
      </c>
      <c r="P1690">
        <v>801.38</v>
      </c>
      <c r="Q1690">
        <v>913.88</v>
      </c>
      <c r="R1690" t="s">
        <v>2054</v>
      </c>
    </row>
    <row r="1691" spans="1:18" x14ac:dyDescent="0.25">
      <c r="A1691" t="s">
        <v>1742</v>
      </c>
      <c r="B1691" s="1">
        <v>45862</v>
      </c>
      <c r="C1691" s="1">
        <v>45866</v>
      </c>
      <c r="D1691" t="s">
        <v>18</v>
      </c>
      <c r="E1691" t="s">
        <v>19</v>
      </c>
      <c r="F1691" t="s">
        <v>20</v>
      </c>
      <c r="G1691" t="s">
        <v>35</v>
      </c>
      <c r="H1691" t="s">
        <v>40</v>
      </c>
      <c r="I1691">
        <v>10</v>
      </c>
      <c r="J1691">
        <v>13.2</v>
      </c>
      <c r="K1691">
        <v>12</v>
      </c>
      <c r="L1691">
        <v>351</v>
      </c>
      <c r="M1691">
        <v>4.5599999999999996</v>
      </c>
      <c r="N1691" t="s">
        <v>23</v>
      </c>
      <c r="O1691">
        <v>4</v>
      </c>
      <c r="P1691">
        <v>132</v>
      </c>
      <c r="Q1691">
        <v>144</v>
      </c>
      <c r="R1691" t="s">
        <v>2054</v>
      </c>
    </row>
    <row r="1692" spans="1:18" x14ac:dyDescent="0.25">
      <c r="A1692" t="s">
        <v>1743</v>
      </c>
      <c r="B1692" s="1">
        <v>45862</v>
      </c>
      <c r="C1692" s="1">
        <v>45870</v>
      </c>
      <c r="D1692" t="s">
        <v>34</v>
      </c>
      <c r="E1692" t="s">
        <v>30</v>
      </c>
      <c r="F1692" t="s">
        <v>31</v>
      </c>
      <c r="G1692" t="s">
        <v>35</v>
      </c>
      <c r="H1692" t="s">
        <v>40</v>
      </c>
      <c r="I1692">
        <v>1</v>
      </c>
      <c r="J1692">
        <v>66.959999999999994</v>
      </c>
      <c r="K1692">
        <v>18</v>
      </c>
      <c r="L1692">
        <v>196</v>
      </c>
      <c r="M1692">
        <v>-10.039999999999999</v>
      </c>
      <c r="N1692" t="s">
        <v>63</v>
      </c>
      <c r="O1692">
        <v>8</v>
      </c>
      <c r="P1692">
        <v>66.959999999999994</v>
      </c>
      <c r="Q1692">
        <v>84.96</v>
      </c>
      <c r="R1692" t="s">
        <v>2054</v>
      </c>
    </row>
    <row r="1693" spans="1:18" x14ac:dyDescent="0.25">
      <c r="A1693" t="s">
        <v>1744</v>
      </c>
      <c r="B1693" s="1">
        <v>45863</v>
      </c>
      <c r="C1693" s="1">
        <v>45864</v>
      </c>
      <c r="D1693" t="s">
        <v>37</v>
      </c>
      <c r="E1693" t="s">
        <v>38</v>
      </c>
      <c r="F1693" t="s">
        <v>39</v>
      </c>
      <c r="G1693" t="s">
        <v>35</v>
      </c>
      <c r="H1693" t="s">
        <v>32</v>
      </c>
      <c r="I1693">
        <v>1</v>
      </c>
      <c r="J1693">
        <v>122.69</v>
      </c>
      <c r="K1693">
        <v>75</v>
      </c>
      <c r="L1693">
        <v>45</v>
      </c>
      <c r="M1693">
        <v>-12.96</v>
      </c>
      <c r="N1693" t="s">
        <v>23</v>
      </c>
      <c r="O1693">
        <v>1</v>
      </c>
      <c r="P1693">
        <v>122.69</v>
      </c>
      <c r="Q1693">
        <v>197.69</v>
      </c>
      <c r="R1693" t="s">
        <v>2055</v>
      </c>
    </row>
    <row r="1694" spans="1:18" x14ac:dyDescent="0.25">
      <c r="A1694" t="s">
        <v>1745</v>
      </c>
      <c r="B1694" s="1">
        <v>45863</v>
      </c>
      <c r="C1694" s="1">
        <v>45865</v>
      </c>
      <c r="D1694" t="s">
        <v>75</v>
      </c>
      <c r="E1694" t="s">
        <v>44</v>
      </c>
      <c r="F1694" t="s">
        <v>45</v>
      </c>
      <c r="G1694" t="s">
        <v>35</v>
      </c>
      <c r="H1694" t="s">
        <v>40</v>
      </c>
      <c r="I1694">
        <v>2</v>
      </c>
      <c r="J1694">
        <v>1115.1400000000001</v>
      </c>
      <c r="K1694">
        <v>37.5</v>
      </c>
      <c r="L1694">
        <v>229</v>
      </c>
      <c r="M1694">
        <v>761.85</v>
      </c>
      <c r="N1694" t="s">
        <v>23</v>
      </c>
      <c r="O1694">
        <v>2</v>
      </c>
      <c r="P1694">
        <v>2230.2800000000002</v>
      </c>
      <c r="Q1694">
        <v>2267.7800000000002</v>
      </c>
      <c r="R1694" t="s">
        <v>2054</v>
      </c>
    </row>
    <row r="1695" spans="1:18" x14ac:dyDescent="0.25">
      <c r="A1695" t="s">
        <v>1746</v>
      </c>
      <c r="B1695" s="1">
        <v>45865</v>
      </c>
      <c r="C1695" s="1">
        <v>45881</v>
      </c>
      <c r="D1695" t="s">
        <v>34</v>
      </c>
      <c r="E1695" t="s">
        <v>30</v>
      </c>
      <c r="F1695" t="s">
        <v>31</v>
      </c>
      <c r="G1695" t="s">
        <v>35</v>
      </c>
      <c r="H1695" t="s">
        <v>22</v>
      </c>
      <c r="I1695">
        <v>3</v>
      </c>
      <c r="J1695">
        <v>91.93</v>
      </c>
      <c r="K1695">
        <v>12</v>
      </c>
      <c r="L1695">
        <v>348</v>
      </c>
      <c r="M1695">
        <v>104.32</v>
      </c>
      <c r="N1695" t="s">
        <v>47</v>
      </c>
      <c r="O1695">
        <v>16</v>
      </c>
      <c r="P1695">
        <v>275.79000000000002</v>
      </c>
      <c r="Q1695">
        <v>287.79000000000002</v>
      </c>
      <c r="R1695" t="s">
        <v>2054</v>
      </c>
    </row>
    <row r="1696" spans="1:18" x14ac:dyDescent="0.25">
      <c r="A1696" t="s">
        <v>1747</v>
      </c>
      <c r="B1696" s="1">
        <v>45865</v>
      </c>
      <c r="C1696" s="1">
        <v>45870</v>
      </c>
      <c r="D1696" t="s">
        <v>56</v>
      </c>
      <c r="E1696" t="s">
        <v>38</v>
      </c>
      <c r="F1696" t="s">
        <v>39</v>
      </c>
      <c r="G1696" t="s">
        <v>21</v>
      </c>
      <c r="H1696" t="s">
        <v>27</v>
      </c>
      <c r="I1696">
        <v>2</v>
      </c>
      <c r="J1696">
        <v>265.22000000000003</v>
      </c>
      <c r="K1696">
        <v>75</v>
      </c>
      <c r="L1696">
        <v>369</v>
      </c>
      <c r="M1696">
        <v>68.59</v>
      </c>
      <c r="N1696" t="s">
        <v>23</v>
      </c>
      <c r="O1696">
        <v>5</v>
      </c>
      <c r="P1696">
        <v>530.44000000000005</v>
      </c>
      <c r="Q1696">
        <v>605.44000000000005</v>
      </c>
      <c r="R1696" t="s">
        <v>2054</v>
      </c>
    </row>
    <row r="1697" spans="1:18" x14ac:dyDescent="0.25">
      <c r="A1697" t="s">
        <v>1748</v>
      </c>
      <c r="B1697" s="1">
        <v>45865</v>
      </c>
      <c r="C1697" s="1">
        <v>45868</v>
      </c>
      <c r="D1697" t="s">
        <v>118</v>
      </c>
      <c r="E1697" t="s">
        <v>79</v>
      </c>
      <c r="F1697" t="s">
        <v>80</v>
      </c>
      <c r="G1697" t="s">
        <v>35</v>
      </c>
      <c r="H1697" t="s">
        <v>22</v>
      </c>
      <c r="I1697">
        <v>5</v>
      </c>
      <c r="J1697">
        <v>123.44</v>
      </c>
      <c r="K1697">
        <v>12</v>
      </c>
      <c r="L1697">
        <v>123</v>
      </c>
      <c r="M1697">
        <v>271.75</v>
      </c>
      <c r="N1697" t="s">
        <v>23</v>
      </c>
      <c r="O1697">
        <v>3</v>
      </c>
      <c r="P1697">
        <v>617.20000000000005</v>
      </c>
      <c r="Q1697">
        <v>629.20000000000005</v>
      </c>
      <c r="R1697" t="s">
        <v>2054</v>
      </c>
    </row>
    <row r="1698" spans="1:18" x14ac:dyDescent="0.25">
      <c r="A1698" t="s">
        <v>1749</v>
      </c>
      <c r="B1698" s="1">
        <v>45866</v>
      </c>
      <c r="C1698" s="1">
        <v>45871</v>
      </c>
      <c r="D1698" t="s">
        <v>29</v>
      </c>
      <c r="E1698" t="s">
        <v>30</v>
      </c>
      <c r="F1698" t="s">
        <v>31</v>
      </c>
      <c r="G1698" t="s">
        <v>35</v>
      </c>
      <c r="H1698" t="s">
        <v>22</v>
      </c>
      <c r="I1698">
        <v>5</v>
      </c>
      <c r="J1698">
        <v>137.04</v>
      </c>
      <c r="K1698">
        <v>12</v>
      </c>
      <c r="L1698">
        <v>286</v>
      </c>
      <c r="M1698">
        <v>268.07</v>
      </c>
      <c r="N1698" t="s">
        <v>23</v>
      </c>
      <c r="O1698">
        <v>5</v>
      </c>
      <c r="P1698">
        <v>685.19999999999993</v>
      </c>
      <c r="Q1698">
        <v>697.19999999999993</v>
      </c>
      <c r="R1698" t="s">
        <v>2054</v>
      </c>
    </row>
    <row r="1699" spans="1:18" x14ac:dyDescent="0.25">
      <c r="A1699" t="s">
        <v>1750</v>
      </c>
      <c r="B1699" s="1">
        <v>45866</v>
      </c>
      <c r="C1699" s="1">
        <v>45870</v>
      </c>
      <c r="D1699" t="s">
        <v>29</v>
      </c>
      <c r="E1699" t="s">
        <v>30</v>
      </c>
      <c r="F1699" t="s">
        <v>31</v>
      </c>
      <c r="G1699" t="s">
        <v>26</v>
      </c>
      <c r="H1699" t="s">
        <v>32</v>
      </c>
      <c r="I1699">
        <v>1</v>
      </c>
      <c r="J1699">
        <v>117.28</v>
      </c>
      <c r="K1699">
        <v>12</v>
      </c>
      <c r="L1699">
        <v>229</v>
      </c>
      <c r="M1699">
        <v>40.909999999999997</v>
      </c>
      <c r="N1699" t="s">
        <v>23</v>
      </c>
      <c r="O1699">
        <v>4</v>
      </c>
      <c r="P1699">
        <v>117.28</v>
      </c>
      <c r="Q1699">
        <v>129.28</v>
      </c>
      <c r="R1699" t="s">
        <v>2054</v>
      </c>
    </row>
    <row r="1700" spans="1:18" x14ac:dyDescent="0.25">
      <c r="A1700" t="s">
        <v>1751</v>
      </c>
      <c r="B1700" s="1">
        <v>45866</v>
      </c>
      <c r="C1700" s="1">
        <v>45880</v>
      </c>
      <c r="D1700" t="s">
        <v>58</v>
      </c>
      <c r="E1700" t="s">
        <v>19</v>
      </c>
      <c r="F1700" t="s">
        <v>20</v>
      </c>
      <c r="G1700" t="s">
        <v>35</v>
      </c>
      <c r="H1700" t="s">
        <v>40</v>
      </c>
      <c r="I1700">
        <v>13</v>
      </c>
      <c r="J1700">
        <v>43.84</v>
      </c>
      <c r="K1700">
        <v>12</v>
      </c>
      <c r="L1700">
        <v>284</v>
      </c>
      <c r="M1700">
        <v>39.590000000000003</v>
      </c>
      <c r="N1700" t="s">
        <v>47</v>
      </c>
      <c r="O1700">
        <v>14</v>
      </c>
      <c r="P1700">
        <v>569.92000000000007</v>
      </c>
      <c r="Q1700">
        <v>581.92000000000007</v>
      </c>
      <c r="R1700" t="s">
        <v>2054</v>
      </c>
    </row>
    <row r="1701" spans="1:18" x14ac:dyDescent="0.25">
      <c r="A1701" t="s">
        <v>1752</v>
      </c>
      <c r="B1701" s="1">
        <v>45868</v>
      </c>
      <c r="C1701" s="1">
        <v>45883</v>
      </c>
      <c r="D1701" t="s">
        <v>52</v>
      </c>
      <c r="E1701" t="s">
        <v>30</v>
      </c>
      <c r="F1701" t="s">
        <v>31</v>
      </c>
      <c r="G1701" t="s">
        <v>35</v>
      </c>
      <c r="H1701" t="s">
        <v>32</v>
      </c>
      <c r="I1701">
        <v>5</v>
      </c>
      <c r="J1701">
        <v>140.29</v>
      </c>
      <c r="K1701">
        <v>12</v>
      </c>
      <c r="L1701">
        <v>103</v>
      </c>
      <c r="M1701">
        <v>274.58999999999997</v>
      </c>
      <c r="N1701" t="s">
        <v>47</v>
      </c>
      <c r="O1701">
        <v>15</v>
      </c>
      <c r="P1701">
        <v>701.44999999999993</v>
      </c>
      <c r="Q1701">
        <v>713.44999999999993</v>
      </c>
      <c r="R1701" t="s">
        <v>2054</v>
      </c>
    </row>
    <row r="1702" spans="1:18" x14ac:dyDescent="0.25">
      <c r="A1702" t="s">
        <v>1753</v>
      </c>
      <c r="B1702" s="1">
        <v>45869</v>
      </c>
      <c r="C1702" s="1">
        <v>45879</v>
      </c>
      <c r="D1702" t="s">
        <v>54</v>
      </c>
      <c r="E1702" t="s">
        <v>38</v>
      </c>
      <c r="F1702" t="s">
        <v>39</v>
      </c>
      <c r="G1702" t="s">
        <v>35</v>
      </c>
      <c r="H1702" t="s">
        <v>40</v>
      </c>
      <c r="I1702">
        <v>1</v>
      </c>
      <c r="J1702">
        <v>165.61</v>
      </c>
      <c r="K1702">
        <v>112.5</v>
      </c>
      <c r="L1702">
        <v>249</v>
      </c>
      <c r="M1702">
        <v>-23.13</v>
      </c>
      <c r="N1702" t="s">
        <v>63</v>
      </c>
      <c r="O1702">
        <v>10</v>
      </c>
      <c r="P1702">
        <v>165.61</v>
      </c>
      <c r="Q1702">
        <v>278.11</v>
      </c>
      <c r="R1702" t="s">
        <v>2054</v>
      </c>
    </row>
    <row r="1703" spans="1:18" x14ac:dyDescent="0.25">
      <c r="A1703" t="s">
        <v>1754</v>
      </c>
      <c r="B1703" s="1">
        <v>45870</v>
      </c>
      <c r="C1703" s="1">
        <v>45875</v>
      </c>
      <c r="D1703" t="s">
        <v>25</v>
      </c>
      <c r="E1703" t="s">
        <v>19</v>
      </c>
      <c r="F1703" t="s">
        <v>20</v>
      </c>
      <c r="G1703" t="s">
        <v>21</v>
      </c>
      <c r="H1703" t="s">
        <v>40</v>
      </c>
      <c r="I1703">
        <v>7</v>
      </c>
      <c r="J1703">
        <v>19.829999999999998</v>
      </c>
      <c r="K1703">
        <v>12</v>
      </c>
      <c r="L1703">
        <v>379</v>
      </c>
      <c r="M1703">
        <v>5.1100000000000003</v>
      </c>
      <c r="N1703" t="s">
        <v>23</v>
      </c>
      <c r="O1703">
        <v>5</v>
      </c>
      <c r="P1703">
        <v>138.81</v>
      </c>
      <c r="Q1703">
        <v>150.81</v>
      </c>
      <c r="R1703" t="s">
        <v>2054</v>
      </c>
    </row>
    <row r="1704" spans="1:18" x14ac:dyDescent="0.25">
      <c r="A1704" t="s">
        <v>1755</v>
      </c>
      <c r="B1704" s="1">
        <v>45870</v>
      </c>
      <c r="C1704" s="1">
        <v>45874</v>
      </c>
      <c r="D1704" t="s">
        <v>56</v>
      </c>
      <c r="E1704" t="s">
        <v>38</v>
      </c>
      <c r="F1704" t="s">
        <v>39</v>
      </c>
      <c r="G1704" t="s">
        <v>21</v>
      </c>
      <c r="H1704" t="s">
        <v>40</v>
      </c>
      <c r="I1704">
        <v>1</v>
      </c>
      <c r="J1704">
        <v>332.5</v>
      </c>
      <c r="K1704">
        <v>112.5</v>
      </c>
      <c r="L1704">
        <v>65</v>
      </c>
      <c r="M1704">
        <v>10.25</v>
      </c>
      <c r="N1704" t="s">
        <v>23</v>
      </c>
      <c r="O1704">
        <v>4</v>
      </c>
      <c r="P1704">
        <v>332.5</v>
      </c>
      <c r="Q1704">
        <v>445</v>
      </c>
      <c r="R1704" t="s">
        <v>2054</v>
      </c>
    </row>
    <row r="1705" spans="1:18" x14ac:dyDescent="0.25">
      <c r="A1705" t="s">
        <v>1756</v>
      </c>
      <c r="B1705" s="1">
        <v>45871</v>
      </c>
      <c r="C1705" s="1">
        <v>45874</v>
      </c>
      <c r="D1705" t="s">
        <v>34</v>
      </c>
      <c r="E1705" t="s">
        <v>30</v>
      </c>
      <c r="F1705" t="s">
        <v>31</v>
      </c>
      <c r="G1705" t="s">
        <v>35</v>
      </c>
      <c r="H1705" t="s">
        <v>40</v>
      </c>
      <c r="I1705">
        <v>4</v>
      </c>
      <c r="J1705">
        <v>126.03</v>
      </c>
      <c r="K1705">
        <v>18</v>
      </c>
      <c r="L1705">
        <v>393</v>
      </c>
      <c r="M1705">
        <v>192.65</v>
      </c>
      <c r="N1705" t="s">
        <v>23</v>
      </c>
      <c r="O1705">
        <v>3</v>
      </c>
      <c r="P1705">
        <v>504.12</v>
      </c>
      <c r="Q1705">
        <v>522.12</v>
      </c>
      <c r="R1705" t="s">
        <v>2054</v>
      </c>
    </row>
    <row r="1706" spans="1:18" x14ac:dyDescent="0.25">
      <c r="A1706" t="s">
        <v>1757</v>
      </c>
      <c r="B1706" s="1">
        <v>45872</v>
      </c>
      <c r="C1706" s="1">
        <v>45875</v>
      </c>
      <c r="D1706" t="s">
        <v>34</v>
      </c>
      <c r="E1706" t="s">
        <v>30</v>
      </c>
      <c r="F1706" t="s">
        <v>31</v>
      </c>
      <c r="G1706" t="s">
        <v>26</v>
      </c>
      <c r="H1706" t="s">
        <v>22</v>
      </c>
      <c r="I1706">
        <v>5</v>
      </c>
      <c r="J1706">
        <v>25.11</v>
      </c>
      <c r="K1706">
        <v>12</v>
      </c>
      <c r="L1706">
        <v>45</v>
      </c>
      <c r="M1706">
        <v>-18.829999999999998</v>
      </c>
      <c r="N1706" t="s">
        <v>23</v>
      </c>
      <c r="O1706">
        <v>3</v>
      </c>
      <c r="P1706">
        <v>125.55</v>
      </c>
      <c r="Q1706">
        <v>137.55000000000001</v>
      </c>
      <c r="R1706" t="s">
        <v>2055</v>
      </c>
    </row>
    <row r="1707" spans="1:18" x14ac:dyDescent="0.25">
      <c r="A1707" t="s">
        <v>1758</v>
      </c>
      <c r="B1707" s="1">
        <v>45872</v>
      </c>
      <c r="C1707" s="1">
        <v>45873</v>
      </c>
      <c r="D1707" t="s">
        <v>78</v>
      </c>
      <c r="E1707" t="s">
        <v>79</v>
      </c>
      <c r="F1707" t="s">
        <v>80</v>
      </c>
      <c r="G1707" t="s">
        <v>26</v>
      </c>
      <c r="H1707" t="s">
        <v>22</v>
      </c>
      <c r="I1707">
        <v>2</v>
      </c>
      <c r="J1707">
        <v>24.01</v>
      </c>
      <c r="K1707">
        <v>12</v>
      </c>
      <c r="L1707">
        <v>114</v>
      </c>
      <c r="M1707">
        <v>15.61</v>
      </c>
      <c r="N1707" t="s">
        <v>23</v>
      </c>
      <c r="O1707">
        <v>1</v>
      </c>
      <c r="P1707">
        <v>48.02</v>
      </c>
      <c r="Q1707">
        <v>60.02</v>
      </c>
      <c r="R1707" t="s">
        <v>2054</v>
      </c>
    </row>
    <row r="1708" spans="1:18" x14ac:dyDescent="0.25">
      <c r="A1708" t="s">
        <v>1759</v>
      </c>
      <c r="B1708" s="1">
        <v>45873</v>
      </c>
      <c r="C1708" s="1">
        <v>45875</v>
      </c>
      <c r="D1708" t="s">
        <v>75</v>
      </c>
      <c r="E1708" t="s">
        <v>44</v>
      </c>
      <c r="F1708" t="s">
        <v>45</v>
      </c>
      <c r="G1708" t="s">
        <v>26</v>
      </c>
      <c r="H1708" t="s">
        <v>22</v>
      </c>
      <c r="I1708">
        <v>2</v>
      </c>
      <c r="J1708">
        <v>322.62</v>
      </c>
      <c r="K1708">
        <v>25</v>
      </c>
      <c r="L1708">
        <v>163</v>
      </c>
      <c r="M1708">
        <v>213.33</v>
      </c>
      <c r="N1708" t="s">
        <v>23</v>
      </c>
      <c r="O1708">
        <v>2</v>
      </c>
      <c r="P1708">
        <v>645.24</v>
      </c>
      <c r="Q1708">
        <v>670.24</v>
      </c>
      <c r="R1708" t="s">
        <v>2054</v>
      </c>
    </row>
    <row r="1709" spans="1:18" x14ac:dyDescent="0.25">
      <c r="A1709" t="s">
        <v>1760</v>
      </c>
      <c r="B1709" s="1">
        <v>45873</v>
      </c>
      <c r="C1709" s="1">
        <v>45876</v>
      </c>
      <c r="D1709" t="s">
        <v>34</v>
      </c>
      <c r="E1709" t="s">
        <v>30</v>
      </c>
      <c r="F1709" t="s">
        <v>31</v>
      </c>
      <c r="G1709" t="s">
        <v>21</v>
      </c>
      <c r="H1709" t="s">
        <v>32</v>
      </c>
      <c r="I1709">
        <v>4</v>
      </c>
      <c r="J1709">
        <v>28.17</v>
      </c>
      <c r="K1709">
        <v>12</v>
      </c>
      <c r="L1709">
        <v>167</v>
      </c>
      <c r="M1709">
        <v>39.07</v>
      </c>
      <c r="N1709" t="s">
        <v>23</v>
      </c>
      <c r="O1709">
        <v>3</v>
      </c>
      <c r="P1709">
        <v>112.68</v>
      </c>
      <c r="Q1709">
        <v>124.68</v>
      </c>
      <c r="R1709" t="s">
        <v>2054</v>
      </c>
    </row>
    <row r="1710" spans="1:18" x14ac:dyDescent="0.25">
      <c r="A1710" t="s">
        <v>1761</v>
      </c>
      <c r="B1710" s="1">
        <v>45873</v>
      </c>
      <c r="C1710" s="1">
        <v>45876</v>
      </c>
      <c r="D1710" t="s">
        <v>56</v>
      </c>
      <c r="E1710" t="s">
        <v>38</v>
      </c>
      <c r="F1710" t="s">
        <v>39</v>
      </c>
      <c r="G1710" t="s">
        <v>35</v>
      </c>
      <c r="H1710" t="s">
        <v>40</v>
      </c>
      <c r="I1710">
        <v>2</v>
      </c>
      <c r="J1710">
        <v>330.3</v>
      </c>
      <c r="K1710">
        <v>112.5</v>
      </c>
      <c r="L1710">
        <v>178</v>
      </c>
      <c r="M1710">
        <v>75.87</v>
      </c>
      <c r="N1710" t="s">
        <v>23</v>
      </c>
      <c r="O1710">
        <v>3</v>
      </c>
      <c r="P1710">
        <v>660.6</v>
      </c>
      <c r="Q1710">
        <v>773.1</v>
      </c>
      <c r="R1710" t="s">
        <v>2054</v>
      </c>
    </row>
    <row r="1711" spans="1:18" x14ac:dyDescent="0.25">
      <c r="A1711" t="s">
        <v>1762</v>
      </c>
      <c r="B1711" s="1">
        <v>45873</v>
      </c>
      <c r="C1711" s="1">
        <v>45890</v>
      </c>
      <c r="D1711" t="s">
        <v>56</v>
      </c>
      <c r="E1711" t="s">
        <v>38</v>
      </c>
      <c r="F1711" t="s">
        <v>39</v>
      </c>
      <c r="G1711" t="s">
        <v>35</v>
      </c>
      <c r="H1711" t="s">
        <v>27</v>
      </c>
      <c r="I1711">
        <v>1</v>
      </c>
      <c r="J1711">
        <v>144.62</v>
      </c>
      <c r="K1711">
        <v>75</v>
      </c>
      <c r="L1711">
        <v>128</v>
      </c>
      <c r="M1711">
        <v>-21.69</v>
      </c>
      <c r="N1711" t="s">
        <v>47</v>
      </c>
      <c r="O1711">
        <v>17</v>
      </c>
      <c r="P1711">
        <v>144.62</v>
      </c>
      <c r="Q1711">
        <v>219.62</v>
      </c>
      <c r="R1711" t="s">
        <v>2054</v>
      </c>
    </row>
    <row r="1712" spans="1:18" x14ac:dyDescent="0.25">
      <c r="A1712" t="s">
        <v>1763</v>
      </c>
      <c r="B1712" s="1">
        <v>45874</v>
      </c>
      <c r="C1712" s="1">
        <v>45881</v>
      </c>
      <c r="D1712" t="s">
        <v>25</v>
      </c>
      <c r="E1712" t="s">
        <v>19</v>
      </c>
      <c r="F1712" t="s">
        <v>20</v>
      </c>
      <c r="G1712" t="s">
        <v>35</v>
      </c>
      <c r="H1712" t="s">
        <v>22</v>
      </c>
      <c r="I1712">
        <v>14</v>
      </c>
      <c r="J1712">
        <v>14.34</v>
      </c>
      <c r="K1712">
        <v>8</v>
      </c>
      <c r="L1712">
        <v>395</v>
      </c>
      <c r="M1712">
        <v>12.06</v>
      </c>
      <c r="N1712" t="s">
        <v>63</v>
      </c>
      <c r="O1712">
        <v>7</v>
      </c>
      <c r="P1712">
        <v>200.76</v>
      </c>
      <c r="Q1712">
        <v>208.76</v>
      </c>
      <c r="R1712" t="s">
        <v>2054</v>
      </c>
    </row>
    <row r="1713" spans="1:18" x14ac:dyDescent="0.25">
      <c r="A1713" t="s">
        <v>1764</v>
      </c>
      <c r="B1713" s="1">
        <v>45874</v>
      </c>
      <c r="C1713" s="1">
        <v>45876</v>
      </c>
      <c r="D1713" t="s">
        <v>34</v>
      </c>
      <c r="E1713" t="s">
        <v>30</v>
      </c>
      <c r="F1713" t="s">
        <v>31</v>
      </c>
      <c r="G1713" t="s">
        <v>21</v>
      </c>
      <c r="H1713" t="s">
        <v>40</v>
      </c>
      <c r="I1713">
        <v>4</v>
      </c>
      <c r="J1713">
        <v>99.73</v>
      </c>
      <c r="K1713">
        <v>18</v>
      </c>
      <c r="L1713">
        <v>186</v>
      </c>
      <c r="M1713">
        <v>-59.84</v>
      </c>
      <c r="N1713" t="s">
        <v>23</v>
      </c>
      <c r="O1713">
        <v>2</v>
      </c>
      <c r="P1713">
        <v>398.92</v>
      </c>
      <c r="Q1713">
        <v>416.92</v>
      </c>
      <c r="R1713" t="s">
        <v>2054</v>
      </c>
    </row>
    <row r="1714" spans="1:18" x14ac:dyDescent="0.25">
      <c r="A1714" t="s">
        <v>1765</v>
      </c>
      <c r="B1714" s="1">
        <v>45874</v>
      </c>
      <c r="C1714" s="1">
        <v>45890</v>
      </c>
      <c r="D1714" t="s">
        <v>25</v>
      </c>
      <c r="E1714" t="s">
        <v>19</v>
      </c>
      <c r="F1714" t="s">
        <v>20</v>
      </c>
      <c r="G1714" t="s">
        <v>35</v>
      </c>
      <c r="H1714" t="s">
        <v>22</v>
      </c>
      <c r="I1714">
        <v>14</v>
      </c>
      <c r="J1714">
        <v>31.07</v>
      </c>
      <c r="K1714">
        <v>8</v>
      </c>
      <c r="L1714">
        <v>316</v>
      </c>
      <c r="M1714">
        <v>30.8</v>
      </c>
      <c r="N1714" t="s">
        <v>47</v>
      </c>
      <c r="O1714">
        <v>16</v>
      </c>
      <c r="P1714">
        <v>434.98</v>
      </c>
      <c r="Q1714">
        <v>442.98</v>
      </c>
      <c r="R1714" t="s">
        <v>2054</v>
      </c>
    </row>
    <row r="1715" spans="1:18" x14ac:dyDescent="0.25">
      <c r="A1715" t="s">
        <v>1766</v>
      </c>
      <c r="B1715" s="1">
        <v>45874</v>
      </c>
      <c r="C1715" s="1">
        <v>45876</v>
      </c>
      <c r="D1715" t="s">
        <v>118</v>
      </c>
      <c r="E1715" t="s">
        <v>79</v>
      </c>
      <c r="F1715" t="s">
        <v>80</v>
      </c>
      <c r="G1715" t="s">
        <v>26</v>
      </c>
      <c r="H1715" t="s">
        <v>32</v>
      </c>
      <c r="I1715">
        <v>1</v>
      </c>
      <c r="J1715">
        <v>103.17</v>
      </c>
      <c r="K1715">
        <v>12</v>
      </c>
      <c r="L1715">
        <v>169</v>
      </c>
      <c r="M1715">
        <v>-15.48</v>
      </c>
      <c r="N1715" t="s">
        <v>23</v>
      </c>
      <c r="O1715">
        <v>2</v>
      </c>
      <c r="P1715">
        <v>103.17</v>
      </c>
      <c r="Q1715">
        <v>115.17</v>
      </c>
      <c r="R1715" t="s">
        <v>2054</v>
      </c>
    </row>
    <row r="1716" spans="1:18" x14ac:dyDescent="0.25">
      <c r="A1716" t="s">
        <v>1767</v>
      </c>
      <c r="B1716" s="1">
        <v>45875</v>
      </c>
      <c r="C1716" s="1">
        <v>45878</v>
      </c>
      <c r="D1716" t="s">
        <v>50</v>
      </c>
      <c r="E1716" t="s">
        <v>44</v>
      </c>
      <c r="F1716" t="s">
        <v>45</v>
      </c>
      <c r="G1716" t="s">
        <v>35</v>
      </c>
      <c r="H1716" t="s">
        <v>27</v>
      </c>
      <c r="I1716">
        <v>1</v>
      </c>
      <c r="J1716">
        <v>651.15</v>
      </c>
      <c r="K1716">
        <v>25</v>
      </c>
      <c r="L1716">
        <v>363</v>
      </c>
      <c r="M1716">
        <v>215.4</v>
      </c>
      <c r="N1716" t="s">
        <v>23</v>
      </c>
      <c r="O1716">
        <v>3</v>
      </c>
      <c r="P1716">
        <v>651.15</v>
      </c>
      <c r="Q1716">
        <v>676.15</v>
      </c>
      <c r="R1716" t="s">
        <v>2054</v>
      </c>
    </row>
    <row r="1717" spans="1:18" x14ac:dyDescent="0.25">
      <c r="A1717" t="s">
        <v>1768</v>
      </c>
      <c r="B1717" s="1">
        <v>45877</v>
      </c>
      <c r="C1717" s="1">
        <v>45878</v>
      </c>
      <c r="D1717" t="s">
        <v>118</v>
      </c>
      <c r="E1717" t="s">
        <v>79</v>
      </c>
      <c r="F1717" t="s">
        <v>80</v>
      </c>
      <c r="G1717" t="s">
        <v>35</v>
      </c>
      <c r="H1717" t="s">
        <v>40</v>
      </c>
      <c r="I1717">
        <v>2</v>
      </c>
      <c r="J1717">
        <v>143.91</v>
      </c>
      <c r="K1717">
        <v>18</v>
      </c>
      <c r="L1717">
        <v>250</v>
      </c>
      <c r="M1717">
        <v>120.52</v>
      </c>
      <c r="N1717" t="s">
        <v>23</v>
      </c>
      <c r="O1717">
        <v>1</v>
      </c>
      <c r="P1717">
        <v>287.82</v>
      </c>
      <c r="Q1717">
        <v>305.82</v>
      </c>
      <c r="R1717" t="s">
        <v>2054</v>
      </c>
    </row>
    <row r="1718" spans="1:18" x14ac:dyDescent="0.25">
      <c r="A1718" t="s">
        <v>1769</v>
      </c>
      <c r="B1718" s="1">
        <v>45878</v>
      </c>
      <c r="C1718" s="1">
        <v>45879</v>
      </c>
      <c r="D1718" t="s">
        <v>25</v>
      </c>
      <c r="E1718" t="s">
        <v>19</v>
      </c>
      <c r="F1718" t="s">
        <v>20</v>
      </c>
      <c r="G1718" t="s">
        <v>21</v>
      </c>
      <c r="H1718" t="s">
        <v>32</v>
      </c>
      <c r="I1718">
        <v>10</v>
      </c>
      <c r="J1718">
        <v>30.2</v>
      </c>
      <c r="K1718">
        <v>8</v>
      </c>
      <c r="L1718">
        <v>4</v>
      </c>
      <c r="M1718">
        <v>20.16</v>
      </c>
      <c r="N1718" t="s">
        <v>23</v>
      </c>
      <c r="O1718">
        <v>1</v>
      </c>
      <c r="P1718">
        <v>302</v>
      </c>
      <c r="Q1718">
        <v>310</v>
      </c>
      <c r="R1718" t="s">
        <v>2056</v>
      </c>
    </row>
    <row r="1719" spans="1:18" x14ac:dyDescent="0.25">
      <c r="A1719" t="s">
        <v>1770</v>
      </c>
      <c r="B1719" s="1">
        <v>45878</v>
      </c>
      <c r="C1719" s="1">
        <v>45882</v>
      </c>
      <c r="D1719" t="s">
        <v>56</v>
      </c>
      <c r="E1719" t="s">
        <v>38</v>
      </c>
      <c r="F1719" t="s">
        <v>39</v>
      </c>
      <c r="G1719" t="s">
        <v>26</v>
      </c>
      <c r="H1719" t="s">
        <v>32</v>
      </c>
      <c r="I1719">
        <v>1</v>
      </c>
      <c r="J1719">
        <v>441.01</v>
      </c>
      <c r="K1719">
        <v>75</v>
      </c>
      <c r="L1719">
        <v>126</v>
      </c>
      <c r="M1719">
        <v>50.7</v>
      </c>
      <c r="N1719" t="s">
        <v>23</v>
      </c>
      <c r="O1719">
        <v>4</v>
      </c>
      <c r="P1719">
        <v>441.01</v>
      </c>
      <c r="Q1719">
        <v>516.01</v>
      </c>
      <c r="R1719" t="s">
        <v>2054</v>
      </c>
    </row>
    <row r="1720" spans="1:18" x14ac:dyDescent="0.25">
      <c r="A1720" t="s">
        <v>1771</v>
      </c>
      <c r="B1720" s="1">
        <v>45878</v>
      </c>
      <c r="C1720" s="1">
        <v>45879</v>
      </c>
      <c r="D1720" t="s">
        <v>58</v>
      </c>
      <c r="E1720" t="s">
        <v>19</v>
      </c>
      <c r="F1720" t="s">
        <v>20</v>
      </c>
      <c r="G1720" t="s">
        <v>21</v>
      </c>
      <c r="H1720" t="s">
        <v>27</v>
      </c>
      <c r="I1720">
        <v>7</v>
      </c>
      <c r="J1720">
        <v>12.11</v>
      </c>
      <c r="K1720">
        <v>8</v>
      </c>
      <c r="L1720">
        <v>141</v>
      </c>
      <c r="M1720">
        <v>2.78</v>
      </c>
      <c r="N1720" t="s">
        <v>23</v>
      </c>
      <c r="O1720">
        <v>1</v>
      </c>
      <c r="P1720">
        <v>84.77</v>
      </c>
      <c r="Q1720">
        <v>92.77</v>
      </c>
      <c r="R1720" t="s">
        <v>2054</v>
      </c>
    </row>
    <row r="1721" spans="1:18" x14ac:dyDescent="0.25">
      <c r="A1721" t="s">
        <v>1772</v>
      </c>
      <c r="B1721" s="1">
        <v>45878</v>
      </c>
      <c r="C1721" s="1">
        <v>45894</v>
      </c>
      <c r="D1721" t="s">
        <v>52</v>
      </c>
      <c r="E1721" t="s">
        <v>30</v>
      </c>
      <c r="F1721" t="s">
        <v>31</v>
      </c>
      <c r="G1721" t="s">
        <v>35</v>
      </c>
      <c r="H1721" t="s">
        <v>27</v>
      </c>
      <c r="I1721">
        <v>2</v>
      </c>
      <c r="J1721">
        <v>73.959999999999994</v>
      </c>
      <c r="K1721">
        <v>12</v>
      </c>
      <c r="L1721">
        <v>36</v>
      </c>
      <c r="M1721">
        <v>53.16</v>
      </c>
      <c r="N1721" t="s">
        <v>47</v>
      </c>
      <c r="O1721">
        <v>16</v>
      </c>
      <c r="P1721">
        <v>147.91999999999999</v>
      </c>
      <c r="Q1721">
        <v>159.91999999999999</v>
      </c>
      <c r="R1721" t="s">
        <v>2055</v>
      </c>
    </row>
    <row r="1722" spans="1:18" x14ac:dyDescent="0.25">
      <c r="A1722" t="s">
        <v>1773</v>
      </c>
      <c r="B1722" s="1">
        <v>45880</v>
      </c>
      <c r="C1722" s="1">
        <v>45885</v>
      </c>
      <c r="D1722" t="s">
        <v>29</v>
      </c>
      <c r="E1722" t="s">
        <v>30</v>
      </c>
      <c r="F1722" t="s">
        <v>31</v>
      </c>
      <c r="G1722" t="s">
        <v>35</v>
      </c>
      <c r="H1722" t="s">
        <v>40</v>
      </c>
      <c r="I1722">
        <v>3</v>
      </c>
      <c r="J1722">
        <v>95.15</v>
      </c>
      <c r="K1722">
        <v>18</v>
      </c>
      <c r="L1722">
        <v>143</v>
      </c>
      <c r="M1722">
        <v>105.18</v>
      </c>
      <c r="N1722" t="s">
        <v>23</v>
      </c>
      <c r="O1722">
        <v>5</v>
      </c>
      <c r="P1722">
        <v>285.45000000000005</v>
      </c>
      <c r="Q1722">
        <v>303.45000000000005</v>
      </c>
      <c r="R1722" t="s">
        <v>2054</v>
      </c>
    </row>
    <row r="1723" spans="1:18" x14ac:dyDescent="0.25">
      <c r="A1723" t="s">
        <v>1774</v>
      </c>
      <c r="B1723" s="1">
        <v>45881</v>
      </c>
      <c r="C1723" s="1">
        <v>45882</v>
      </c>
      <c r="D1723" t="s">
        <v>58</v>
      </c>
      <c r="E1723" t="s">
        <v>19</v>
      </c>
      <c r="F1723" t="s">
        <v>20</v>
      </c>
      <c r="G1723" t="s">
        <v>21</v>
      </c>
      <c r="H1723" t="s">
        <v>27</v>
      </c>
      <c r="I1723">
        <v>11</v>
      </c>
      <c r="J1723">
        <v>41.19</v>
      </c>
      <c r="K1723">
        <v>8</v>
      </c>
      <c r="L1723">
        <v>59</v>
      </c>
      <c r="M1723">
        <v>32.24</v>
      </c>
      <c r="N1723" t="s">
        <v>23</v>
      </c>
      <c r="O1723">
        <v>1</v>
      </c>
      <c r="P1723">
        <v>453.09</v>
      </c>
      <c r="Q1723">
        <v>461.09</v>
      </c>
      <c r="R1723" t="s">
        <v>2054</v>
      </c>
    </row>
    <row r="1724" spans="1:18" x14ac:dyDescent="0.25">
      <c r="A1724" t="s">
        <v>1775</v>
      </c>
      <c r="B1724" s="1">
        <v>45881</v>
      </c>
      <c r="C1724" s="1">
        <v>45882</v>
      </c>
      <c r="D1724" t="s">
        <v>29</v>
      </c>
      <c r="E1724" t="s">
        <v>30</v>
      </c>
      <c r="F1724" t="s">
        <v>31</v>
      </c>
      <c r="G1724" t="s">
        <v>26</v>
      </c>
      <c r="H1724" t="s">
        <v>27</v>
      </c>
      <c r="I1724">
        <v>2</v>
      </c>
      <c r="J1724">
        <v>49.68</v>
      </c>
      <c r="K1724">
        <v>12</v>
      </c>
      <c r="L1724">
        <v>311</v>
      </c>
      <c r="M1724">
        <v>33.74</v>
      </c>
      <c r="N1724" t="s">
        <v>23</v>
      </c>
      <c r="O1724">
        <v>1</v>
      </c>
      <c r="P1724">
        <v>99.36</v>
      </c>
      <c r="Q1724">
        <v>111.36</v>
      </c>
      <c r="R1724" t="s">
        <v>2054</v>
      </c>
    </row>
    <row r="1725" spans="1:18" x14ac:dyDescent="0.25">
      <c r="A1725" t="s">
        <v>1776</v>
      </c>
      <c r="B1725" s="1">
        <v>45881</v>
      </c>
      <c r="C1725" s="1">
        <v>45883</v>
      </c>
      <c r="D1725" t="s">
        <v>50</v>
      </c>
      <c r="E1725" t="s">
        <v>44</v>
      </c>
      <c r="F1725" t="s">
        <v>45</v>
      </c>
      <c r="G1725" t="s">
        <v>35</v>
      </c>
      <c r="H1725" t="s">
        <v>32</v>
      </c>
      <c r="I1725">
        <v>3</v>
      </c>
      <c r="J1725">
        <v>915.48</v>
      </c>
      <c r="K1725">
        <v>25</v>
      </c>
      <c r="L1725">
        <v>169</v>
      </c>
      <c r="M1725">
        <v>948.75</v>
      </c>
      <c r="N1725" t="s">
        <v>23</v>
      </c>
      <c r="O1725">
        <v>2</v>
      </c>
      <c r="P1725">
        <v>2746.44</v>
      </c>
      <c r="Q1725">
        <v>2771.44</v>
      </c>
      <c r="R1725" t="s">
        <v>2054</v>
      </c>
    </row>
    <row r="1726" spans="1:18" x14ac:dyDescent="0.25">
      <c r="A1726" t="s">
        <v>1777</v>
      </c>
      <c r="B1726" s="1">
        <v>45881</v>
      </c>
      <c r="C1726" s="1">
        <v>45884</v>
      </c>
      <c r="D1726" t="s">
        <v>29</v>
      </c>
      <c r="E1726" t="s">
        <v>30</v>
      </c>
      <c r="F1726" t="s">
        <v>31</v>
      </c>
      <c r="G1726" t="s">
        <v>21</v>
      </c>
      <c r="H1726" t="s">
        <v>32</v>
      </c>
      <c r="I1726">
        <v>5</v>
      </c>
      <c r="J1726">
        <v>62.34</v>
      </c>
      <c r="K1726">
        <v>12</v>
      </c>
      <c r="L1726">
        <v>96</v>
      </c>
      <c r="M1726">
        <v>-46.75</v>
      </c>
      <c r="N1726" t="s">
        <v>23</v>
      </c>
      <c r="O1726">
        <v>3</v>
      </c>
      <c r="P1726">
        <v>311.70000000000005</v>
      </c>
      <c r="Q1726">
        <v>323.70000000000005</v>
      </c>
      <c r="R1726" t="s">
        <v>2054</v>
      </c>
    </row>
    <row r="1727" spans="1:18" x14ac:dyDescent="0.25">
      <c r="A1727" t="s">
        <v>1778</v>
      </c>
      <c r="B1727" s="1">
        <v>45882</v>
      </c>
      <c r="C1727" s="1">
        <v>45884</v>
      </c>
      <c r="D1727" t="s">
        <v>25</v>
      </c>
      <c r="E1727" t="s">
        <v>19</v>
      </c>
      <c r="F1727" t="s">
        <v>20</v>
      </c>
      <c r="G1727" t="s">
        <v>26</v>
      </c>
      <c r="H1727" t="s">
        <v>27</v>
      </c>
      <c r="I1727">
        <v>13</v>
      </c>
      <c r="J1727">
        <v>37.46</v>
      </c>
      <c r="K1727">
        <v>8</v>
      </c>
      <c r="L1727">
        <v>2</v>
      </c>
      <c r="M1727">
        <v>34.950000000000003</v>
      </c>
      <c r="N1727" t="s">
        <v>23</v>
      </c>
      <c r="O1727">
        <v>2</v>
      </c>
      <c r="P1727">
        <v>486.98</v>
      </c>
      <c r="Q1727">
        <v>494.98</v>
      </c>
      <c r="R1727" t="s">
        <v>2056</v>
      </c>
    </row>
    <row r="1728" spans="1:18" x14ac:dyDescent="0.25">
      <c r="A1728" t="s">
        <v>1779</v>
      </c>
      <c r="B1728" s="1">
        <v>45882</v>
      </c>
      <c r="C1728" s="1">
        <v>45885</v>
      </c>
      <c r="D1728" t="s">
        <v>25</v>
      </c>
      <c r="E1728" t="s">
        <v>19</v>
      </c>
      <c r="F1728" t="s">
        <v>20</v>
      </c>
      <c r="G1728" t="s">
        <v>26</v>
      </c>
      <c r="H1728" t="s">
        <v>27</v>
      </c>
      <c r="I1728">
        <v>6</v>
      </c>
      <c r="J1728">
        <v>35.1</v>
      </c>
      <c r="K1728">
        <v>8</v>
      </c>
      <c r="L1728">
        <v>223</v>
      </c>
      <c r="M1728">
        <v>12.85</v>
      </c>
      <c r="N1728" t="s">
        <v>23</v>
      </c>
      <c r="O1728">
        <v>3</v>
      </c>
      <c r="P1728">
        <v>210.60000000000002</v>
      </c>
      <c r="Q1728">
        <v>218.60000000000002</v>
      </c>
      <c r="R1728" t="s">
        <v>2054</v>
      </c>
    </row>
    <row r="1729" spans="1:18" x14ac:dyDescent="0.25">
      <c r="A1729" t="s">
        <v>1780</v>
      </c>
      <c r="B1729" s="1">
        <v>45882</v>
      </c>
      <c r="C1729" s="1">
        <v>45884</v>
      </c>
      <c r="D1729" t="s">
        <v>37</v>
      </c>
      <c r="E1729" t="s">
        <v>38</v>
      </c>
      <c r="F1729" t="s">
        <v>39</v>
      </c>
      <c r="G1729" t="s">
        <v>26</v>
      </c>
      <c r="H1729" t="s">
        <v>32</v>
      </c>
      <c r="I1729">
        <v>1</v>
      </c>
      <c r="J1729">
        <v>425.23</v>
      </c>
      <c r="K1729">
        <v>75</v>
      </c>
      <c r="L1729">
        <v>117</v>
      </c>
      <c r="M1729">
        <v>47.55</v>
      </c>
      <c r="N1729" t="s">
        <v>23</v>
      </c>
      <c r="O1729">
        <v>2</v>
      </c>
      <c r="P1729">
        <v>425.23</v>
      </c>
      <c r="Q1729">
        <v>500.23</v>
      </c>
      <c r="R1729" t="s">
        <v>2054</v>
      </c>
    </row>
    <row r="1730" spans="1:18" x14ac:dyDescent="0.25">
      <c r="A1730" t="s">
        <v>1781</v>
      </c>
      <c r="B1730" s="1">
        <v>45882</v>
      </c>
      <c r="C1730" s="1">
        <v>45887</v>
      </c>
      <c r="D1730" t="s">
        <v>72</v>
      </c>
      <c r="E1730" t="s">
        <v>44</v>
      </c>
      <c r="F1730" t="s">
        <v>45</v>
      </c>
      <c r="G1730" t="s">
        <v>26</v>
      </c>
      <c r="H1730" t="s">
        <v>32</v>
      </c>
      <c r="I1730">
        <v>2</v>
      </c>
      <c r="J1730">
        <v>283.95999999999998</v>
      </c>
      <c r="K1730">
        <v>25</v>
      </c>
      <c r="L1730">
        <v>144</v>
      </c>
      <c r="M1730">
        <v>186.27</v>
      </c>
      <c r="N1730" t="s">
        <v>23</v>
      </c>
      <c r="O1730">
        <v>5</v>
      </c>
      <c r="P1730">
        <v>567.91999999999996</v>
      </c>
      <c r="Q1730">
        <v>592.91999999999996</v>
      </c>
      <c r="R1730" t="s">
        <v>2054</v>
      </c>
    </row>
    <row r="1731" spans="1:18" x14ac:dyDescent="0.25">
      <c r="A1731" t="s">
        <v>1782</v>
      </c>
      <c r="B1731" s="1">
        <v>45882</v>
      </c>
      <c r="C1731" s="1">
        <v>45886</v>
      </c>
      <c r="D1731" t="s">
        <v>54</v>
      </c>
      <c r="E1731" t="s">
        <v>38</v>
      </c>
      <c r="F1731" t="s">
        <v>39</v>
      </c>
      <c r="G1731" t="s">
        <v>26</v>
      </c>
      <c r="H1731" t="s">
        <v>27</v>
      </c>
      <c r="I1731">
        <v>2</v>
      </c>
      <c r="J1731">
        <v>296.57</v>
      </c>
      <c r="K1731">
        <v>75</v>
      </c>
      <c r="L1731">
        <v>381</v>
      </c>
      <c r="M1731">
        <v>81.13</v>
      </c>
      <c r="N1731" t="s">
        <v>23</v>
      </c>
      <c r="O1731">
        <v>4</v>
      </c>
      <c r="P1731">
        <v>593.14</v>
      </c>
      <c r="Q1731">
        <v>668.14</v>
      </c>
      <c r="R1731" t="s">
        <v>2054</v>
      </c>
    </row>
    <row r="1732" spans="1:18" x14ac:dyDescent="0.25">
      <c r="A1732" t="s">
        <v>1783</v>
      </c>
      <c r="B1732" s="1">
        <v>45882</v>
      </c>
      <c r="C1732" s="1">
        <v>45897</v>
      </c>
      <c r="D1732" t="s">
        <v>43</v>
      </c>
      <c r="E1732" t="s">
        <v>44</v>
      </c>
      <c r="F1732" t="s">
        <v>45</v>
      </c>
      <c r="G1732" t="s">
        <v>35</v>
      </c>
      <c r="H1732" t="s">
        <v>27</v>
      </c>
      <c r="I1732">
        <v>2</v>
      </c>
      <c r="J1732">
        <v>883.21</v>
      </c>
      <c r="K1732">
        <v>25</v>
      </c>
      <c r="L1732">
        <v>83</v>
      </c>
      <c r="M1732">
        <v>605.75</v>
      </c>
      <c r="N1732" t="s">
        <v>47</v>
      </c>
      <c r="O1732">
        <v>15</v>
      </c>
      <c r="P1732">
        <v>1766.42</v>
      </c>
      <c r="Q1732">
        <v>1791.42</v>
      </c>
      <c r="R1732" t="s">
        <v>2054</v>
      </c>
    </row>
    <row r="1733" spans="1:18" x14ac:dyDescent="0.25">
      <c r="A1733" t="s">
        <v>1784</v>
      </c>
      <c r="B1733" s="1">
        <v>45883</v>
      </c>
      <c r="C1733" s="1">
        <v>45888</v>
      </c>
      <c r="D1733" t="s">
        <v>43</v>
      </c>
      <c r="E1733" t="s">
        <v>44</v>
      </c>
      <c r="F1733" t="s">
        <v>45</v>
      </c>
      <c r="G1733" t="s">
        <v>35</v>
      </c>
      <c r="H1733" t="s">
        <v>40</v>
      </c>
      <c r="I1733">
        <v>2</v>
      </c>
      <c r="J1733">
        <v>808.57</v>
      </c>
      <c r="K1733">
        <v>37.5</v>
      </c>
      <c r="L1733">
        <v>245</v>
      </c>
      <c r="M1733">
        <v>547.25</v>
      </c>
      <c r="N1733" t="s">
        <v>23</v>
      </c>
      <c r="O1733">
        <v>5</v>
      </c>
      <c r="P1733">
        <v>1617.14</v>
      </c>
      <c r="Q1733">
        <v>1654.64</v>
      </c>
      <c r="R1733" t="s">
        <v>2054</v>
      </c>
    </row>
    <row r="1734" spans="1:18" x14ac:dyDescent="0.25">
      <c r="A1734" t="s">
        <v>1785</v>
      </c>
      <c r="B1734" s="1">
        <v>45883</v>
      </c>
      <c r="C1734" s="1">
        <v>45891</v>
      </c>
      <c r="D1734" t="s">
        <v>58</v>
      </c>
      <c r="E1734" t="s">
        <v>19</v>
      </c>
      <c r="F1734" t="s">
        <v>20</v>
      </c>
      <c r="G1734" t="s">
        <v>35</v>
      </c>
      <c r="H1734" t="s">
        <v>27</v>
      </c>
      <c r="I1734">
        <v>7</v>
      </c>
      <c r="J1734">
        <v>47.07</v>
      </c>
      <c r="K1734">
        <v>8</v>
      </c>
      <c r="L1734">
        <v>371</v>
      </c>
      <c r="M1734">
        <v>22.36</v>
      </c>
      <c r="N1734" t="s">
        <v>63</v>
      </c>
      <c r="O1734">
        <v>8</v>
      </c>
      <c r="P1734">
        <v>329.49</v>
      </c>
      <c r="Q1734">
        <v>337.49</v>
      </c>
      <c r="R1734" t="s">
        <v>2054</v>
      </c>
    </row>
    <row r="1735" spans="1:18" x14ac:dyDescent="0.25">
      <c r="A1735" t="s">
        <v>1786</v>
      </c>
      <c r="B1735" s="1">
        <v>45883</v>
      </c>
      <c r="C1735" s="1">
        <v>45887</v>
      </c>
      <c r="D1735" t="s">
        <v>75</v>
      </c>
      <c r="E1735" t="s">
        <v>44</v>
      </c>
      <c r="F1735" t="s">
        <v>45</v>
      </c>
      <c r="G1735" t="s">
        <v>26</v>
      </c>
      <c r="H1735" t="s">
        <v>27</v>
      </c>
      <c r="I1735">
        <v>2</v>
      </c>
      <c r="J1735">
        <v>1014.42</v>
      </c>
      <c r="K1735">
        <v>25</v>
      </c>
      <c r="L1735">
        <v>117</v>
      </c>
      <c r="M1735">
        <v>697.6</v>
      </c>
      <c r="N1735" t="s">
        <v>23</v>
      </c>
      <c r="O1735">
        <v>4</v>
      </c>
      <c r="P1735">
        <v>2028.84</v>
      </c>
      <c r="Q1735">
        <v>2053.84</v>
      </c>
      <c r="R1735" t="s">
        <v>2054</v>
      </c>
    </row>
    <row r="1736" spans="1:18" x14ac:dyDescent="0.25">
      <c r="A1736" t="s">
        <v>1787</v>
      </c>
      <c r="B1736" s="1">
        <v>45883</v>
      </c>
      <c r="C1736" s="1">
        <v>45888</v>
      </c>
      <c r="D1736" t="s">
        <v>29</v>
      </c>
      <c r="E1736" t="s">
        <v>30</v>
      </c>
      <c r="F1736" t="s">
        <v>31</v>
      </c>
      <c r="G1736" t="s">
        <v>21</v>
      </c>
      <c r="H1736" t="s">
        <v>27</v>
      </c>
      <c r="I1736">
        <v>1</v>
      </c>
      <c r="J1736">
        <v>61.63</v>
      </c>
      <c r="K1736">
        <v>12</v>
      </c>
      <c r="L1736">
        <v>272</v>
      </c>
      <c r="M1736">
        <v>18.649999999999999</v>
      </c>
      <c r="N1736" t="s">
        <v>23</v>
      </c>
      <c r="O1736">
        <v>5</v>
      </c>
      <c r="P1736">
        <v>61.63</v>
      </c>
      <c r="Q1736">
        <v>73.63</v>
      </c>
      <c r="R1736" t="s">
        <v>2054</v>
      </c>
    </row>
    <row r="1737" spans="1:18" x14ac:dyDescent="0.25">
      <c r="A1737" t="s">
        <v>1788</v>
      </c>
      <c r="B1737" s="1">
        <v>45883</v>
      </c>
      <c r="C1737" s="1">
        <v>45884</v>
      </c>
      <c r="D1737" t="s">
        <v>43</v>
      </c>
      <c r="E1737" t="s">
        <v>44</v>
      </c>
      <c r="F1737" t="s">
        <v>45</v>
      </c>
      <c r="G1737" t="s">
        <v>35</v>
      </c>
      <c r="H1737" t="s">
        <v>27</v>
      </c>
      <c r="I1737">
        <v>1</v>
      </c>
      <c r="J1737">
        <v>1195.05</v>
      </c>
      <c r="K1737">
        <v>25</v>
      </c>
      <c r="L1737">
        <v>66</v>
      </c>
      <c r="M1737">
        <v>405.77</v>
      </c>
      <c r="N1737" t="s">
        <v>23</v>
      </c>
      <c r="O1737">
        <v>1</v>
      </c>
      <c r="P1737">
        <v>1195.05</v>
      </c>
      <c r="Q1737">
        <v>1220.05</v>
      </c>
      <c r="R1737" t="s">
        <v>2054</v>
      </c>
    </row>
    <row r="1738" spans="1:18" x14ac:dyDescent="0.25">
      <c r="A1738" t="s">
        <v>1789</v>
      </c>
      <c r="B1738" s="1">
        <v>45884</v>
      </c>
      <c r="C1738" s="1">
        <v>45889</v>
      </c>
      <c r="D1738" t="s">
        <v>18</v>
      </c>
      <c r="E1738" t="s">
        <v>19</v>
      </c>
      <c r="F1738" t="s">
        <v>20</v>
      </c>
      <c r="G1738" t="s">
        <v>35</v>
      </c>
      <c r="H1738" t="s">
        <v>40</v>
      </c>
      <c r="I1738">
        <v>10</v>
      </c>
      <c r="J1738">
        <v>42.26</v>
      </c>
      <c r="K1738">
        <v>12</v>
      </c>
      <c r="L1738">
        <v>9</v>
      </c>
      <c r="M1738">
        <v>27.81</v>
      </c>
      <c r="N1738" t="s">
        <v>23</v>
      </c>
      <c r="O1738">
        <v>5</v>
      </c>
      <c r="P1738">
        <v>422.59999999999997</v>
      </c>
      <c r="Q1738">
        <v>434.59999999999997</v>
      </c>
      <c r="R1738" t="s">
        <v>2056</v>
      </c>
    </row>
    <row r="1739" spans="1:18" x14ac:dyDescent="0.25">
      <c r="A1739" t="s">
        <v>1790</v>
      </c>
      <c r="B1739" s="1">
        <v>45884</v>
      </c>
      <c r="C1739" s="1">
        <v>45885</v>
      </c>
      <c r="D1739" t="s">
        <v>52</v>
      </c>
      <c r="E1739" t="s">
        <v>30</v>
      </c>
      <c r="F1739" t="s">
        <v>31</v>
      </c>
      <c r="G1739" t="s">
        <v>21</v>
      </c>
      <c r="H1739" t="s">
        <v>32</v>
      </c>
      <c r="I1739">
        <v>5</v>
      </c>
      <c r="J1739">
        <v>85.76</v>
      </c>
      <c r="K1739">
        <v>12</v>
      </c>
      <c r="L1739">
        <v>314</v>
      </c>
      <c r="M1739">
        <v>165.52</v>
      </c>
      <c r="N1739" t="s">
        <v>23</v>
      </c>
      <c r="O1739">
        <v>1</v>
      </c>
      <c r="P1739">
        <v>428.8</v>
      </c>
      <c r="Q1739">
        <v>440.8</v>
      </c>
      <c r="R1739" t="s">
        <v>2054</v>
      </c>
    </row>
    <row r="1740" spans="1:18" x14ac:dyDescent="0.25">
      <c r="A1740" t="s">
        <v>1791</v>
      </c>
      <c r="B1740" s="1">
        <v>45884</v>
      </c>
      <c r="C1740" s="1">
        <v>45888</v>
      </c>
      <c r="D1740" t="s">
        <v>43</v>
      </c>
      <c r="E1740" t="s">
        <v>44</v>
      </c>
      <c r="F1740" t="s">
        <v>45</v>
      </c>
      <c r="G1740" t="s">
        <v>35</v>
      </c>
      <c r="H1740" t="s">
        <v>22</v>
      </c>
      <c r="I1740">
        <v>2</v>
      </c>
      <c r="J1740">
        <v>959.69</v>
      </c>
      <c r="K1740">
        <v>25</v>
      </c>
      <c r="L1740">
        <v>78</v>
      </c>
      <c r="M1740">
        <v>659.29</v>
      </c>
      <c r="N1740" t="s">
        <v>23</v>
      </c>
      <c r="O1740">
        <v>4</v>
      </c>
      <c r="P1740">
        <v>1919.38</v>
      </c>
      <c r="Q1740">
        <v>1944.38</v>
      </c>
      <c r="R1740" t="s">
        <v>2054</v>
      </c>
    </row>
    <row r="1741" spans="1:18" x14ac:dyDescent="0.25">
      <c r="A1741" t="s">
        <v>1792</v>
      </c>
      <c r="B1741" s="1">
        <v>45884</v>
      </c>
      <c r="C1741" s="1">
        <v>45888</v>
      </c>
      <c r="D1741" t="s">
        <v>50</v>
      </c>
      <c r="E1741" t="s">
        <v>44</v>
      </c>
      <c r="F1741" t="s">
        <v>45</v>
      </c>
      <c r="G1741" t="s">
        <v>26</v>
      </c>
      <c r="H1741" t="s">
        <v>32</v>
      </c>
      <c r="I1741">
        <v>3</v>
      </c>
      <c r="J1741">
        <v>330.22</v>
      </c>
      <c r="K1741">
        <v>25</v>
      </c>
      <c r="L1741">
        <v>199</v>
      </c>
      <c r="M1741">
        <v>334.23</v>
      </c>
      <c r="N1741" t="s">
        <v>23</v>
      </c>
      <c r="O1741">
        <v>4</v>
      </c>
      <c r="P1741">
        <v>990.66000000000008</v>
      </c>
      <c r="Q1741">
        <v>1015.6600000000001</v>
      </c>
      <c r="R1741" t="s">
        <v>2054</v>
      </c>
    </row>
    <row r="1742" spans="1:18" x14ac:dyDescent="0.25">
      <c r="A1742" t="s">
        <v>1793</v>
      </c>
      <c r="B1742" s="1">
        <v>45884</v>
      </c>
      <c r="C1742" s="1">
        <v>45889</v>
      </c>
      <c r="D1742" t="s">
        <v>52</v>
      </c>
      <c r="E1742" t="s">
        <v>30</v>
      </c>
      <c r="F1742" t="s">
        <v>31</v>
      </c>
      <c r="G1742" t="s">
        <v>21</v>
      </c>
      <c r="H1742" t="s">
        <v>22</v>
      </c>
      <c r="I1742">
        <v>2</v>
      </c>
      <c r="J1742">
        <v>43.24</v>
      </c>
      <c r="K1742">
        <v>12</v>
      </c>
      <c r="L1742">
        <v>321</v>
      </c>
      <c r="M1742">
        <v>28.59</v>
      </c>
      <c r="N1742" t="s">
        <v>23</v>
      </c>
      <c r="O1742">
        <v>5</v>
      </c>
      <c r="P1742">
        <v>86.48</v>
      </c>
      <c r="Q1742">
        <v>98.48</v>
      </c>
      <c r="R1742" t="s">
        <v>2054</v>
      </c>
    </row>
    <row r="1743" spans="1:18" x14ac:dyDescent="0.25">
      <c r="A1743" t="s">
        <v>1794</v>
      </c>
      <c r="B1743" s="1">
        <v>45884</v>
      </c>
      <c r="C1743" s="1">
        <v>45888</v>
      </c>
      <c r="D1743" t="s">
        <v>18</v>
      </c>
      <c r="E1743" t="s">
        <v>19</v>
      </c>
      <c r="F1743" t="s">
        <v>20</v>
      </c>
      <c r="G1743" t="s">
        <v>26</v>
      </c>
      <c r="H1743" t="s">
        <v>32</v>
      </c>
      <c r="I1743">
        <v>14</v>
      </c>
      <c r="J1743">
        <v>27.96</v>
      </c>
      <c r="K1743">
        <v>8</v>
      </c>
      <c r="L1743">
        <v>9</v>
      </c>
      <c r="M1743">
        <v>27.32</v>
      </c>
      <c r="N1743" t="s">
        <v>23</v>
      </c>
      <c r="O1743">
        <v>4</v>
      </c>
      <c r="P1743">
        <v>391.44</v>
      </c>
      <c r="Q1743">
        <v>399.44</v>
      </c>
      <c r="R1743" t="s">
        <v>2056</v>
      </c>
    </row>
    <row r="1744" spans="1:18" x14ac:dyDescent="0.25">
      <c r="A1744" t="s">
        <v>1795</v>
      </c>
      <c r="B1744" s="1">
        <v>45885</v>
      </c>
      <c r="C1744" s="1">
        <v>45886</v>
      </c>
      <c r="D1744" t="s">
        <v>37</v>
      </c>
      <c r="E1744" t="s">
        <v>38</v>
      </c>
      <c r="F1744" t="s">
        <v>39</v>
      </c>
      <c r="G1744" t="s">
        <v>21</v>
      </c>
      <c r="H1744" t="s">
        <v>22</v>
      </c>
      <c r="I1744">
        <v>2</v>
      </c>
      <c r="J1744">
        <v>126.67</v>
      </c>
      <c r="K1744">
        <v>75</v>
      </c>
      <c r="L1744">
        <v>335</v>
      </c>
      <c r="M1744">
        <v>13.17</v>
      </c>
      <c r="N1744" t="s">
        <v>23</v>
      </c>
      <c r="O1744">
        <v>1</v>
      </c>
      <c r="P1744">
        <v>253.34</v>
      </c>
      <c r="Q1744">
        <v>328.34000000000003</v>
      </c>
      <c r="R1744" t="s">
        <v>2054</v>
      </c>
    </row>
    <row r="1745" spans="1:18" x14ac:dyDescent="0.25">
      <c r="A1745" t="s">
        <v>1796</v>
      </c>
      <c r="B1745" s="1">
        <v>45885</v>
      </c>
      <c r="C1745" s="1">
        <v>45890</v>
      </c>
      <c r="D1745" t="s">
        <v>78</v>
      </c>
      <c r="E1745" t="s">
        <v>79</v>
      </c>
      <c r="F1745" t="s">
        <v>80</v>
      </c>
      <c r="G1745" t="s">
        <v>21</v>
      </c>
      <c r="H1745" t="s">
        <v>22</v>
      </c>
      <c r="I1745">
        <v>2</v>
      </c>
      <c r="J1745">
        <v>114.03</v>
      </c>
      <c r="K1745">
        <v>12</v>
      </c>
      <c r="L1745">
        <v>135</v>
      </c>
      <c r="M1745">
        <v>96.63</v>
      </c>
      <c r="N1745" t="s">
        <v>23</v>
      </c>
      <c r="O1745">
        <v>5</v>
      </c>
      <c r="P1745">
        <v>228.06</v>
      </c>
      <c r="Q1745">
        <v>240.06</v>
      </c>
      <c r="R1745" t="s">
        <v>2054</v>
      </c>
    </row>
    <row r="1746" spans="1:18" x14ac:dyDescent="0.25">
      <c r="A1746" t="s">
        <v>1797</v>
      </c>
      <c r="B1746" s="1">
        <v>45886</v>
      </c>
      <c r="C1746" s="1">
        <v>45891</v>
      </c>
      <c r="D1746" t="s">
        <v>18</v>
      </c>
      <c r="E1746" t="s">
        <v>19</v>
      </c>
      <c r="F1746" t="s">
        <v>20</v>
      </c>
      <c r="G1746" t="s">
        <v>21</v>
      </c>
      <c r="H1746" t="s">
        <v>27</v>
      </c>
      <c r="I1746">
        <v>5</v>
      </c>
      <c r="J1746">
        <v>10.49</v>
      </c>
      <c r="K1746">
        <v>8</v>
      </c>
      <c r="L1746">
        <v>324</v>
      </c>
      <c r="M1746">
        <v>0.2</v>
      </c>
      <c r="N1746" t="s">
        <v>23</v>
      </c>
      <c r="O1746">
        <v>5</v>
      </c>
      <c r="P1746">
        <v>52.45</v>
      </c>
      <c r="Q1746">
        <v>60.45</v>
      </c>
      <c r="R1746" t="s">
        <v>2054</v>
      </c>
    </row>
    <row r="1747" spans="1:18" x14ac:dyDescent="0.25">
      <c r="A1747" t="s">
        <v>1798</v>
      </c>
      <c r="B1747" s="1">
        <v>45886</v>
      </c>
      <c r="C1747" s="1">
        <v>45890</v>
      </c>
      <c r="D1747" t="s">
        <v>18</v>
      </c>
      <c r="E1747" t="s">
        <v>19</v>
      </c>
      <c r="F1747" t="s">
        <v>20</v>
      </c>
      <c r="G1747" t="s">
        <v>35</v>
      </c>
      <c r="H1747" t="s">
        <v>27</v>
      </c>
      <c r="I1747">
        <v>14</v>
      </c>
      <c r="J1747">
        <v>13.13</v>
      </c>
      <c r="K1747">
        <v>8</v>
      </c>
      <c r="L1747">
        <v>226</v>
      </c>
      <c r="M1747">
        <v>10.7</v>
      </c>
      <c r="N1747" t="s">
        <v>23</v>
      </c>
      <c r="O1747">
        <v>4</v>
      </c>
      <c r="P1747">
        <v>183.82000000000002</v>
      </c>
      <c r="Q1747">
        <v>191.82000000000002</v>
      </c>
      <c r="R1747" t="s">
        <v>2054</v>
      </c>
    </row>
    <row r="1748" spans="1:18" x14ac:dyDescent="0.25">
      <c r="A1748" t="s">
        <v>1799</v>
      </c>
      <c r="B1748" s="1">
        <v>45887</v>
      </c>
      <c r="C1748" s="1">
        <v>45889</v>
      </c>
      <c r="D1748" t="s">
        <v>18</v>
      </c>
      <c r="E1748" t="s">
        <v>19</v>
      </c>
      <c r="F1748" t="s">
        <v>20</v>
      </c>
      <c r="G1748" t="s">
        <v>21</v>
      </c>
      <c r="H1748" t="s">
        <v>32</v>
      </c>
      <c r="I1748">
        <v>9</v>
      </c>
      <c r="J1748">
        <v>33.83</v>
      </c>
      <c r="K1748">
        <v>8</v>
      </c>
      <c r="L1748">
        <v>214</v>
      </c>
      <c r="M1748">
        <v>20.36</v>
      </c>
      <c r="N1748" t="s">
        <v>23</v>
      </c>
      <c r="O1748">
        <v>2</v>
      </c>
      <c r="P1748">
        <v>304.46999999999997</v>
      </c>
      <c r="Q1748">
        <v>312.46999999999997</v>
      </c>
      <c r="R1748" t="s">
        <v>2054</v>
      </c>
    </row>
    <row r="1749" spans="1:18" x14ac:dyDescent="0.25">
      <c r="A1749" t="s">
        <v>1800</v>
      </c>
      <c r="B1749" s="1">
        <v>45888</v>
      </c>
      <c r="C1749" s="1">
        <v>45897</v>
      </c>
      <c r="D1749" t="s">
        <v>72</v>
      </c>
      <c r="E1749" t="s">
        <v>44</v>
      </c>
      <c r="F1749" t="s">
        <v>45</v>
      </c>
      <c r="G1749" t="s">
        <v>35</v>
      </c>
      <c r="H1749" t="s">
        <v>32</v>
      </c>
      <c r="I1749">
        <v>2</v>
      </c>
      <c r="J1749">
        <v>576.49</v>
      </c>
      <c r="K1749">
        <v>25</v>
      </c>
      <c r="L1749">
        <v>35</v>
      </c>
      <c r="M1749">
        <v>391.04</v>
      </c>
      <c r="N1749" t="s">
        <v>63</v>
      </c>
      <c r="O1749">
        <v>9</v>
      </c>
      <c r="P1749">
        <v>1152.98</v>
      </c>
      <c r="Q1749">
        <v>1177.98</v>
      </c>
      <c r="R1749" t="s">
        <v>2055</v>
      </c>
    </row>
    <row r="1750" spans="1:18" x14ac:dyDescent="0.25">
      <c r="A1750" t="s">
        <v>1801</v>
      </c>
      <c r="B1750" s="1">
        <v>45888</v>
      </c>
      <c r="C1750" s="1">
        <v>45889</v>
      </c>
      <c r="D1750" t="s">
        <v>56</v>
      </c>
      <c r="E1750" t="s">
        <v>38</v>
      </c>
      <c r="F1750" t="s">
        <v>39</v>
      </c>
      <c r="G1750" t="s">
        <v>21</v>
      </c>
      <c r="H1750" t="s">
        <v>22</v>
      </c>
      <c r="I1750">
        <v>2</v>
      </c>
      <c r="J1750">
        <v>382.49</v>
      </c>
      <c r="K1750">
        <v>75</v>
      </c>
      <c r="L1750">
        <v>262</v>
      </c>
      <c r="M1750">
        <v>115.5</v>
      </c>
      <c r="N1750" t="s">
        <v>23</v>
      </c>
      <c r="O1750">
        <v>1</v>
      </c>
      <c r="P1750">
        <v>764.98</v>
      </c>
      <c r="Q1750">
        <v>839.98</v>
      </c>
      <c r="R1750" t="s">
        <v>2054</v>
      </c>
    </row>
    <row r="1751" spans="1:18" x14ac:dyDescent="0.25">
      <c r="A1751" t="s">
        <v>1802</v>
      </c>
      <c r="B1751" s="1">
        <v>45888</v>
      </c>
      <c r="C1751" s="1">
        <v>45891</v>
      </c>
      <c r="D1751" t="s">
        <v>18</v>
      </c>
      <c r="E1751" t="s">
        <v>19</v>
      </c>
      <c r="F1751" t="s">
        <v>20</v>
      </c>
      <c r="G1751" t="s">
        <v>35</v>
      </c>
      <c r="H1751" t="s">
        <v>40</v>
      </c>
      <c r="I1751">
        <v>6</v>
      </c>
      <c r="J1751">
        <v>22.48</v>
      </c>
      <c r="K1751">
        <v>12</v>
      </c>
      <c r="L1751">
        <v>75</v>
      </c>
      <c r="M1751">
        <v>4.79</v>
      </c>
      <c r="N1751" t="s">
        <v>23</v>
      </c>
      <c r="O1751">
        <v>3</v>
      </c>
      <c r="P1751">
        <v>134.88</v>
      </c>
      <c r="Q1751">
        <v>146.88</v>
      </c>
      <c r="R1751" t="s">
        <v>2054</v>
      </c>
    </row>
    <row r="1752" spans="1:18" x14ac:dyDescent="0.25">
      <c r="A1752" t="s">
        <v>1803</v>
      </c>
      <c r="B1752" s="1">
        <v>45889</v>
      </c>
      <c r="C1752" s="1">
        <v>45893</v>
      </c>
      <c r="D1752" t="s">
        <v>50</v>
      </c>
      <c r="E1752" t="s">
        <v>44</v>
      </c>
      <c r="F1752" t="s">
        <v>45</v>
      </c>
      <c r="G1752" t="s">
        <v>26</v>
      </c>
      <c r="H1752" t="s">
        <v>27</v>
      </c>
      <c r="I1752">
        <v>3</v>
      </c>
      <c r="J1752">
        <v>468.62</v>
      </c>
      <c r="K1752">
        <v>25</v>
      </c>
      <c r="L1752">
        <v>359</v>
      </c>
      <c r="M1752">
        <v>479.55</v>
      </c>
      <c r="N1752" t="s">
        <v>23</v>
      </c>
      <c r="O1752">
        <v>4</v>
      </c>
      <c r="P1752">
        <v>1405.8600000000001</v>
      </c>
      <c r="Q1752">
        <v>1430.8600000000001</v>
      </c>
      <c r="R1752" t="s">
        <v>2054</v>
      </c>
    </row>
    <row r="1753" spans="1:18" x14ac:dyDescent="0.25">
      <c r="A1753" t="s">
        <v>1804</v>
      </c>
      <c r="B1753" s="1">
        <v>45890</v>
      </c>
      <c r="C1753" s="1">
        <v>45895</v>
      </c>
      <c r="D1753" t="s">
        <v>50</v>
      </c>
      <c r="E1753" t="s">
        <v>44</v>
      </c>
      <c r="F1753" t="s">
        <v>45</v>
      </c>
      <c r="G1753" t="s">
        <v>21</v>
      </c>
      <c r="H1753" t="s">
        <v>22</v>
      </c>
      <c r="I1753">
        <v>3</v>
      </c>
      <c r="J1753">
        <v>1138.4100000000001</v>
      </c>
      <c r="K1753">
        <v>25</v>
      </c>
      <c r="L1753">
        <v>359</v>
      </c>
      <c r="M1753">
        <v>1182.83</v>
      </c>
      <c r="N1753" t="s">
        <v>23</v>
      </c>
      <c r="O1753">
        <v>5</v>
      </c>
      <c r="P1753">
        <v>3415.2300000000005</v>
      </c>
      <c r="Q1753">
        <v>3440.2300000000005</v>
      </c>
      <c r="R1753" t="s">
        <v>2054</v>
      </c>
    </row>
    <row r="1754" spans="1:18" x14ac:dyDescent="0.25">
      <c r="A1754" t="s">
        <v>1805</v>
      </c>
      <c r="B1754" s="1">
        <v>45890</v>
      </c>
      <c r="C1754" s="1">
        <v>45892</v>
      </c>
      <c r="D1754" t="s">
        <v>34</v>
      </c>
      <c r="E1754" t="s">
        <v>30</v>
      </c>
      <c r="F1754" t="s">
        <v>31</v>
      </c>
      <c r="G1754" t="s">
        <v>21</v>
      </c>
      <c r="H1754" t="s">
        <v>22</v>
      </c>
      <c r="I1754">
        <v>2</v>
      </c>
      <c r="J1754">
        <v>105.07</v>
      </c>
      <c r="K1754">
        <v>12</v>
      </c>
      <c r="L1754">
        <v>271</v>
      </c>
      <c r="M1754">
        <v>78.05</v>
      </c>
      <c r="N1754" t="s">
        <v>23</v>
      </c>
      <c r="O1754">
        <v>2</v>
      </c>
      <c r="P1754">
        <v>210.14</v>
      </c>
      <c r="Q1754">
        <v>222.14</v>
      </c>
      <c r="R1754" t="s">
        <v>2054</v>
      </c>
    </row>
    <row r="1755" spans="1:18" x14ac:dyDescent="0.25">
      <c r="A1755" t="s">
        <v>1806</v>
      </c>
      <c r="B1755" s="1">
        <v>45890</v>
      </c>
      <c r="C1755" s="1">
        <v>45891</v>
      </c>
      <c r="D1755" t="s">
        <v>58</v>
      </c>
      <c r="E1755" t="s">
        <v>19</v>
      </c>
      <c r="F1755" t="s">
        <v>20</v>
      </c>
      <c r="G1755" t="s">
        <v>35</v>
      </c>
      <c r="H1755" t="s">
        <v>22</v>
      </c>
      <c r="I1755">
        <v>8</v>
      </c>
      <c r="J1755">
        <v>43.2</v>
      </c>
      <c r="K1755">
        <v>8</v>
      </c>
      <c r="L1755">
        <v>373</v>
      </c>
      <c r="M1755">
        <v>23.65</v>
      </c>
      <c r="N1755" t="s">
        <v>23</v>
      </c>
      <c r="O1755">
        <v>1</v>
      </c>
      <c r="P1755">
        <v>345.6</v>
      </c>
      <c r="Q1755">
        <v>353.6</v>
      </c>
      <c r="R1755" t="s">
        <v>2054</v>
      </c>
    </row>
    <row r="1756" spans="1:18" x14ac:dyDescent="0.25">
      <c r="A1756" t="s">
        <v>1807</v>
      </c>
      <c r="B1756" s="1">
        <v>45893</v>
      </c>
      <c r="C1756" s="1">
        <v>45898</v>
      </c>
      <c r="D1756" t="s">
        <v>58</v>
      </c>
      <c r="E1756" t="s">
        <v>19</v>
      </c>
      <c r="F1756" t="s">
        <v>20</v>
      </c>
      <c r="G1756" t="s">
        <v>35</v>
      </c>
      <c r="H1756" t="s">
        <v>40</v>
      </c>
      <c r="I1756">
        <v>6</v>
      </c>
      <c r="J1756">
        <v>27.96</v>
      </c>
      <c r="K1756">
        <v>12</v>
      </c>
      <c r="L1756">
        <v>320</v>
      </c>
      <c r="M1756">
        <v>7.42</v>
      </c>
      <c r="N1756" t="s">
        <v>23</v>
      </c>
      <c r="O1756">
        <v>5</v>
      </c>
      <c r="P1756">
        <v>167.76</v>
      </c>
      <c r="Q1756">
        <v>179.76</v>
      </c>
      <c r="R1756" t="s">
        <v>2054</v>
      </c>
    </row>
    <row r="1757" spans="1:18" x14ac:dyDescent="0.25">
      <c r="A1757" t="s">
        <v>1808</v>
      </c>
      <c r="B1757" s="1">
        <v>45894</v>
      </c>
      <c r="C1757" s="1">
        <v>45896</v>
      </c>
      <c r="D1757" t="s">
        <v>72</v>
      </c>
      <c r="E1757" t="s">
        <v>44</v>
      </c>
      <c r="F1757" t="s">
        <v>45</v>
      </c>
      <c r="G1757" t="s">
        <v>21</v>
      </c>
      <c r="H1757" t="s">
        <v>32</v>
      </c>
      <c r="I1757">
        <v>3</v>
      </c>
      <c r="J1757">
        <v>231.8</v>
      </c>
      <c r="K1757">
        <v>25</v>
      </c>
      <c r="L1757">
        <v>115</v>
      </c>
      <c r="M1757">
        <v>-104.31</v>
      </c>
      <c r="N1757" t="s">
        <v>23</v>
      </c>
      <c r="O1757">
        <v>2</v>
      </c>
      <c r="P1757">
        <v>695.40000000000009</v>
      </c>
      <c r="Q1757">
        <v>720.40000000000009</v>
      </c>
      <c r="R1757" t="s">
        <v>2054</v>
      </c>
    </row>
    <row r="1758" spans="1:18" x14ac:dyDescent="0.25">
      <c r="A1758" t="s">
        <v>1809</v>
      </c>
      <c r="B1758" s="1">
        <v>45894</v>
      </c>
      <c r="C1758" s="1">
        <v>45896</v>
      </c>
      <c r="D1758" t="s">
        <v>29</v>
      </c>
      <c r="E1758" t="s">
        <v>30</v>
      </c>
      <c r="F1758" t="s">
        <v>31</v>
      </c>
      <c r="G1758" t="s">
        <v>26</v>
      </c>
      <c r="H1758" t="s">
        <v>22</v>
      </c>
      <c r="I1758">
        <v>3</v>
      </c>
      <c r="J1758">
        <v>144.5</v>
      </c>
      <c r="K1758">
        <v>12</v>
      </c>
      <c r="L1758">
        <v>189</v>
      </c>
      <c r="M1758">
        <v>167.4</v>
      </c>
      <c r="N1758" t="s">
        <v>23</v>
      </c>
      <c r="O1758">
        <v>2</v>
      </c>
      <c r="P1758">
        <v>433.5</v>
      </c>
      <c r="Q1758">
        <v>445.5</v>
      </c>
      <c r="R1758" t="s">
        <v>2054</v>
      </c>
    </row>
    <row r="1759" spans="1:18" x14ac:dyDescent="0.25">
      <c r="A1759" t="s">
        <v>1810</v>
      </c>
      <c r="B1759" s="1">
        <v>45895</v>
      </c>
      <c r="C1759" s="1">
        <v>45899</v>
      </c>
      <c r="D1759" t="s">
        <v>25</v>
      </c>
      <c r="E1759" t="s">
        <v>19</v>
      </c>
      <c r="F1759" t="s">
        <v>20</v>
      </c>
      <c r="G1759" t="s">
        <v>26</v>
      </c>
      <c r="H1759" t="s">
        <v>22</v>
      </c>
      <c r="I1759">
        <v>8</v>
      </c>
      <c r="J1759">
        <v>20.69</v>
      </c>
      <c r="K1759">
        <v>8</v>
      </c>
      <c r="L1759">
        <v>220</v>
      </c>
      <c r="M1759">
        <v>9.24</v>
      </c>
      <c r="N1759" t="s">
        <v>23</v>
      </c>
      <c r="O1759">
        <v>4</v>
      </c>
      <c r="P1759">
        <v>165.52</v>
      </c>
      <c r="Q1759">
        <v>173.52</v>
      </c>
      <c r="R1759" t="s">
        <v>2054</v>
      </c>
    </row>
    <row r="1760" spans="1:18" x14ac:dyDescent="0.25">
      <c r="A1760" t="s">
        <v>1811</v>
      </c>
      <c r="B1760" s="1">
        <v>45895</v>
      </c>
      <c r="C1760" s="1">
        <v>45897</v>
      </c>
      <c r="D1760" t="s">
        <v>25</v>
      </c>
      <c r="E1760" t="s">
        <v>19</v>
      </c>
      <c r="F1760" t="s">
        <v>20</v>
      </c>
      <c r="G1760" t="s">
        <v>21</v>
      </c>
      <c r="H1760" t="s">
        <v>22</v>
      </c>
      <c r="I1760">
        <v>6</v>
      </c>
      <c r="J1760">
        <v>17.78</v>
      </c>
      <c r="K1760">
        <v>8</v>
      </c>
      <c r="L1760">
        <v>87</v>
      </c>
      <c r="M1760">
        <v>4.54</v>
      </c>
      <c r="N1760" t="s">
        <v>23</v>
      </c>
      <c r="O1760">
        <v>2</v>
      </c>
      <c r="P1760">
        <v>106.68</v>
      </c>
      <c r="Q1760">
        <v>114.68</v>
      </c>
      <c r="R1760" t="s">
        <v>2054</v>
      </c>
    </row>
    <row r="1761" spans="1:18" x14ac:dyDescent="0.25">
      <c r="A1761" t="s">
        <v>1812</v>
      </c>
      <c r="B1761" s="1">
        <v>45895</v>
      </c>
      <c r="C1761" s="1">
        <v>45906</v>
      </c>
      <c r="D1761" t="s">
        <v>78</v>
      </c>
      <c r="E1761" t="s">
        <v>79</v>
      </c>
      <c r="F1761" t="s">
        <v>80</v>
      </c>
      <c r="G1761" t="s">
        <v>35</v>
      </c>
      <c r="H1761" t="s">
        <v>40</v>
      </c>
      <c r="I1761">
        <v>1</v>
      </c>
      <c r="J1761">
        <v>133.13999999999999</v>
      </c>
      <c r="K1761">
        <v>18</v>
      </c>
      <c r="L1761">
        <v>202</v>
      </c>
      <c r="M1761">
        <v>50.91</v>
      </c>
      <c r="N1761" t="s">
        <v>47</v>
      </c>
      <c r="O1761">
        <v>11</v>
      </c>
      <c r="P1761">
        <v>133.13999999999999</v>
      </c>
      <c r="Q1761">
        <v>151.13999999999999</v>
      </c>
      <c r="R1761" t="s">
        <v>2054</v>
      </c>
    </row>
    <row r="1762" spans="1:18" x14ac:dyDescent="0.25">
      <c r="A1762" t="s">
        <v>1813</v>
      </c>
      <c r="B1762" s="1">
        <v>45895</v>
      </c>
      <c r="C1762" s="1">
        <v>45900</v>
      </c>
      <c r="D1762" t="s">
        <v>18</v>
      </c>
      <c r="E1762" t="s">
        <v>19</v>
      </c>
      <c r="F1762" t="s">
        <v>20</v>
      </c>
      <c r="G1762" t="s">
        <v>26</v>
      </c>
      <c r="H1762" t="s">
        <v>22</v>
      </c>
      <c r="I1762">
        <v>7</v>
      </c>
      <c r="J1762">
        <v>44.18</v>
      </c>
      <c r="K1762">
        <v>8</v>
      </c>
      <c r="L1762">
        <v>206</v>
      </c>
      <c r="M1762">
        <v>20.74</v>
      </c>
      <c r="N1762" t="s">
        <v>23</v>
      </c>
      <c r="O1762">
        <v>5</v>
      </c>
      <c r="P1762">
        <v>309.26</v>
      </c>
      <c r="Q1762">
        <v>317.26</v>
      </c>
      <c r="R1762" t="s">
        <v>2054</v>
      </c>
    </row>
    <row r="1763" spans="1:18" x14ac:dyDescent="0.25">
      <c r="A1763" t="s">
        <v>1814</v>
      </c>
      <c r="B1763" s="1">
        <v>45896</v>
      </c>
      <c r="C1763" s="1">
        <v>45900</v>
      </c>
      <c r="D1763" t="s">
        <v>58</v>
      </c>
      <c r="E1763" t="s">
        <v>19</v>
      </c>
      <c r="F1763" t="s">
        <v>20</v>
      </c>
      <c r="G1763" t="s">
        <v>26</v>
      </c>
      <c r="H1763" t="s">
        <v>27</v>
      </c>
      <c r="I1763">
        <v>11</v>
      </c>
      <c r="J1763">
        <v>36.47</v>
      </c>
      <c r="K1763">
        <v>8</v>
      </c>
      <c r="L1763">
        <v>41</v>
      </c>
      <c r="M1763">
        <v>28.1</v>
      </c>
      <c r="N1763" t="s">
        <v>23</v>
      </c>
      <c r="O1763">
        <v>4</v>
      </c>
      <c r="P1763">
        <v>401.16999999999996</v>
      </c>
      <c r="Q1763">
        <v>409.16999999999996</v>
      </c>
      <c r="R1763" t="s">
        <v>2055</v>
      </c>
    </row>
    <row r="1764" spans="1:18" x14ac:dyDescent="0.25">
      <c r="A1764" t="s">
        <v>1815</v>
      </c>
      <c r="B1764" s="1">
        <v>45897</v>
      </c>
      <c r="C1764" s="1">
        <v>45902</v>
      </c>
      <c r="D1764" t="s">
        <v>58</v>
      </c>
      <c r="E1764" t="s">
        <v>19</v>
      </c>
      <c r="F1764" t="s">
        <v>20</v>
      </c>
      <c r="G1764" t="s">
        <v>21</v>
      </c>
      <c r="H1764" t="s">
        <v>22</v>
      </c>
      <c r="I1764">
        <v>6</v>
      </c>
      <c r="J1764">
        <v>42.08</v>
      </c>
      <c r="K1764">
        <v>8</v>
      </c>
      <c r="L1764">
        <v>8</v>
      </c>
      <c r="M1764">
        <v>16.2</v>
      </c>
      <c r="N1764" t="s">
        <v>23</v>
      </c>
      <c r="O1764">
        <v>5</v>
      </c>
      <c r="P1764">
        <v>252.48</v>
      </c>
      <c r="Q1764">
        <v>260.48</v>
      </c>
      <c r="R1764" t="s">
        <v>2056</v>
      </c>
    </row>
    <row r="1765" spans="1:18" x14ac:dyDescent="0.25">
      <c r="A1765" t="s">
        <v>1816</v>
      </c>
      <c r="B1765" s="1">
        <v>45897</v>
      </c>
      <c r="C1765" s="1">
        <v>45913</v>
      </c>
      <c r="D1765" t="s">
        <v>34</v>
      </c>
      <c r="E1765" t="s">
        <v>30</v>
      </c>
      <c r="F1765" t="s">
        <v>31</v>
      </c>
      <c r="G1765" t="s">
        <v>35</v>
      </c>
      <c r="H1765" t="s">
        <v>40</v>
      </c>
      <c r="I1765">
        <v>4</v>
      </c>
      <c r="J1765">
        <v>45.58</v>
      </c>
      <c r="K1765">
        <v>18</v>
      </c>
      <c r="L1765">
        <v>140</v>
      </c>
      <c r="M1765">
        <v>63.92</v>
      </c>
      <c r="N1765" t="s">
        <v>47</v>
      </c>
      <c r="O1765">
        <v>16</v>
      </c>
      <c r="P1765">
        <v>182.32</v>
      </c>
      <c r="Q1765">
        <v>200.32</v>
      </c>
      <c r="R1765" t="s">
        <v>2054</v>
      </c>
    </row>
    <row r="1766" spans="1:18" x14ac:dyDescent="0.25">
      <c r="A1766" t="s">
        <v>1817</v>
      </c>
      <c r="B1766" s="1">
        <v>45897</v>
      </c>
      <c r="C1766" s="1">
        <v>45911</v>
      </c>
      <c r="D1766" t="s">
        <v>75</v>
      </c>
      <c r="E1766" t="s">
        <v>44</v>
      </c>
      <c r="F1766" t="s">
        <v>45</v>
      </c>
      <c r="G1766" t="s">
        <v>35</v>
      </c>
      <c r="H1766" t="s">
        <v>40</v>
      </c>
      <c r="I1766">
        <v>3</v>
      </c>
      <c r="J1766">
        <v>270.44</v>
      </c>
      <c r="K1766">
        <v>37.5</v>
      </c>
      <c r="L1766">
        <v>296</v>
      </c>
      <c r="M1766">
        <v>265.20999999999998</v>
      </c>
      <c r="N1766" t="s">
        <v>47</v>
      </c>
      <c r="O1766">
        <v>14</v>
      </c>
      <c r="P1766">
        <v>811.31999999999994</v>
      </c>
      <c r="Q1766">
        <v>848.81999999999994</v>
      </c>
      <c r="R1766" t="s">
        <v>2054</v>
      </c>
    </row>
    <row r="1767" spans="1:18" x14ac:dyDescent="0.25">
      <c r="A1767" t="s">
        <v>1818</v>
      </c>
      <c r="B1767" s="1">
        <v>45898</v>
      </c>
      <c r="C1767" s="1">
        <v>45902</v>
      </c>
      <c r="D1767" t="s">
        <v>78</v>
      </c>
      <c r="E1767" t="s">
        <v>79</v>
      </c>
      <c r="F1767" t="s">
        <v>80</v>
      </c>
      <c r="G1767" t="s">
        <v>35</v>
      </c>
      <c r="H1767" t="s">
        <v>40</v>
      </c>
      <c r="I1767">
        <v>1</v>
      </c>
      <c r="J1767">
        <v>89.92</v>
      </c>
      <c r="K1767">
        <v>18</v>
      </c>
      <c r="L1767">
        <v>391</v>
      </c>
      <c r="M1767">
        <v>31.46</v>
      </c>
      <c r="N1767" t="s">
        <v>23</v>
      </c>
      <c r="O1767">
        <v>4</v>
      </c>
      <c r="P1767">
        <v>89.92</v>
      </c>
      <c r="Q1767">
        <v>107.92</v>
      </c>
      <c r="R1767" t="s">
        <v>2054</v>
      </c>
    </row>
    <row r="1768" spans="1:18" x14ac:dyDescent="0.25">
      <c r="A1768" t="s">
        <v>1819</v>
      </c>
      <c r="B1768" s="1">
        <v>45898</v>
      </c>
      <c r="C1768" s="1">
        <v>45900</v>
      </c>
      <c r="D1768" t="s">
        <v>56</v>
      </c>
      <c r="E1768" t="s">
        <v>38</v>
      </c>
      <c r="F1768" t="s">
        <v>39</v>
      </c>
      <c r="G1768" t="s">
        <v>26</v>
      </c>
      <c r="H1768" t="s">
        <v>32</v>
      </c>
      <c r="I1768">
        <v>1</v>
      </c>
      <c r="J1768">
        <v>270.2</v>
      </c>
      <c r="K1768">
        <v>75</v>
      </c>
      <c r="L1768">
        <v>279</v>
      </c>
      <c r="M1768">
        <v>16.54</v>
      </c>
      <c r="N1768" t="s">
        <v>23</v>
      </c>
      <c r="O1768">
        <v>2</v>
      </c>
      <c r="P1768">
        <v>270.2</v>
      </c>
      <c r="Q1768">
        <v>345.2</v>
      </c>
      <c r="R1768" t="s">
        <v>2054</v>
      </c>
    </row>
    <row r="1769" spans="1:18" x14ac:dyDescent="0.25">
      <c r="A1769" t="s">
        <v>1820</v>
      </c>
      <c r="B1769" s="1">
        <v>45898</v>
      </c>
      <c r="C1769" s="1">
        <v>45899</v>
      </c>
      <c r="D1769" t="s">
        <v>58</v>
      </c>
      <c r="E1769" t="s">
        <v>19</v>
      </c>
      <c r="F1769" t="s">
        <v>20</v>
      </c>
      <c r="G1769" t="s">
        <v>26</v>
      </c>
      <c r="H1769" t="s">
        <v>22</v>
      </c>
      <c r="I1769">
        <v>5</v>
      </c>
      <c r="J1769">
        <v>21.42</v>
      </c>
      <c r="K1769">
        <v>8</v>
      </c>
      <c r="L1769">
        <v>5</v>
      </c>
      <c r="M1769">
        <v>4.57</v>
      </c>
      <c r="N1769" t="s">
        <v>23</v>
      </c>
      <c r="O1769">
        <v>1</v>
      </c>
      <c r="P1769">
        <v>107.10000000000001</v>
      </c>
      <c r="Q1769">
        <v>115.10000000000001</v>
      </c>
      <c r="R1769" t="s">
        <v>2056</v>
      </c>
    </row>
    <row r="1770" spans="1:18" x14ac:dyDescent="0.25">
      <c r="A1770" t="s">
        <v>1821</v>
      </c>
      <c r="B1770" s="1">
        <v>45899</v>
      </c>
      <c r="C1770" s="1">
        <v>45900</v>
      </c>
      <c r="D1770" t="s">
        <v>56</v>
      </c>
      <c r="E1770" t="s">
        <v>38</v>
      </c>
      <c r="F1770" t="s">
        <v>39</v>
      </c>
      <c r="G1770" t="s">
        <v>21</v>
      </c>
      <c r="H1770" t="s">
        <v>32</v>
      </c>
      <c r="I1770">
        <v>2</v>
      </c>
      <c r="J1770">
        <v>171.91</v>
      </c>
      <c r="K1770">
        <v>75</v>
      </c>
      <c r="L1770">
        <v>159</v>
      </c>
      <c r="M1770">
        <v>31.27</v>
      </c>
      <c r="N1770" t="s">
        <v>23</v>
      </c>
      <c r="O1770">
        <v>1</v>
      </c>
      <c r="P1770">
        <v>343.82</v>
      </c>
      <c r="Q1770">
        <v>418.82</v>
      </c>
      <c r="R1770" t="s">
        <v>2054</v>
      </c>
    </row>
    <row r="1771" spans="1:18" x14ac:dyDescent="0.25">
      <c r="A1771" t="s">
        <v>1822</v>
      </c>
      <c r="B1771" s="1">
        <v>45899</v>
      </c>
      <c r="C1771" s="1">
        <v>45901</v>
      </c>
      <c r="D1771" t="s">
        <v>25</v>
      </c>
      <c r="E1771" t="s">
        <v>19</v>
      </c>
      <c r="F1771" t="s">
        <v>20</v>
      </c>
      <c r="G1771" t="s">
        <v>21</v>
      </c>
      <c r="H1771" t="s">
        <v>27</v>
      </c>
      <c r="I1771">
        <v>12</v>
      </c>
      <c r="J1771">
        <v>19.579999999999998</v>
      </c>
      <c r="K1771">
        <v>8</v>
      </c>
      <c r="L1771">
        <v>380</v>
      </c>
      <c r="M1771">
        <v>14.8</v>
      </c>
      <c r="N1771" t="s">
        <v>23</v>
      </c>
      <c r="O1771">
        <v>2</v>
      </c>
      <c r="P1771">
        <v>234.95999999999998</v>
      </c>
      <c r="Q1771">
        <v>242.95999999999998</v>
      </c>
      <c r="R1771" t="s">
        <v>2054</v>
      </c>
    </row>
    <row r="1772" spans="1:18" x14ac:dyDescent="0.25">
      <c r="A1772" t="s">
        <v>1823</v>
      </c>
      <c r="B1772" s="1">
        <v>45899</v>
      </c>
      <c r="C1772" s="1">
        <v>45907</v>
      </c>
      <c r="D1772" t="s">
        <v>54</v>
      </c>
      <c r="E1772" t="s">
        <v>38</v>
      </c>
      <c r="F1772" t="s">
        <v>39</v>
      </c>
      <c r="G1772" t="s">
        <v>35</v>
      </c>
      <c r="H1772" t="s">
        <v>40</v>
      </c>
      <c r="I1772">
        <v>1</v>
      </c>
      <c r="J1772">
        <v>133.91</v>
      </c>
      <c r="K1772">
        <v>112.5</v>
      </c>
      <c r="L1772">
        <v>20</v>
      </c>
      <c r="M1772">
        <v>-29.47</v>
      </c>
      <c r="N1772" t="s">
        <v>63</v>
      </c>
      <c r="O1772">
        <v>8</v>
      </c>
      <c r="P1772">
        <v>133.91</v>
      </c>
      <c r="Q1772">
        <v>246.41</v>
      </c>
      <c r="R1772" t="s">
        <v>2056</v>
      </c>
    </row>
    <row r="1773" spans="1:18" x14ac:dyDescent="0.25">
      <c r="A1773" t="s">
        <v>1824</v>
      </c>
      <c r="B1773" s="1">
        <v>45900</v>
      </c>
      <c r="C1773" s="1">
        <v>45905</v>
      </c>
      <c r="D1773" t="s">
        <v>29</v>
      </c>
      <c r="E1773" t="s">
        <v>30</v>
      </c>
      <c r="F1773" t="s">
        <v>31</v>
      </c>
      <c r="G1773" t="s">
        <v>35</v>
      </c>
      <c r="H1773" t="s">
        <v>40</v>
      </c>
      <c r="I1773">
        <v>1</v>
      </c>
      <c r="J1773">
        <v>83.82</v>
      </c>
      <c r="K1773">
        <v>18</v>
      </c>
      <c r="L1773">
        <v>244</v>
      </c>
      <c r="M1773">
        <v>24.53</v>
      </c>
      <c r="N1773" t="s">
        <v>23</v>
      </c>
      <c r="O1773">
        <v>5</v>
      </c>
      <c r="P1773">
        <v>83.82</v>
      </c>
      <c r="Q1773">
        <v>101.82</v>
      </c>
      <c r="R1773" t="s">
        <v>2054</v>
      </c>
    </row>
    <row r="1774" spans="1:18" x14ac:dyDescent="0.25">
      <c r="A1774" t="s">
        <v>1825</v>
      </c>
      <c r="B1774" s="1">
        <v>45900</v>
      </c>
      <c r="C1774" s="1">
        <v>45901</v>
      </c>
      <c r="D1774" t="s">
        <v>18</v>
      </c>
      <c r="E1774" t="s">
        <v>19</v>
      </c>
      <c r="F1774" t="s">
        <v>20</v>
      </c>
      <c r="G1774" t="s">
        <v>35</v>
      </c>
      <c r="H1774" t="s">
        <v>40</v>
      </c>
      <c r="I1774">
        <v>14</v>
      </c>
      <c r="J1774">
        <v>27.48</v>
      </c>
      <c r="K1774">
        <v>12</v>
      </c>
      <c r="L1774">
        <v>30</v>
      </c>
      <c r="M1774">
        <v>24.78</v>
      </c>
      <c r="N1774" t="s">
        <v>23</v>
      </c>
      <c r="O1774">
        <v>1</v>
      </c>
      <c r="P1774">
        <v>384.72</v>
      </c>
      <c r="Q1774">
        <v>396.72</v>
      </c>
      <c r="R1774" t="s">
        <v>2055</v>
      </c>
    </row>
    <row r="1775" spans="1:18" x14ac:dyDescent="0.25">
      <c r="A1775" t="s">
        <v>1826</v>
      </c>
      <c r="B1775" s="1">
        <v>45901</v>
      </c>
      <c r="C1775" s="1">
        <v>45910</v>
      </c>
      <c r="D1775" t="s">
        <v>58</v>
      </c>
      <c r="E1775" t="s">
        <v>19</v>
      </c>
      <c r="F1775" t="s">
        <v>20</v>
      </c>
      <c r="G1775" t="s">
        <v>35</v>
      </c>
      <c r="H1775" t="s">
        <v>32</v>
      </c>
      <c r="I1775">
        <v>5</v>
      </c>
      <c r="J1775">
        <v>32.17</v>
      </c>
      <c r="K1775">
        <v>8</v>
      </c>
      <c r="L1775">
        <v>112</v>
      </c>
      <c r="M1775">
        <v>8.8699999999999992</v>
      </c>
      <c r="N1775" t="s">
        <v>63</v>
      </c>
      <c r="O1775">
        <v>9</v>
      </c>
      <c r="P1775">
        <v>160.85000000000002</v>
      </c>
      <c r="Q1775">
        <v>168.85000000000002</v>
      </c>
      <c r="R1775" t="s">
        <v>2054</v>
      </c>
    </row>
    <row r="1776" spans="1:18" x14ac:dyDescent="0.25">
      <c r="A1776" t="s">
        <v>1827</v>
      </c>
      <c r="B1776" s="1">
        <v>45901</v>
      </c>
      <c r="C1776" s="1">
        <v>45908</v>
      </c>
      <c r="D1776" t="s">
        <v>18</v>
      </c>
      <c r="E1776" t="s">
        <v>19</v>
      </c>
      <c r="F1776" t="s">
        <v>20</v>
      </c>
      <c r="G1776" t="s">
        <v>35</v>
      </c>
      <c r="H1776" t="s">
        <v>32</v>
      </c>
      <c r="I1776">
        <v>14</v>
      </c>
      <c r="J1776">
        <v>47.8</v>
      </c>
      <c r="K1776">
        <v>8</v>
      </c>
      <c r="L1776">
        <v>368</v>
      </c>
      <c r="M1776">
        <v>49.53</v>
      </c>
      <c r="N1776" t="s">
        <v>63</v>
      </c>
      <c r="O1776">
        <v>7</v>
      </c>
      <c r="P1776">
        <v>669.19999999999993</v>
      </c>
      <c r="Q1776">
        <v>677.19999999999993</v>
      </c>
      <c r="R1776" t="s">
        <v>2054</v>
      </c>
    </row>
    <row r="1777" spans="1:18" x14ac:dyDescent="0.25">
      <c r="A1777" t="s">
        <v>1828</v>
      </c>
      <c r="B1777" s="1">
        <v>45902</v>
      </c>
      <c r="C1777" s="1">
        <v>45904</v>
      </c>
      <c r="D1777" t="s">
        <v>29</v>
      </c>
      <c r="E1777" t="s">
        <v>30</v>
      </c>
      <c r="F1777" t="s">
        <v>31</v>
      </c>
      <c r="G1777" t="s">
        <v>26</v>
      </c>
      <c r="H1777" t="s">
        <v>32</v>
      </c>
      <c r="I1777">
        <v>4</v>
      </c>
      <c r="J1777">
        <v>108.8</v>
      </c>
      <c r="K1777">
        <v>12</v>
      </c>
      <c r="L1777">
        <v>396</v>
      </c>
      <c r="M1777">
        <v>168.08</v>
      </c>
      <c r="N1777" t="s">
        <v>23</v>
      </c>
      <c r="O1777">
        <v>2</v>
      </c>
      <c r="P1777">
        <v>435.2</v>
      </c>
      <c r="Q1777">
        <v>447.2</v>
      </c>
      <c r="R1777" t="s">
        <v>2054</v>
      </c>
    </row>
    <row r="1778" spans="1:18" x14ac:dyDescent="0.25">
      <c r="A1778" t="s">
        <v>1829</v>
      </c>
      <c r="B1778" s="1">
        <v>45902</v>
      </c>
      <c r="C1778" s="1">
        <v>45906</v>
      </c>
      <c r="D1778" t="s">
        <v>25</v>
      </c>
      <c r="E1778" t="s">
        <v>19</v>
      </c>
      <c r="F1778" t="s">
        <v>20</v>
      </c>
      <c r="G1778" t="s">
        <v>21</v>
      </c>
      <c r="H1778" t="s">
        <v>22</v>
      </c>
      <c r="I1778">
        <v>13</v>
      </c>
      <c r="J1778">
        <v>15.52</v>
      </c>
      <c r="K1778">
        <v>8</v>
      </c>
      <c r="L1778">
        <v>387</v>
      </c>
      <c r="M1778">
        <v>12.14</v>
      </c>
      <c r="N1778" t="s">
        <v>23</v>
      </c>
      <c r="O1778">
        <v>4</v>
      </c>
      <c r="P1778">
        <v>201.76</v>
      </c>
      <c r="Q1778">
        <v>209.76</v>
      </c>
      <c r="R1778" t="s">
        <v>2054</v>
      </c>
    </row>
    <row r="1779" spans="1:18" x14ac:dyDescent="0.25">
      <c r="A1779" t="s">
        <v>1830</v>
      </c>
      <c r="B1779" s="1">
        <v>45904</v>
      </c>
      <c r="C1779" s="1">
        <v>45907</v>
      </c>
      <c r="D1779" t="s">
        <v>25</v>
      </c>
      <c r="E1779" t="s">
        <v>19</v>
      </c>
      <c r="F1779" t="s">
        <v>20</v>
      </c>
      <c r="G1779" t="s">
        <v>26</v>
      </c>
      <c r="H1779" t="s">
        <v>22</v>
      </c>
      <c r="I1779">
        <v>8</v>
      </c>
      <c r="J1779">
        <v>43.15</v>
      </c>
      <c r="K1779">
        <v>8</v>
      </c>
      <c r="L1779">
        <v>229</v>
      </c>
      <c r="M1779">
        <v>-51.78</v>
      </c>
      <c r="N1779" t="s">
        <v>23</v>
      </c>
      <c r="O1779">
        <v>3</v>
      </c>
      <c r="P1779">
        <v>345.2</v>
      </c>
      <c r="Q1779">
        <v>353.2</v>
      </c>
      <c r="R1779" t="s">
        <v>2054</v>
      </c>
    </row>
    <row r="1780" spans="1:18" x14ac:dyDescent="0.25">
      <c r="A1780" t="s">
        <v>1831</v>
      </c>
      <c r="B1780" s="1">
        <v>45904</v>
      </c>
      <c r="C1780" s="1">
        <v>45908</v>
      </c>
      <c r="D1780" t="s">
        <v>25</v>
      </c>
      <c r="E1780" t="s">
        <v>19</v>
      </c>
      <c r="F1780" t="s">
        <v>20</v>
      </c>
      <c r="G1780" t="s">
        <v>35</v>
      </c>
      <c r="H1780" t="s">
        <v>22</v>
      </c>
      <c r="I1780">
        <v>7</v>
      </c>
      <c r="J1780">
        <v>21.63</v>
      </c>
      <c r="K1780">
        <v>8</v>
      </c>
      <c r="L1780">
        <v>176</v>
      </c>
      <c r="M1780">
        <v>8.11</v>
      </c>
      <c r="N1780" t="s">
        <v>23</v>
      </c>
      <c r="O1780">
        <v>4</v>
      </c>
      <c r="P1780">
        <v>151.41</v>
      </c>
      <c r="Q1780">
        <v>159.41</v>
      </c>
      <c r="R1780" t="s">
        <v>2054</v>
      </c>
    </row>
    <row r="1781" spans="1:18" x14ac:dyDescent="0.25">
      <c r="A1781" t="s">
        <v>1832</v>
      </c>
      <c r="B1781" s="1">
        <v>45904</v>
      </c>
      <c r="C1781" s="1">
        <v>45909</v>
      </c>
      <c r="D1781" t="s">
        <v>52</v>
      </c>
      <c r="E1781" t="s">
        <v>30</v>
      </c>
      <c r="F1781" t="s">
        <v>31</v>
      </c>
      <c r="G1781" t="s">
        <v>26</v>
      </c>
      <c r="H1781" t="s">
        <v>27</v>
      </c>
      <c r="I1781">
        <v>4</v>
      </c>
      <c r="J1781">
        <v>63</v>
      </c>
      <c r="K1781">
        <v>12</v>
      </c>
      <c r="L1781">
        <v>210</v>
      </c>
      <c r="M1781">
        <v>94.79</v>
      </c>
      <c r="N1781" t="s">
        <v>23</v>
      </c>
      <c r="O1781">
        <v>5</v>
      </c>
      <c r="P1781">
        <v>252</v>
      </c>
      <c r="Q1781">
        <v>264</v>
      </c>
      <c r="R1781" t="s">
        <v>2054</v>
      </c>
    </row>
    <row r="1782" spans="1:18" x14ac:dyDescent="0.25">
      <c r="A1782" t="s">
        <v>1833</v>
      </c>
      <c r="B1782" s="1">
        <v>45906</v>
      </c>
      <c r="C1782" s="1">
        <v>45907</v>
      </c>
      <c r="D1782" t="s">
        <v>72</v>
      </c>
      <c r="E1782" t="s">
        <v>44</v>
      </c>
      <c r="F1782" t="s">
        <v>45</v>
      </c>
      <c r="G1782" t="s">
        <v>21</v>
      </c>
      <c r="H1782" t="s">
        <v>27</v>
      </c>
      <c r="I1782">
        <v>1</v>
      </c>
      <c r="J1782">
        <v>1188.25</v>
      </c>
      <c r="K1782">
        <v>25</v>
      </c>
      <c r="L1782">
        <v>169</v>
      </c>
      <c r="M1782">
        <v>403.39</v>
      </c>
      <c r="N1782" t="s">
        <v>23</v>
      </c>
      <c r="O1782">
        <v>1</v>
      </c>
      <c r="P1782">
        <v>1188.25</v>
      </c>
      <c r="Q1782">
        <v>1213.25</v>
      </c>
      <c r="R1782" t="s">
        <v>2054</v>
      </c>
    </row>
    <row r="1783" spans="1:18" x14ac:dyDescent="0.25">
      <c r="A1783" t="s">
        <v>1834</v>
      </c>
      <c r="B1783" s="1">
        <v>45907</v>
      </c>
      <c r="C1783" s="1">
        <v>45911</v>
      </c>
      <c r="D1783" t="s">
        <v>54</v>
      </c>
      <c r="E1783" t="s">
        <v>38</v>
      </c>
      <c r="F1783" t="s">
        <v>39</v>
      </c>
      <c r="G1783" t="s">
        <v>35</v>
      </c>
      <c r="H1783" t="s">
        <v>40</v>
      </c>
      <c r="I1783">
        <v>2</v>
      </c>
      <c r="J1783">
        <v>483.42</v>
      </c>
      <c r="K1783">
        <v>112.5</v>
      </c>
      <c r="L1783">
        <v>307</v>
      </c>
      <c r="M1783">
        <v>137.12</v>
      </c>
      <c r="N1783" t="s">
        <v>23</v>
      </c>
      <c r="O1783">
        <v>4</v>
      </c>
      <c r="P1783">
        <v>966.84</v>
      </c>
      <c r="Q1783">
        <v>1079.3400000000001</v>
      </c>
      <c r="R1783" t="s">
        <v>2054</v>
      </c>
    </row>
    <row r="1784" spans="1:18" x14ac:dyDescent="0.25">
      <c r="A1784" t="s">
        <v>1835</v>
      </c>
      <c r="B1784" s="1">
        <v>45907</v>
      </c>
      <c r="C1784" s="1">
        <v>45919</v>
      </c>
      <c r="D1784" t="s">
        <v>25</v>
      </c>
      <c r="E1784" t="s">
        <v>19</v>
      </c>
      <c r="F1784" t="s">
        <v>20</v>
      </c>
      <c r="G1784" t="s">
        <v>35</v>
      </c>
      <c r="H1784" t="s">
        <v>40</v>
      </c>
      <c r="I1784">
        <v>7</v>
      </c>
      <c r="J1784">
        <v>48.11</v>
      </c>
      <c r="K1784">
        <v>12</v>
      </c>
      <c r="L1784">
        <v>59</v>
      </c>
      <c r="M1784">
        <v>20.94</v>
      </c>
      <c r="N1784" t="s">
        <v>47</v>
      </c>
      <c r="O1784">
        <v>12</v>
      </c>
      <c r="P1784">
        <v>336.77</v>
      </c>
      <c r="Q1784">
        <v>348.77</v>
      </c>
      <c r="R1784" t="s">
        <v>2054</v>
      </c>
    </row>
    <row r="1785" spans="1:18" x14ac:dyDescent="0.25">
      <c r="A1785" t="s">
        <v>1836</v>
      </c>
      <c r="B1785" s="1">
        <v>45907</v>
      </c>
      <c r="C1785" s="1">
        <v>45909</v>
      </c>
      <c r="D1785" t="s">
        <v>50</v>
      </c>
      <c r="E1785" t="s">
        <v>44</v>
      </c>
      <c r="F1785" t="s">
        <v>45</v>
      </c>
      <c r="G1785" t="s">
        <v>35</v>
      </c>
      <c r="H1785" t="s">
        <v>27</v>
      </c>
      <c r="I1785">
        <v>1</v>
      </c>
      <c r="J1785">
        <v>269.64999999999998</v>
      </c>
      <c r="K1785">
        <v>25</v>
      </c>
      <c r="L1785">
        <v>166</v>
      </c>
      <c r="M1785">
        <v>81.88</v>
      </c>
      <c r="N1785" t="s">
        <v>23</v>
      </c>
      <c r="O1785">
        <v>2</v>
      </c>
      <c r="P1785">
        <v>269.64999999999998</v>
      </c>
      <c r="Q1785">
        <v>294.64999999999998</v>
      </c>
      <c r="R1785" t="s">
        <v>2054</v>
      </c>
    </row>
    <row r="1786" spans="1:18" x14ac:dyDescent="0.25">
      <c r="A1786" t="s">
        <v>1837</v>
      </c>
      <c r="B1786" s="1">
        <v>45908</v>
      </c>
      <c r="C1786" s="1">
        <v>45911</v>
      </c>
      <c r="D1786" t="s">
        <v>118</v>
      </c>
      <c r="E1786" t="s">
        <v>79</v>
      </c>
      <c r="F1786" t="s">
        <v>80</v>
      </c>
      <c r="G1786" t="s">
        <v>35</v>
      </c>
      <c r="H1786" t="s">
        <v>32</v>
      </c>
      <c r="I1786">
        <v>3</v>
      </c>
      <c r="J1786">
        <v>146.35</v>
      </c>
      <c r="K1786">
        <v>12</v>
      </c>
      <c r="L1786">
        <v>346</v>
      </c>
      <c r="M1786">
        <v>191.57</v>
      </c>
      <c r="N1786" t="s">
        <v>23</v>
      </c>
      <c r="O1786">
        <v>3</v>
      </c>
      <c r="P1786">
        <v>439.04999999999995</v>
      </c>
      <c r="Q1786">
        <v>451.04999999999995</v>
      </c>
      <c r="R1786" t="s">
        <v>2054</v>
      </c>
    </row>
    <row r="1787" spans="1:18" x14ac:dyDescent="0.25">
      <c r="A1787" t="s">
        <v>1838</v>
      </c>
      <c r="B1787" s="1">
        <v>45908</v>
      </c>
      <c r="C1787" s="1">
        <v>45920</v>
      </c>
      <c r="D1787" t="s">
        <v>82</v>
      </c>
      <c r="E1787" t="s">
        <v>79</v>
      </c>
      <c r="F1787" t="s">
        <v>80</v>
      </c>
      <c r="G1787" t="s">
        <v>35</v>
      </c>
      <c r="H1787" t="s">
        <v>22</v>
      </c>
      <c r="I1787">
        <v>2</v>
      </c>
      <c r="J1787">
        <v>106.55</v>
      </c>
      <c r="K1787">
        <v>12</v>
      </c>
      <c r="L1787">
        <v>166</v>
      </c>
      <c r="M1787">
        <v>89.89</v>
      </c>
      <c r="N1787" t="s">
        <v>47</v>
      </c>
      <c r="O1787">
        <v>12</v>
      </c>
      <c r="P1787">
        <v>213.1</v>
      </c>
      <c r="Q1787">
        <v>225.1</v>
      </c>
      <c r="R1787" t="s">
        <v>2054</v>
      </c>
    </row>
    <row r="1788" spans="1:18" x14ac:dyDescent="0.25">
      <c r="A1788" t="s">
        <v>1839</v>
      </c>
      <c r="B1788" s="1">
        <v>45908</v>
      </c>
      <c r="C1788" s="1">
        <v>45909</v>
      </c>
      <c r="D1788" t="s">
        <v>118</v>
      </c>
      <c r="E1788" t="s">
        <v>79</v>
      </c>
      <c r="F1788" t="s">
        <v>80</v>
      </c>
      <c r="G1788" t="s">
        <v>26</v>
      </c>
      <c r="H1788" t="s">
        <v>27</v>
      </c>
      <c r="I1788">
        <v>4</v>
      </c>
      <c r="J1788">
        <v>20.16</v>
      </c>
      <c r="K1788">
        <v>12</v>
      </c>
      <c r="L1788">
        <v>155</v>
      </c>
      <c r="M1788">
        <v>30.29</v>
      </c>
      <c r="N1788" t="s">
        <v>23</v>
      </c>
      <c r="O1788">
        <v>1</v>
      </c>
      <c r="P1788">
        <v>80.64</v>
      </c>
      <c r="Q1788">
        <v>92.64</v>
      </c>
      <c r="R1788" t="s">
        <v>2054</v>
      </c>
    </row>
    <row r="1789" spans="1:18" x14ac:dyDescent="0.25">
      <c r="A1789" t="s">
        <v>1840</v>
      </c>
      <c r="B1789" s="1">
        <v>45909</v>
      </c>
      <c r="C1789" s="1">
        <v>45914</v>
      </c>
      <c r="D1789" t="s">
        <v>82</v>
      </c>
      <c r="E1789" t="s">
        <v>79</v>
      </c>
      <c r="F1789" t="s">
        <v>80</v>
      </c>
      <c r="G1789" t="s">
        <v>35</v>
      </c>
      <c r="H1789" t="s">
        <v>40</v>
      </c>
      <c r="I1789">
        <v>4</v>
      </c>
      <c r="J1789">
        <v>26.85</v>
      </c>
      <c r="K1789">
        <v>18</v>
      </c>
      <c r="L1789">
        <v>333</v>
      </c>
      <c r="M1789">
        <v>39.33</v>
      </c>
      <c r="N1789" t="s">
        <v>23</v>
      </c>
      <c r="O1789">
        <v>5</v>
      </c>
      <c r="P1789">
        <v>107.4</v>
      </c>
      <c r="Q1789">
        <v>125.4</v>
      </c>
      <c r="R1789" t="s">
        <v>2054</v>
      </c>
    </row>
    <row r="1790" spans="1:18" x14ac:dyDescent="0.25">
      <c r="A1790" t="s">
        <v>1841</v>
      </c>
      <c r="B1790" s="1">
        <v>45909</v>
      </c>
      <c r="C1790" s="1">
        <v>45913</v>
      </c>
      <c r="D1790" t="s">
        <v>54</v>
      </c>
      <c r="E1790" t="s">
        <v>38</v>
      </c>
      <c r="F1790" t="s">
        <v>39</v>
      </c>
      <c r="G1790" t="s">
        <v>21</v>
      </c>
      <c r="H1790" t="s">
        <v>40</v>
      </c>
      <c r="I1790">
        <v>2</v>
      </c>
      <c r="J1790">
        <v>326.64</v>
      </c>
      <c r="K1790">
        <v>112.5</v>
      </c>
      <c r="L1790">
        <v>256</v>
      </c>
      <c r="M1790">
        <v>74.41</v>
      </c>
      <c r="N1790" t="s">
        <v>23</v>
      </c>
      <c r="O1790">
        <v>4</v>
      </c>
      <c r="P1790">
        <v>653.28</v>
      </c>
      <c r="Q1790">
        <v>765.78</v>
      </c>
      <c r="R1790" t="s">
        <v>2054</v>
      </c>
    </row>
    <row r="1791" spans="1:18" x14ac:dyDescent="0.25">
      <c r="A1791" t="s">
        <v>1842</v>
      </c>
      <c r="B1791" s="1">
        <v>45909</v>
      </c>
      <c r="C1791" s="1">
        <v>45910</v>
      </c>
      <c r="D1791" t="s">
        <v>25</v>
      </c>
      <c r="E1791" t="s">
        <v>19</v>
      </c>
      <c r="F1791" t="s">
        <v>20</v>
      </c>
      <c r="G1791" t="s">
        <v>21</v>
      </c>
      <c r="H1791" t="s">
        <v>32</v>
      </c>
      <c r="I1791">
        <v>5</v>
      </c>
      <c r="J1791">
        <v>34.729999999999997</v>
      </c>
      <c r="K1791">
        <v>8</v>
      </c>
      <c r="L1791">
        <v>160</v>
      </c>
      <c r="M1791">
        <v>9.89</v>
      </c>
      <c r="N1791" t="s">
        <v>23</v>
      </c>
      <c r="O1791">
        <v>1</v>
      </c>
      <c r="P1791">
        <v>173.64999999999998</v>
      </c>
      <c r="Q1791">
        <v>181.64999999999998</v>
      </c>
      <c r="R1791" t="s">
        <v>2054</v>
      </c>
    </row>
    <row r="1792" spans="1:18" x14ac:dyDescent="0.25">
      <c r="A1792" t="s">
        <v>1843</v>
      </c>
      <c r="B1792" s="1">
        <v>45910</v>
      </c>
      <c r="C1792" s="1">
        <v>45922</v>
      </c>
      <c r="D1792" t="s">
        <v>58</v>
      </c>
      <c r="E1792" t="s">
        <v>19</v>
      </c>
      <c r="F1792" t="s">
        <v>20</v>
      </c>
      <c r="G1792" t="s">
        <v>35</v>
      </c>
      <c r="H1792" t="s">
        <v>40</v>
      </c>
      <c r="I1792">
        <v>8</v>
      </c>
      <c r="J1792">
        <v>10.08</v>
      </c>
      <c r="K1792">
        <v>12</v>
      </c>
      <c r="L1792">
        <v>74</v>
      </c>
      <c r="M1792">
        <v>0.45</v>
      </c>
      <c r="N1792" t="s">
        <v>47</v>
      </c>
      <c r="O1792">
        <v>12</v>
      </c>
      <c r="P1792">
        <v>80.64</v>
      </c>
      <c r="Q1792">
        <v>92.64</v>
      </c>
      <c r="R1792" t="s">
        <v>2054</v>
      </c>
    </row>
    <row r="1793" spans="1:18" x14ac:dyDescent="0.25">
      <c r="A1793" t="s">
        <v>1844</v>
      </c>
      <c r="B1793" s="1">
        <v>45910</v>
      </c>
      <c r="C1793" s="1">
        <v>45924</v>
      </c>
      <c r="D1793" t="s">
        <v>82</v>
      </c>
      <c r="E1793" t="s">
        <v>79</v>
      </c>
      <c r="F1793" t="s">
        <v>80</v>
      </c>
      <c r="G1793" t="s">
        <v>35</v>
      </c>
      <c r="H1793" t="s">
        <v>27</v>
      </c>
      <c r="I1793">
        <v>3</v>
      </c>
      <c r="J1793">
        <v>37.74</v>
      </c>
      <c r="K1793">
        <v>12</v>
      </c>
      <c r="L1793">
        <v>213</v>
      </c>
      <c r="M1793">
        <v>44.95</v>
      </c>
      <c r="N1793" t="s">
        <v>47</v>
      </c>
      <c r="O1793">
        <v>14</v>
      </c>
      <c r="P1793">
        <v>113.22</v>
      </c>
      <c r="Q1793">
        <v>125.22</v>
      </c>
      <c r="R1793" t="s">
        <v>2054</v>
      </c>
    </row>
    <row r="1794" spans="1:18" x14ac:dyDescent="0.25">
      <c r="A1794" t="s">
        <v>1845</v>
      </c>
      <c r="B1794" s="1">
        <v>45910</v>
      </c>
      <c r="C1794" s="1">
        <v>45913</v>
      </c>
      <c r="D1794" t="s">
        <v>18</v>
      </c>
      <c r="E1794" t="s">
        <v>19</v>
      </c>
      <c r="F1794" t="s">
        <v>20</v>
      </c>
      <c r="G1794" t="s">
        <v>26</v>
      </c>
      <c r="H1794" t="s">
        <v>27</v>
      </c>
      <c r="I1794">
        <v>7</v>
      </c>
      <c r="J1794">
        <v>40.83</v>
      </c>
      <c r="K1794">
        <v>8</v>
      </c>
      <c r="L1794">
        <v>3</v>
      </c>
      <c r="M1794">
        <v>18.87</v>
      </c>
      <c r="N1794" t="s">
        <v>23</v>
      </c>
      <c r="O1794">
        <v>3</v>
      </c>
      <c r="P1794">
        <v>285.81</v>
      </c>
      <c r="Q1794">
        <v>293.81</v>
      </c>
      <c r="R1794" t="s">
        <v>2056</v>
      </c>
    </row>
    <row r="1795" spans="1:18" x14ac:dyDescent="0.25">
      <c r="A1795" t="s">
        <v>1846</v>
      </c>
      <c r="B1795" s="1">
        <v>45910</v>
      </c>
      <c r="C1795" s="1">
        <v>45913</v>
      </c>
      <c r="D1795" t="s">
        <v>29</v>
      </c>
      <c r="E1795" t="s">
        <v>30</v>
      </c>
      <c r="F1795" t="s">
        <v>31</v>
      </c>
      <c r="G1795" t="s">
        <v>35</v>
      </c>
      <c r="H1795" t="s">
        <v>22</v>
      </c>
      <c r="I1795">
        <v>2</v>
      </c>
      <c r="J1795">
        <v>40.1</v>
      </c>
      <c r="K1795">
        <v>12</v>
      </c>
      <c r="L1795">
        <v>113</v>
      </c>
      <c r="M1795">
        <v>26.08</v>
      </c>
      <c r="N1795" t="s">
        <v>23</v>
      </c>
      <c r="O1795">
        <v>3</v>
      </c>
      <c r="P1795">
        <v>80.2</v>
      </c>
      <c r="Q1795">
        <v>92.2</v>
      </c>
      <c r="R1795" t="s">
        <v>2054</v>
      </c>
    </row>
    <row r="1796" spans="1:18" x14ac:dyDescent="0.25">
      <c r="A1796" t="s">
        <v>1847</v>
      </c>
      <c r="B1796" s="1">
        <v>45911</v>
      </c>
      <c r="C1796" s="1">
        <v>45914</v>
      </c>
      <c r="D1796" t="s">
        <v>52</v>
      </c>
      <c r="E1796" t="s">
        <v>30</v>
      </c>
      <c r="F1796" t="s">
        <v>31</v>
      </c>
      <c r="G1796" t="s">
        <v>26</v>
      </c>
      <c r="H1796" t="s">
        <v>32</v>
      </c>
      <c r="I1796">
        <v>2</v>
      </c>
      <c r="J1796">
        <v>78.61</v>
      </c>
      <c r="K1796">
        <v>12</v>
      </c>
      <c r="L1796">
        <v>200</v>
      </c>
      <c r="M1796">
        <v>56.89</v>
      </c>
      <c r="N1796" t="s">
        <v>23</v>
      </c>
      <c r="O1796">
        <v>3</v>
      </c>
      <c r="P1796">
        <v>157.22</v>
      </c>
      <c r="Q1796">
        <v>169.22</v>
      </c>
      <c r="R1796" t="s">
        <v>2054</v>
      </c>
    </row>
    <row r="1797" spans="1:18" x14ac:dyDescent="0.25">
      <c r="A1797" t="s">
        <v>1848</v>
      </c>
      <c r="B1797" s="1">
        <v>45911</v>
      </c>
      <c r="C1797" s="1">
        <v>45913</v>
      </c>
      <c r="D1797" t="s">
        <v>43</v>
      </c>
      <c r="E1797" t="s">
        <v>44</v>
      </c>
      <c r="F1797" t="s">
        <v>45</v>
      </c>
      <c r="G1797" t="s">
        <v>26</v>
      </c>
      <c r="H1797" t="s">
        <v>27</v>
      </c>
      <c r="I1797">
        <v>3</v>
      </c>
      <c r="J1797">
        <v>682.09</v>
      </c>
      <c r="K1797">
        <v>25</v>
      </c>
      <c r="L1797">
        <v>111</v>
      </c>
      <c r="M1797">
        <v>703.7</v>
      </c>
      <c r="N1797" t="s">
        <v>23</v>
      </c>
      <c r="O1797">
        <v>2</v>
      </c>
      <c r="P1797">
        <v>2046.27</v>
      </c>
      <c r="Q1797">
        <v>2071.27</v>
      </c>
      <c r="R1797" t="s">
        <v>2054</v>
      </c>
    </row>
    <row r="1798" spans="1:18" x14ac:dyDescent="0.25">
      <c r="A1798" t="s">
        <v>1849</v>
      </c>
      <c r="B1798" s="1">
        <v>45911</v>
      </c>
      <c r="C1798" s="1">
        <v>45914</v>
      </c>
      <c r="D1798" t="s">
        <v>37</v>
      </c>
      <c r="E1798" t="s">
        <v>38</v>
      </c>
      <c r="F1798" t="s">
        <v>39</v>
      </c>
      <c r="G1798" t="s">
        <v>26</v>
      </c>
      <c r="H1798" t="s">
        <v>32</v>
      </c>
      <c r="I1798">
        <v>1</v>
      </c>
      <c r="J1798">
        <v>216.94</v>
      </c>
      <c r="K1798">
        <v>75</v>
      </c>
      <c r="L1798">
        <v>366</v>
      </c>
      <c r="M1798">
        <v>5.89</v>
      </c>
      <c r="N1798" t="s">
        <v>23</v>
      </c>
      <c r="O1798">
        <v>3</v>
      </c>
      <c r="P1798">
        <v>216.94</v>
      </c>
      <c r="Q1798">
        <v>291.94</v>
      </c>
      <c r="R1798" t="s">
        <v>2054</v>
      </c>
    </row>
    <row r="1799" spans="1:18" x14ac:dyDescent="0.25">
      <c r="A1799" t="s">
        <v>1850</v>
      </c>
      <c r="B1799" s="1">
        <v>45912</v>
      </c>
      <c r="C1799" s="1">
        <v>45925</v>
      </c>
      <c r="D1799" t="s">
        <v>58</v>
      </c>
      <c r="E1799" t="s">
        <v>19</v>
      </c>
      <c r="F1799" t="s">
        <v>20</v>
      </c>
      <c r="G1799" t="s">
        <v>35</v>
      </c>
      <c r="H1799" t="s">
        <v>27</v>
      </c>
      <c r="I1799">
        <v>11</v>
      </c>
      <c r="J1799">
        <v>13.21</v>
      </c>
      <c r="K1799">
        <v>8</v>
      </c>
      <c r="L1799">
        <v>380</v>
      </c>
      <c r="M1799">
        <v>7.62</v>
      </c>
      <c r="N1799" t="s">
        <v>47</v>
      </c>
      <c r="O1799">
        <v>13</v>
      </c>
      <c r="P1799">
        <v>145.31</v>
      </c>
      <c r="Q1799">
        <v>153.31</v>
      </c>
      <c r="R1799" t="s">
        <v>2054</v>
      </c>
    </row>
    <row r="1800" spans="1:18" x14ac:dyDescent="0.25">
      <c r="A1800" t="s">
        <v>1851</v>
      </c>
      <c r="B1800" s="1">
        <v>45913</v>
      </c>
      <c r="C1800" s="1">
        <v>45915</v>
      </c>
      <c r="D1800" t="s">
        <v>37</v>
      </c>
      <c r="E1800" t="s">
        <v>38</v>
      </c>
      <c r="F1800" t="s">
        <v>39</v>
      </c>
      <c r="G1800" t="s">
        <v>35</v>
      </c>
      <c r="H1800" t="s">
        <v>22</v>
      </c>
      <c r="I1800">
        <v>1</v>
      </c>
      <c r="J1800">
        <v>273.36</v>
      </c>
      <c r="K1800">
        <v>75</v>
      </c>
      <c r="L1800">
        <v>241</v>
      </c>
      <c r="M1800">
        <v>17.170000000000002</v>
      </c>
      <c r="N1800" t="s">
        <v>23</v>
      </c>
      <c r="O1800">
        <v>2</v>
      </c>
      <c r="P1800">
        <v>273.36</v>
      </c>
      <c r="Q1800">
        <v>348.36</v>
      </c>
      <c r="R1800" t="s">
        <v>2054</v>
      </c>
    </row>
    <row r="1801" spans="1:18" x14ac:dyDescent="0.25">
      <c r="A1801" t="s">
        <v>1852</v>
      </c>
      <c r="B1801" s="1">
        <v>45914</v>
      </c>
      <c r="C1801" s="1">
        <v>45919</v>
      </c>
      <c r="D1801" t="s">
        <v>72</v>
      </c>
      <c r="E1801" t="s">
        <v>44</v>
      </c>
      <c r="F1801" t="s">
        <v>45</v>
      </c>
      <c r="G1801" t="s">
        <v>21</v>
      </c>
      <c r="H1801" t="s">
        <v>22</v>
      </c>
      <c r="I1801">
        <v>3</v>
      </c>
      <c r="J1801">
        <v>809.17</v>
      </c>
      <c r="K1801">
        <v>25</v>
      </c>
      <c r="L1801">
        <v>228</v>
      </c>
      <c r="M1801">
        <v>837.13</v>
      </c>
      <c r="N1801" t="s">
        <v>23</v>
      </c>
      <c r="O1801">
        <v>5</v>
      </c>
      <c r="P1801">
        <v>2427.5099999999998</v>
      </c>
      <c r="Q1801">
        <v>2452.5099999999998</v>
      </c>
      <c r="R1801" t="s">
        <v>2054</v>
      </c>
    </row>
    <row r="1802" spans="1:18" x14ac:dyDescent="0.25">
      <c r="A1802" t="s">
        <v>1853</v>
      </c>
      <c r="B1802" s="1">
        <v>45914</v>
      </c>
      <c r="C1802" s="1">
        <v>45917</v>
      </c>
      <c r="D1802" t="s">
        <v>54</v>
      </c>
      <c r="E1802" t="s">
        <v>38</v>
      </c>
      <c r="F1802" t="s">
        <v>39</v>
      </c>
      <c r="G1802" t="s">
        <v>26</v>
      </c>
      <c r="H1802" t="s">
        <v>22</v>
      </c>
      <c r="I1802">
        <v>2</v>
      </c>
      <c r="J1802">
        <v>135.94</v>
      </c>
      <c r="K1802">
        <v>75</v>
      </c>
      <c r="L1802">
        <v>126</v>
      </c>
      <c r="M1802">
        <v>16.88</v>
      </c>
      <c r="N1802" t="s">
        <v>23</v>
      </c>
      <c r="O1802">
        <v>3</v>
      </c>
      <c r="P1802">
        <v>271.88</v>
      </c>
      <c r="Q1802">
        <v>346.88</v>
      </c>
      <c r="R1802" t="s">
        <v>2054</v>
      </c>
    </row>
    <row r="1803" spans="1:18" x14ac:dyDescent="0.25">
      <c r="A1803" t="s">
        <v>1854</v>
      </c>
      <c r="B1803" s="1">
        <v>45914</v>
      </c>
      <c r="C1803" s="1">
        <v>45916</v>
      </c>
      <c r="D1803" t="s">
        <v>18</v>
      </c>
      <c r="E1803" t="s">
        <v>19</v>
      </c>
      <c r="F1803" t="s">
        <v>20</v>
      </c>
      <c r="G1803" t="s">
        <v>35</v>
      </c>
      <c r="H1803" t="s">
        <v>22</v>
      </c>
      <c r="I1803">
        <v>9</v>
      </c>
      <c r="J1803">
        <v>25.8</v>
      </c>
      <c r="K1803">
        <v>8</v>
      </c>
      <c r="L1803">
        <v>26</v>
      </c>
      <c r="M1803">
        <v>14.58</v>
      </c>
      <c r="N1803" t="s">
        <v>23</v>
      </c>
      <c r="O1803">
        <v>2</v>
      </c>
      <c r="P1803">
        <v>232.20000000000002</v>
      </c>
      <c r="Q1803">
        <v>240.20000000000002</v>
      </c>
      <c r="R1803" t="s">
        <v>2055</v>
      </c>
    </row>
    <row r="1804" spans="1:18" x14ac:dyDescent="0.25">
      <c r="A1804" t="s">
        <v>1855</v>
      </c>
      <c r="B1804" s="1">
        <v>45915</v>
      </c>
      <c r="C1804" s="1">
        <v>45917</v>
      </c>
      <c r="D1804" t="s">
        <v>58</v>
      </c>
      <c r="E1804" t="s">
        <v>19</v>
      </c>
      <c r="F1804" t="s">
        <v>20</v>
      </c>
      <c r="G1804" t="s">
        <v>26</v>
      </c>
      <c r="H1804" t="s">
        <v>22</v>
      </c>
      <c r="I1804">
        <v>14</v>
      </c>
      <c r="J1804">
        <v>37.94</v>
      </c>
      <c r="K1804">
        <v>8</v>
      </c>
      <c r="L1804">
        <v>88</v>
      </c>
      <c r="M1804">
        <v>-79.680000000000007</v>
      </c>
      <c r="N1804" t="s">
        <v>23</v>
      </c>
      <c r="O1804">
        <v>2</v>
      </c>
      <c r="P1804">
        <v>531.16</v>
      </c>
      <c r="Q1804">
        <v>539.16</v>
      </c>
      <c r="R1804" t="s">
        <v>2054</v>
      </c>
    </row>
    <row r="1805" spans="1:18" x14ac:dyDescent="0.25">
      <c r="A1805" t="s">
        <v>1856</v>
      </c>
      <c r="B1805" s="1">
        <v>45915</v>
      </c>
      <c r="C1805" s="1">
        <v>45919</v>
      </c>
      <c r="D1805" t="s">
        <v>29</v>
      </c>
      <c r="E1805" t="s">
        <v>30</v>
      </c>
      <c r="F1805" t="s">
        <v>31</v>
      </c>
      <c r="G1805" t="s">
        <v>35</v>
      </c>
      <c r="H1805" t="s">
        <v>32</v>
      </c>
      <c r="I1805">
        <v>3</v>
      </c>
      <c r="J1805">
        <v>55.05</v>
      </c>
      <c r="K1805">
        <v>12</v>
      </c>
      <c r="L1805">
        <v>157</v>
      </c>
      <c r="M1805">
        <v>60.06</v>
      </c>
      <c r="N1805" t="s">
        <v>23</v>
      </c>
      <c r="O1805">
        <v>4</v>
      </c>
      <c r="P1805">
        <v>165.14999999999998</v>
      </c>
      <c r="Q1805">
        <v>177.14999999999998</v>
      </c>
      <c r="R1805" t="s">
        <v>2054</v>
      </c>
    </row>
    <row r="1806" spans="1:18" x14ac:dyDescent="0.25">
      <c r="A1806" t="s">
        <v>1857</v>
      </c>
      <c r="B1806" s="1">
        <v>45915</v>
      </c>
      <c r="C1806" s="1">
        <v>45916</v>
      </c>
      <c r="D1806" t="s">
        <v>43</v>
      </c>
      <c r="E1806" t="s">
        <v>44</v>
      </c>
      <c r="F1806" t="s">
        <v>45</v>
      </c>
      <c r="G1806" t="s">
        <v>26</v>
      </c>
      <c r="H1806" t="s">
        <v>32</v>
      </c>
      <c r="I1806">
        <v>1</v>
      </c>
      <c r="J1806">
        <v>949.33</v>
      </c>
      <c r="K1806">
        <v>25</v>
      </c>
      <c r="L1806">
        <v>381</v>
      </c>
      <c r="M1806">
        <v>319.77</v>
      </c>
      <c r="N1806" t="s">
        <v>23</v>
      </c>
      <c r="O1806">
        <v>1</v>
      </c>
      <c r="P1806">
        <v>949.33</v>
      </c>
      <c r="Q1806">
        <v>974.33</v>
      </c>
      <c r="R1806" t="s">
        <v>2054</v>
      </c>
    </row>
    <row r="1807" spans="1:18" x14ac:dyDescent="0.25">
      <c r="A1807" t="s">
        <v>1858</v>
      </c>
      <c r="B1807" s="1">
        <v>45916</v>
      </c>
      <c r="C1807" s="1">
        <v>45917</v>
      </c>
      <c r="D1807" t="s">
        <v>43</v>
      </c>
      <c r="E1807" t="s">
        <v>44</v>
      </c>
      <c r="F1807" t="s">
        <v>45</v>
      </c>
      <c r="G1807" t="s">
        <v>26</v>
      </c>
      <c r="H1807" t="s">
        <v>27</v>
      </c>
      <c r="I1807">
        <v>1</v>
      </c>
      <c r="J1807">
        <v>992.35</v>
      </c>
      <c r="K1807">
        <v>25</v>
      </c>
      <c r="L1807">
        <v>344</v>
      </c>
      <c r="M1807">
        <v>334.82</v>
      </c>
      <c r="N1807" t="s">
        <v>23</v>
      </c>
      <c r="O1807">
        <v>1</v>
      </c>
      <c r="P1807">
        <v>992.35</v>
      </c>
      <c r="Q1807">
        <v>1017.35</v>
      </c>
      <c r="R1807" t="s">
        <v>2054</v>
      </c>
    </row>
    <row r="1808" spans="1:18" x14ac:dyDescent="0.25">
      <c r="A1808" t="s">
        <v>1859</v>
      </c>
      <c r="B1808" s="1">
        <v>45916</v>
      </c>
      <c r="C1808" s="1">
        <v>45919</v>
      </c>
      <c r="D1808" t="s">
        <v>34</v>
      </c>
      <c r="E1808" t="s">
        <v>30</v>
      </c>
      <c r="F1808" t="s">
        <v>31</v>
      </c>
      <c r="G1808" t="s">
        <v>21</v>
      </c>
      <c r="H1808" t="s">
        <v>27</v>
      </c>
      <c r="I1808">
        <v>4</v>
      </c>
      <c r="J1808">
        <v>34.9</v>
      </c>
      <c r="K1808">
        <v>12</v>
      </c>
      <c r="L1808">
        <v>71</v>
      </c>
      <c r="M1808">
        <v>49.85</v>
      </c>
      <c r="N1808" t="s">
        <v>23</v>
      </c>
      <c r="O1808">
        <v>3</v>
      </c>
      <c r="P1808">
        <v>139.6</v>
      </c>
      <c r="Q1808">
        <v>151.6</v>
      </c>
      <c r="R1808" t="s">
        <v>2054</v>
      </c>
    </row>
    <row r="1809" spans="1:18" x14ac:dyDescent="0.25">
      <c r="A1809" t="s">
        <v>1860</v>
      </c>
      <c r="B1809" s="1">
        <v>45916</v>
      </c>
      <c r="C1809" s="1">
        <v>45927</v>
      </c>
      <c r="D1809" t="s">
        <v>56</v>
      </c>
      <c r="E1809" t="s">
        <v>38</v>
      </c>
      <c r="F1809" t="s">
        <v>39</v>
      </c>
      <c r="G1809" t="s">
        <v>35</v>
      </c>
      <c r="H1809" t="s">
        <v>22</v>
      </c>
      <c r="I1809">
        <v>2</v>
      </c>
      <c r="J1809">
        <v>191.12</v>
      </c>
      <c r="K1809">
        <v>75</v>
      </c>
      <c r="L1809">
        <v>280</v>
      </c>
      <c r="M1809">
        <v>38.950000000000003</v>
      </c>
      <c r="N1809" t="s">
        <v>47</v>
      </c>
      <c r="O1809">
        <v>11</v>
      </c>
      <c r="P1809">
        <v>382.24</v>
      </c>
      <c r="Q1809">
        <v>457.24</v>
      </c>
      <c r="R1809" t="s">
        <v>2054</v>
      </c>
    </row>
    <row r="1810" spans="1:18" x14ac:dyDescent="0.25">
      <c r="A1810" t="s">
        <v>1861</v>
      </c>
      <c r="B1810" s="1">
        <v>45918</v>
      </c>
      <c r="C1810" s="1">
        <v>45922</v>
      </c>
      <c r="D1810" t="s">
        <v>43</v>
      </c>
      <c r="E1810" t="s">
        <v>44</v>
      </c>
      <c r="F1810" t="s">
        <v>45</v>
      </c>
      <c r="G1810" t="s">
        <v>21</v>
      </c>
      <c r="H1810" t="s">
        <v>27</v>
      </c>
      <c r="I1810">
        <v>2</v>
      </c>
      <c r="J1810">
        <v>361.8</v>
      </c>
      <c r="K1810">
        <v>25</v>
      </c>
      <c r="L1810">
        <v>212</v>
      </c>
      <c r="M1810">
        <v>240.76</v>
      </c>
      <c r="N1810" t="s">
        <v>23</v>
      </c>
      <c r="O1810">
        <v>4</v>
      </c>
      <c r="P1810">
        <v>723.6</v>
      </c>
      <c r="Q1810">
        <v>748.6</v>
      </c>
      <c r="R1810" t="s">
        <v>2054</v>
      </c>
    </row>
    <row r="1811" spans="1:18" x14ac:dyDescent="0.25">
      <c r="A1811" t="s">
        <v>1862</v>
      </c>
      <c r="B1811" s="1">
        <v>45918</v>
      </c>
      <c r="C1811" s="1">
        <v>45923</v>
      </c>
      <c r="D1811" t="s">
        <v>54</v>
      </c>
      <c r="E1811" t="s">
        <v>38</v>
      </c>
      <c r="F1811" t="s">
        <v>39</v>
      </c>
      <c r="G1811" t="s">
        <v>26</v>
      </c>
      <c r="H1811" t="s">
        <v>32</v>
      </c>
      <c r="I1811">
        <v>2</v>
      </c>
      <c r="J1811">
        <v>207.47</v>
      </c>
      <c r="K1811">
        <v>75</v>
      </c>
      <c r="L1811">
        <v>297</v>
      </c>
      <c r="M1811">
        <v>45.49</v>
      </c>
      <c r="N1811" t="s">
        <v>23</v>
      </c>
      <c r="O1811">
        <v>5</v>
      </c>
      <c r="P1811">
        <v>414.94</v>
      </c>
      <c r="Q1811">
        <v>489.94</v>
      </c>
      <c r="R1811" t="s">
        <v>2054</v>
      </c>
    </row>
    <row r="1812" spans="1:18" x14ac:dyDescent="0.25">
      <c r="A1812" t="s">
        <v>1863</v>
      </c>
      <c r="B1812" s="1">
        <v>45919</v>
      </c>
      <c r="C1812" s="1">
        <v>45924</v>
      </c>
      <c r="D1812" t="s">
        <v>118</v>
      </c>
      <c r="E1812" t="s">
        <v>79</v>
      </c>
      <c r="F1812" t="s">
        <v>80</v>
      </c>
      <c r="G1812" t="s">
        <v>35</v>
      </c>
      <c r="H1812" t="s">
        <v>40</v>
      </c>
      <c r="I1812">
        <v>1</v>
      </c>
      <c r="J1812">
        <v>26.88</v>
      </c>
      <c r="K1812">
        <v>18</v>
      </c>
      <c r="L1812">
        <v>346</v>
      </c>
      <c r="M1812">
        <v>3.1</v>
      </c>
      <c r="N1812" t="s">
        <v>23</v>
      </c>
      <c r="O1812">
        <v>5</v>
      </c>
      <c r="P1812">
        <v>26.88</v>
      </c>
      <c r="Q1812">
        <v>44.879999999999995</v>
      </c>
      <c r="R1812" t="s">
        <v>2054</v>
      </c>
    </row>
    <row r="1813" spans="1:18" x14ac:dyDescent="0.25">
      <c r="A1813" t="s">
        <v>1864</v>
      </c>
      <c r="B1813" s="1">
        <v>45919</v>
      </c>
      <c r="C1813" s="1">
        <v>45920</v>
      </c>
      <c r="D1813" t="s">
        <v>58</v>
      </c>
      <c r="E1813" t="s">
        <v>19</v>
      </c>
      <c r="F1813" t="s">
        <v>20</v>
      </c>
      <c r="G1813" t="s">
        <v>21</v>
      </c>
      <c r="H1813" t="s">
        <v>22</v>
      </c>
      <c r="I1813">
        <v>6</v>
      </c>
      <c r="J1813">
        <v>23.32</v>
      </c>
      <c r="K1813">
        <v>8</v>
      </c>
      <c r="L1813">
        <v>387</v>
      </c>
      <c r="M1813">
        <v>7.2</v>
      </c>
      <c r="N1813" t="s">
        <v>23</v>
      </c>
      <c r="O1813">
        <v>1</v>
      </c>
      <c r="P1813">
        <v>139.92000000000002</v>
      </c>
      <c r="Q1813">
        <v>147.92000000000002</v>
      </c>
      <c r="R1813" t="s">
        <v>2054</v>
      </c>
    </row>
    <row r="1814" spans="1:18" x14ac:dyDescent="0.25">
      <c r="A1814" t="s">
        <v>1865</v>
      </c>
      <c r="B1814" s="1">
        <v>45919</v>
      </c>
      <c r="C1814" s="1">
        <v>45921</v>
      </c>
      <c r="D1814" t="s">
        <v>56</v>
      </c>
      <c r="E1814" t="s">
        <v>38</v>
      </c>
      <c r="F1814" t="s">
        <v>39</v>
      </c>
      <c r="G1814" t="s">
        <v>35</v>
      </c>
      <c r="H1814" t="s">
        <v>27</v>
      </c>
      <c r="I1814">
        <v>2</v>
      </c>
      <c r="J1814">
        <v>490.66</v>
      </c>
      <c r="K1814">
        <v>75</v>
      </c>
      <c r="L1814">
        <v>70</v>
      </c>
      <c r="M1814">
        <v>158.77000000000001</v>
      </c>
      <c r="N1814" t="s">
        <v>23</v>
      </c>
      <c r="O1814">
        <v>2</v>
      </c>
      <c r="P1814">
        <v>981.32</v>
      </c>
      <c r="Q1814">
        <v>1056.3200000000002</v>
      </c>
      <c r="R1814" t="s">
        <v>2054</v>
      </c>
    </row>
    <row r="1815" spans="1:18" x14ac:dyDescent="0.25">
      <c r="A1815" t="s">
        <v>1866</v>
      </c>
      <c r="B1815" s="1">
        <v>45919</v>
      </c>
      <c r="C1815" s="1">
        <v>45923</v>
      </c>
      <c r="D1815" t="s">
        <v>56</v>
      </c>
      <c r="E1815" t="s">
        <v>38</v>
      </c>
      <c r="F1815" t="s">
        <v>39</v>
      </c>
      <c r="G1815" t="s">
        <v>35</v>
      </c>
      <c r="H1815" t="s">
        <v>22</v>
      </c>
      <c r="I1815">
        <v>1</v>
      </c>
      <c r="J1815">
        <v>251.55</v>
      </c>
      <c r="K1815">
        <v>75</v>
      </c>
      <c r="L1815">
        <v>188</v>
      </c>
      <c r="M1815">
        <v>12.81</v>
      </c>
      <c r="N1815" t="s">
        <v>23</v>
      </c>
      <c r="O1815">
        <v>4</v>
      </c>
      <c r="P1815">
        <v>251.55</v>
      </c>
      <c r="Q1815">
        <v>326.55</v>
      </c>
      <c r="R1815" t="s">
        <v>2054</v>
      </c>
    </row>
    <row r="1816" spans="1:18" x14ac:dyDescent="0.25">
      <c r="A1816" t="s">
        <v>1867</v>
      </c>
      <c r="B1816" s="1">
        <v>45919</v>
      </c>
      <c r="C1816" s="1">
        <v>45923</v>
      </c>
      <c r="D1816" t="s">
        <v>34</v>
      </c>
      <c r="E1816" t="s">
        <v>30</v>
      </c>
      <c r="F1816" t="s">
        <v>31</v>
      </c>
      <c r="G1816" t="s">
        <v>21</v>
      </c>
      <c r="H1816" t="s">
        <v>22</v>
      </c>
      <c r="I1816">
        <v>2</v>
      </c>
      <c r="J1816">
        <v>103.8</v>
      </c>
      <c r="K1816">
        <v>12</v>
      </c>
      <c r="L1816">
        <v>37</v>
      </c>
      <c r="M1816">
        <v>77.040000000000006</v>
      </c>
      <c r="N1816" t="s">
        <v>23</v>
      </c>
      <c r="O1816">
        <v>4</v>
      </c>
      <c r="P1816">
        <v>207.6</v>
      </c>
      <c r="Q1816">
        <v>219.6</v>
      </c>
      <c r="R1816" t="s">
        <v>2055</v>
      </c>
    </row>
    <row r="1817" spans="1:18" x14ac:dyDescent="0.25">
      <c r="A1817" t="s">
        <v>1868</v>
      </c>
      <c r="B1817" s="1">
        <v>45920</v>
      </c>
      <c r="C1817" s="1">
        <v>45923</v>
      </c>
      <c r="D1817" t="s">
        <v>118</v>
      </c>
      <c r="E1817" t="s">
        <v>79</v>
      </c>
      <c r="F1817" t="s">
        <v>80</v>
      </c>
      <c r="G1817" t="s">
        <v>26</v>
      </c>
      <c r="H1817" t="s">
        <v>22</v>
      </c>
      <c r="I1817">
        <v>1</v>
      </c>
      <c r="J1817">
        <v>39.19</v>
      </c>
      <c r="K1817">
        <v>12</v>
      </c>
      <c r="L1817">
        <v>117</v>
      </c>
      <c r="M1817">
        <v>11.64</v>
      </c>
      <c r="N1817" t="s">
        <v>23</v>
      </c>
      <c r="O1817">
        <v>3</v>
      </c>
      <c r="P1817">
        <v>39.19</v>
      </c>
      <c r="Q1817">
        <v>51.19</v>
      </c>
      <c r="R1817" t="s">
        <v>2054</v>
      </c>
    </row>
    <row r="1818" spans="1:18" x14ac:dyDescent="0.25">
      <c r="A1818" t="s">
        <v>1869</v>
      </c>
      <c r="B1818" s="1">
        <v>45920</v>
      </c>
      <c r="C1818" s="1">
        <v>45923</v>
      </c>
      <c r="D1818" t="s">
        <v>118</v>
      </c>
      <c r="E1818" t="s">
        <v>79</v>
      </c>
      <c r="F1818" t="s">
        <v>80</v>
      </c>
      <c r="G1818" t="s">
        <v>26</v>
      </c>
      <c r="H1818" t="s">
        <v>32</v>
      </c>
      <c r="I1818">
        <v>3</v>
      </c>
      <c r="J1818">
        <v>24.32</v>
      </c>
      <c r="K1818">
        <v>12</v>
      </c>
      <c r="L1818">
        <v>115</v>
      </c>
      <c r="M1818">
        <v>26.83</v>
      </c>
      <c r="N1818" t="s">
        <v>23</v>
      </c>
      <c r="O1818">
        <v>3</v>
      </c>
      <c r="P1818">
        <v>72.960000000000008</v>
      </c>
      <c r="Q1818">
        <v>84.960000000000008</v>
      </c>
      <c r="R1818" t="s">
        <v>2054</v>
      </c>
    </row>
    <row r="1819" spans="1:18" x14ac:dyDescent="0.25">
      <c r="A1819" t="s">
        <v>1870</v>
      </c>
      <c r="B1819" s="1">
        <v>45920</v>
      </c>
      <c r="C1819" s="1">
        <v>45921</v>
      </c>
      <c r="D1819" t="s">
        <v>25</v>
      </c>
      <c r="E1819" t="s">
        <v>19</v>
      </c>
      <c r="F1819" t="s">
        <v>20</v>
      </c>
      <c r="G1819" t="s">
        <v>21</v>
      </c>
      <c r="H1819" t="s">
        <v>32</v>
      </c>
      <c r="I1819">
        <v>11</v>
      </c>
      <c r="J1819">
        <v>29.18</v>
      </c>
      <c r="K1819">
        <v>8</v>
      </c>
      <c r="L1819">
        <v>3</v>
      </c>
      <c r="M1819">
        <v>21.68</v>
      </c>
      <c r="N1819" t="s">
        <v>23</v>
      </c>
      <c r="O1819">
        <v>1</v>
      </c>
      <c r="P1819">
        <v>320.98</v>
      </c>
      <c r="Q1819">
        <v>328.98</v>
      </c>
      <c r="R1819" t="s">
        <v>2056</v>
      </c>
    </row>
    <row r="1820" spans="1:18" x14ac:dyDescent="0.25">
      <c r="A1820" t="s">
        <v>1871</v>
      </c>
      <c r="B1820" s="1">
        <v>45921</v>
      </c>
      <c r="C1820" s="1">
        <v>45937</v>
      </c>
      <c r="D1820" t="s">
        <v>50</v>
      </c>
      <c r="E1820" t="s">
        <v>44</v>
      </c>
      <c r="F1820" t="s">
        <v>45</v>
      </c>
      <c r="G1820" t="s">
        <v>35</v>
      </c>
      <c r="H1820" t="s">
        <v>40</v>
      </c>
      <c r="I1820">
        <v>3</v>
      </c>
      <c r="J1820">
        <v>298.87</v>
      </c>
      <c r="K1820">
        <v>37.5</v>
      </c>
      <c r="L1820">
        <v>360</v>
      </c>
      <c r="M1820">
        <v>295.06</v>
      </c>
      <c r="N1820" t="s">
        <v>47</v>
      </c>
      <c r="O1820">
        <v>16</v>
      </c>
      <c r="P1820">
        <v>896.61</v>
      </c>
      <c r="Q1820">
        <v>934.11</v>
      </c>
      <c r="R1820" t="s">
        <v>2054</v>
      </c>
    </row>
    <row r="1821" spans="1:18" x14ac:dyDescent="0.25">
      <c r="A1821" t="s">
        <v>1872</v>
      </c>
      <c r="B1821" s="1">
        <v>45921</v>
      </c>
      <c r="C1821" s="1">
        <v>45930</v>
      </c>
      <c r="D1821" t="s">
        <v>72</v>
      </c>
      <c r="E1821" t="s">
        <v>44</v>
      </c>
      <c r="F1821" t="s">
        <v>45</v>
      </c>
      <c r="G1821" t="s">
        <v>35</v>
      </c>
      <c r="H1821" t="s">
        <v>40</v>
      </c>
      <c r="I1821">
        <v>3</v>
      </c>
      <c r="J1821">
        <v>334.83</v>
      </c>
      <c r="K1821">
        <v>37.5</v>
      </c>
      <c r="L1821">
        <v>350</v>
      </c>
      <c r="M1821">
        <v>332.82</v>
      </c>
      <c r="N1821" t="s">
        <v>63</v>
      </c>
      <c r="O1821">
        <v>9</v>
      </c>
      <c r="P1821">
        <v>1004.49</v>
      </c>
      <c r="Q1821">
        <v>1041.99</v>
      </c>
      <c r="R1821" t="s">
        <v>2054</v>
      </c>
    </row>
    <row r="1822" spans="1:18" x14ac:dyDescent="0.25">
      <c r="A1822" t="s">
        <v>1873</v>
      </c>
      <c r="B1822" s="1">
        <v>45921</v>
      </c>
      <c r="C1822" s="1">
        <v>45932</v>
      </c>
      <c r="D1822" t="s">
        <v>118</v>
      </c>
      <c r="E1822" t="s">
        <v>79</v>
      </c>
      <c r="F1822" t="s">
        <v>80</v>
      </c>
      <c r="G1822" t="s">
        <v>35</v>
      </c>
      <c r="H1822" t="s">
        <v>40</v>
      </c>
      <c r="I1822">
        <v>3</v>
      </c>
      <c r="J1822">
        <v>135.13</v>
      </c>
      <c r="K1822">
        <v>18</v>
      </c>
      <c r="L1822">
        <v>347</v>
      </c>
      <c r="M1822">
        <v>173.42</v>
      </c>
      <c r="N1822" t="s">
        <v>47</v>
      </c>
      <c r="O1822">
        <v>11</v>
      </c>
      <c r="P1822">
        <v>405.39</v>
      </c>
      <c r="Q1822">
        <v>423.39</v>
      </c>
      <c r="R1822" t="s">
        <v>2054</v>
      </c>
    </row>
    <row r="1823" spans="1:18" x14ac:dyDescent="0.25">
      <c r="A1823" t="s">
        <v>1874</v>
      </c>
      <c r="B1823" s="1">
        <v>45922</v>
      </c>
      <c r="C1823" s="1">
        <v>45923</v>
      </c>
      <c r="D1823" t="s">
        <v>52</v>
      </c>
      <c r="E1823" t="s">
        <v>30</v>
      </c>
      <c r="F1823" t="s">
        <v>31</v>
      </c>
      <c r="G1823" t="s">
        <v>35</v>
      </c>
      <c r="H1823" t="s">
        <v>40</v>
      </c>
      <c r="I1823">
        <v>4</v>
      </c>
      <c r="J1823">
        <v>135.99</v>
      </c>
      <c r="K1823">
        <v>18</v>
      </c>
      <c r="L1823">
        <v>69</v>
      </c>
      <c r="M1823">
        <v>208.58</v>
      </c>
      <c r="N1823" t="s">
        <v>23</v>
      </c>
      <c r="O1823">
        <v>1</v>
      </c>
      <c r="P1823">
        <v>543.96</v>
      </c>
      <c r="Q1823">
        <v>561.96</v>
      </c>
      <c r="R1823" t="s">
        <v>2054</v>
      </c>
    </row>
    <row r="1824" spans="1:18" x14ac:dyDescent="0.25">
      <c r="A1824" t="s">
        <v>1875</v>
      </c>
      <c r="B1824" s="1">
        <v>45923</v>
      </c>
      <c r="C1824" s="1">
        <v>45927</v>
      </c>
      <c r="D1824" t="s">
        <v>56</v>
      </c>
      <c r="E1824" t="s">
        <v>38</v>
      </c>
      <c r="F1824" t="s">
        <v>39</v>
      </c>
      <c r="G1824" t="s">
        <v>21</v>
      </c>
      <c r="H1824" t="s">
        <v>22</v>
      </c>
      <c r="I1824">
        <v>2</v>
      </c>
      <c r="J1824">
        <v>135.44999999999999</v>
      </c>
      <c r="K1824">
        <v>75</v>
      </c>
      <c r="L1824">
        <v>291</v>
      </c>
      <c r="M1824">
        <v>16.68</v>
      </c>
      <c r="N1824" t="s">
        <v>23</v>
      </c>
      <c r="O1824">
        <v>4</v>
      </c>
      <c r="P1824">
        <v>270.89999999999998</v>
      </c>
      <c r="Q1824">
        <v>345.9</v>
      </c>
      <c r="R1824" t="s">
        <v>2054</v>
      </c>
    </row>
    <row r="1825" spans="1:18" x14ac:dyDescent="0.25">
      <c r="A1825" t="s">
        <v>1876</v>
      </c>
      <c r="B1825" s="1">
        <v>45923</v>
      </c>
      <c r="C1825" s="1">
        <v>45931</v>
      </c>
      <c r="D1825" t="s">
        <v>50</v>
      </c>
      <c r="E1825" t="s">
        <v>44</v>
      </c>
      <c r="F1825" t="s">
        <v>45</v>
      </c>
      <c r="G1825" t="s">
        <v>35</v>
      </c>
      <c r="H1825" t="s">
        <v>40</v>
      </c>
      <c r="I1825">
        <v>3</v>
      </c>
      <c r="J1825">
        <v>787</v>
      </c>
      <c r="K1825">
        <v>37.5</v>
      </c>
      <c r="L1825">
        <v>177</v>
      </c>
      <c r="M1825">
        <v>807.6</v>
      </c>
      <c r="N1825" t="s">
        <v>63</v>
      </c>
      <c r="O1825">
        <v>8</v>
      </c>
      <c r="P1825">
        <v>2361</v>
      </c>
      <c r="Q1825">
        <v>2398.5</v>
      </c>
      <c r="R1825" t="s">
        <v>2054</v>
      </c>
    </row>
    <row r="1826" spans="1:18" x14ac:dyDescent="0.25">
      <c r="A1826" t="s">
        <v>1877</v>
      </c>
      <c r="B1826" s="1">
        <v>45923</v>
      </c>
      <c r="C1826" s="1">
        <v>45924</v>
      </c>
      <c r="D1826" t="s">
        <v>58</v>
      </c>
      <c r="E1826" t="s">
        <v>19</v>
      </c>
      <c r="F1826" t="s">
        <v>20</v>
      </c>
      <c r="G1826" t="s">
        <v>21</v>
      </c>
      <c r="H1826" t="s">
        <v>32</v>
      </c>
      <c r="I1826">
        <v>14</v>
      </c>
      <c r="J1826">
        <v>33.76</v>
      </c>
      <c r="K1826">
        <v>8</v>
      </c>
      <c r="L1826">
        <v>27</v>
      </c>
      <c r="M1826">
        <v>33.81</v>
      </c>
      <c r="N1826" t="s">
        <v>23</v>
      </c>
      <c r="O1826">
        <v>1</v>
      </c>
      <c r="P1826">
        <v>472.64</v>
      </c>
      <c r="Q1826">
        <v>480.64</v>
      </c>
      <c r="R1826" t="s">
        <v>2055</v>
      </c>
    </row>
    <row r="1827" spans="1:18" x14ac:dyDescent="0.25">
      <c r="A1827" t="s">
        <v>1878</v>
      </c>
      <c r="B1827" s="1">
        <v>45924</v>
      </c>
      <c r="C1827" s="1">
        <v>45927</v>
      </c>
      <c r="D1827" t="s">
        <v>72</v>
      </c>
      <c r="E1827" t="s">
        <v>44</v>
      </c>
      <c r="F1827" t="s">
        <v>45</v>
      </c>
      <c r="G1827" t="s">
        <v>21</v>
      </c>
      <c r="H1827" t="s">
        <v>32</v>
      </c>
      <c r="I1827">
        <v>2</v>
      </c>
      <c r="J1827">
        <v>462.32</v>
      </c>
      <c r="K1827">
        <v>25</v>
      </c>
      <c r="L1827">
        <v>280</v>
      </c>
      <c r="M1827">
        <v>311.12</v>
      </c>
      <c r="N1827" t="s">
        <v>23</v>
      </c>
      <c r="O1827">
        <v>3</v>
      </c>
      <c r="P1827">
        <v>924.64</v>
      </c>
      <c r="Q1827">
        <v>949.64</v>
      </c>
      <c r="R1827" t="s">
        <v>2054</v>
      </c>
    </row>
    <row r="1828" spans="1:18" x14ac:dyDescent="0.25">
      <c r="A1828" t="s">
        <v>1879</v>
      </c>
      <c r="B1828" s="1">
        <v>45925</v>
      </c>
      <c r="C1828" s="1">
        <v>45927</v>
      </c>
      <c r="D1828" t="s">
        <v>34</v>
      </c>
      <c r="E1828" t="s">
        <v>30</v>
      </c>
      <c r="F1828" t="s">
        <v>31</v>
      </c>
      <c r="G1828" t="s">
        <v>35</v>
      </c>
      <c r="H1828" t="s">
        <v>32</v>
      </c>
      <c r="I1828">
        <v>2</v>
      </c>
      <c r="J1828">
        <v>92.96</v>
      </c>
      <c r="K1828">
        <v>12</v>
      </c>
      <c r="L1828">
        <v>103</v>
      </c>
      <c r="M1828">
        <v>68.36</v>
      </c>
      <c r="N1828" t="s">
        <v>23</v>
      </c>
      <c r="O1828">
        <v>2</v>
      </c>
      <c r="P1828">
        <v>185.92</v>
      </c>
      <c r="Q1828">
        <v>197.92</v>
      </c>
      <c r="R1828" t="s">
        <v>2054</v>
      </c>
    </row>
    <row r="1829" spans="1:18" x14ac:dyDescent="0.25">
      <c r="A1829" t="s">
        <v>1880</v>
      </c>
      <c r="B1829" s="1">
        <v>45925</v>
      </c>
      <c r="C1829" s="1">
        <v>45926</v>
      </c>
      <c r="D1829" t="s">
        <v>58</v>
      </c>
      <c r="E1829" t="s">
        <v>19</v>
      </c>
      <c r="F1829" t="s">
        <v>20</v>
      </c>
      <c r="G1829" t="s">
        <v>35</v>
      </c>
      <c r="H1829" t="s">
        <v>40</v>
      </c>
      <c r="I1829">
        <v>6</v>
      </c>
      <c r="J1829">
        <v>45.36</v>
      </c>
      <c r="K1829">
        <v>12</v>
      </c>
      <c r="L1829">
        <v>79</v>
      </c>
      <c r="M1829">
        <v>15.77</v>
      </c>
      <c r="N1829" t="s">
        <v>23</v>
      </c>
      <c r="O1829">
        <v>1</v>
      </c>
      <c r="P1829">
        <v>272.15999999999997</v>
      </c>
      <c r="Q1829">
        <v>284.15999999999997</v>
      </c>
      <c r="R1829" t="s">
        <v>2054</v>
      </c>
    </row>
    <row r="1830" spans="1:18" x14ac:dyDescent="0.25">
      <c r="A1830" t="s">
        <v>1881</v>
      </c>
      <c r="B1830" s="1">
        <v>45927</v>
      </c>
      <c r="C1830" s="1">
        <v>45932</v>
      </c>
      <c r="D1830" t="s">
        <v>58</v>
      </c>
      <c r="E1830" t="s">
        <v>19</v>
      </c>
      <c r="F1830" t="s">
        <v>20</v>
      </c>
      <c r="G1830" t="s">
        <v>26</v>
      </c>
      <c r="H1830" t="s">
        <v>22</v>
      </c>
      <c r="I1830">
        <v>13</v>
      </c>
      <c r="J1830">
        <v>44</v>
      </c>
      <c r="K1830">
        <v>8</v>
      </c>
      <c r="L1830">
        <v>79</v>
      </c>
      <c r="M1830">
        <v>41.76</v>
      </c>
      <c r="N1830" t="s">
        <v>23</v>
      </c>
      <c r="O1830">
        <v>5</v>
      </c>
      <c r="P1830">
        <v>572</v>
      </c>
      <c r="Q1830">
        <v>580</v>
      </c>
      <c r="R1830" t="s">
        <v>2054</v>
      </c>
    </row>
    <row r="1831" spans="1:18" x14ac:dyDescent="0.25">
      <c r="A1831" t="s">
        <v>1882</v>
      </c>
      <c r="B1831" s="1">
        <v>45929</v>
      </c>
      <c r="C1831" s="1">
        <v>45932</v>
      </c>
      <c r="D1831" t="s">
        <v>43</v>
      </c>
      <c r="E1831" t="s">
        <v>44</v>
      </c>
      <c r="F1831" t="s">
        <v>45</v>
      </c>
      <c r="G1831" t="s">
        <v>21</v>
      </c>
      <c r="H1831" t="s">
        <v>27</v>
      </c>
      <c r="I1831">
        <v>1</v>
      </c>
      <c r="J1831">
        <v>913.94</v>
      </c>
      <c r="K1831">
        <v>25</v>
      </c>
      <c r="L1831">
        <v>116</v>
      </c>
      <c r="M1831">
        <v>307.38</v>
      </c>
      <c r="N1831" t="s">
        <v>23</v>
      </c>
      <c r="O1831">
        <v>3</v>
      </c>
      <c r="P1831">
        <v>913.94</v>
      </c>
      <c r="Q1831">
        <v>938.94</v>
      </c>
      <c r="R1831" t="s">
        <v>2054</v>
      </c>
    </row>
    <row r="1832" spans="1:18" x14ac:dyDescent="0.25">
      <c r="A1832" t="s">
        <v>1883</v>
      </c>
      <c r="B1832" s="1">
        <v>45929</v>
      </c>
      <c r="C1832" s="1">
        <v>45943</v>
      </c>
      <c r="D1832" t="s">
        <v>52</v>
      </c>
      <c r="E1832" t="s">
        <v>30</v>
      </c>
      <c r="F1832" t="s">
        <v>31</v>
      </c>
      <c r="G1832" t="s">
        <v>35</v>
      </c>
      <c r="H1832" t="s">
        <v>22</v>
      </c>
      <c r="I1832">
        <v>5</v>
      </c>
      <c r="J1832">
        <v>71.14</v>
      </c>
      <c r="K1832">
        <v>12</v>
      </c>
      <c r="L1832">
        <v>286</v>
      </c>
      <c r="M1832">
        <v>136.29</v>
      </c>
      <c r="N1832" t="s">
        <v>47</v>
      </c>
      <c r="O1832">
        <v>14</v>
      </c>
      <c r="P1832">
        <v>355.7</v>
      </c>
      <c r="Q1832">
        <v>367.7</v>
      </c>
      <c r="R1832" t="s">
        <v>2054</v>
      </c>
    </row>
    <row r="1833" spans="1:18" x14ac:dyDescent="0.25">
      <c r="A1833" t="s">
        <v>1884</v>
      </c>
      <c r="B1833" s="1">
        <v>45930</v>
      </c>
      <c r="C1833" s="1">
        <v>45934</v>
      </c>
      <c r="D1833" t="s">
        <v>18</v>
      </c>
      <c r="E1833" t="s">
        <v>19</v>
      </c>
      <c r="F1833" t="s">
        <v>20</v>
      </c>
      <c r="G1833" t="s">
        <v>21</v>
      </c>
      <c r="H1833" t="s">
        <v>32</v>
      </c>
      <c r="I1833">
        <v>12</v>
      </c>
      <c r="J1833">
        <v>44.38</v>
      </c>
      <c r="K1833">
        <v>8</v>
      </c>
      <c r="L1833">
        <v>7</v>
      </c>
      <c r="M1833">
        <v>38.61</v>
      </c>
      <c r="N1833" t="s">
        <v>23</v>
      </c>
      <c r="O1833">
        <v>4</v>
      </c>
      <c r="P1833">
        <v>532.56000000000006</v>
      </c>
      <c r="Q1833">
        <v>540.56000000000006</v>
      </c>
      <c r="R1833" t="s">
        <v>2056</v>
      </c>
    </row>
    <row r="1834" spans="1:18" x14ac:dyDescent="0.25">
      <c r="A1834" t="s">
        <v>1885</v>
      </c>
      <c r="B1834" s="1">
        <v>45930</v>
      </c>
      <c r="C1834" s="1">
        <v>45933</v>
      </c>
      <c r="D1834" t="s">
        <v>78</v>
      </c>
      <c r="E1834" t="s">
        <v>79</v>
      </c>
      <c r="F1834" t="s">
        <v>80</v>
      </c>
      <c r="G1834" t="s">
        <v>35</v>
      </c>
      <c r="H1834" t="s">
        <v>27</v>
      </c>
      <c r="I1834">
        <v>1</v>
      </c>
      <c r="J1834">
        <v>136.66999999999999</v>
      </c>
      <c r="K1834">
        <v>12</v>
      </c>
      <c r="L1834">
        <v>135</v>
      </c>
      <c r="M1834">
        <v>55.5</v>
      </c>
      <c r="N1834" t="s">
        <v>23</v>
      </c>
      <c r="O1834">
        <v>3</v>
      </c>
      <c r="P1834">
        <v>136.66999999999999</v>
      </c>
      <c r="Q1834">
        <v>148.66999999999999</v>
      </c>
      <c r="R1834" t="s">
        <v>2054</v>
      </c>
    </row>
    <row r="1835" spans="1:18" x14ac:dyDescent="0.25">
      <c r="A1835" t="s">
        <v>1886</v>
      </c>
      <c r="B1835" s="1">
        <v>45931</v>
      </c>
      <c r="C1835" s="1">
        <v>45941</v>
      </c>
      <c r="D1835" t="s">
        <v>18</v>
      </c>
      <c r="E1835" t="s">
        <v>19</v>
      </c>
      <c r="F1835" t="s">
        <v>20</v>
      </c>
      <c r="G1835" t="s">
        <v>35</v>
      </c>
      <c r="H1835" t="s">
        <v>40</v>
      </c>
      <c r="I1835">
        <v>12</v>
      </c>
      <c r="J1835">
        <v>39.24</v>
      </c>
      <c r="K1835">
        <v>12</v>
      </c>
      <c r="L1835">
        <v>232</v>
      </c>
      <c r="M1835">
        <v>31.67</v>
      </c>
      <c r="N1835" t="s">
        <v>63</v>
      </c>
      <c r="O1835">
        <v>10</v>
      </c>
      <c r="P1835">
        <v>470.88</v>
      </c>
      <c r="Q1835">
        <v>482.88</v>
      </c>
      <c r="R1835" t="s">
        <v>2054</v>
      </c>
    </row>
    <row r="1836" spans="1:18" x14ac:dyDescent="0.25">
      <c r="A1836" t="s">
        <v>1887</v>
      </c>
      <c r="B1836" s="1">
        <v>45931</v>
      </c>
      <c r="C1836" s="1">
        <v>45936</v>
      </c>
      <c r="D1836" t="s">
        <v>43</v>
      </c>
      <c r="E1836" t="s">
        <v>44</v>
      </c>
      <c r="F1836" t="s">
        <v>45</v>
      </c>
      <c r="G1836" t="s">
        <v>21</v>
      </c>
      <c r="H1836" t="s">
        <v>32</v>
      </c>
      <c r="I1836">
        <v>1</v>
      </c>
      <c r="J1836">
        <v>1071.99</v>
      </c>
      <c r="K1836">
        <v>25</v>
      </c>
      <c r="L1836">
        <v>92</v>
      </c>
      <c r="M1836">
        <v>362.7</v>
      </c>
      <c r="N1836" t="s">
        <v>23</v>
      </c>
      <c r="O1836">
        <v>5</v>
      </c>
      <c r="P1836">
        <v>1071.99</v>
      </c>
      <c r="Q1836">
        <v>1096.99</v>
      </c>
      <c r="R1836" t="s">
        <v>2054</v>
      </c>
    </row>
    <row r="1837" spans="1:18" x14ac:dyDescent="0.25">
      <c r="A1837" t="s">
        <v>1888</v>
      </c>
      <c r="B1837" s="1">
        <v>45932</v>
      </c>
      <c r="C1837" s="1">
        <v>45940</v>
      </c>
      <c r="D1837" t="s">
        <v>18</v>
      </c>
      <c r="E1837" t="s">
        <v>19</v>
      </c>
      <c r="F1837" t="s">
        <v>20</v>
      </c>
      <c r="G1837" t="s">
        <v>35</v>
      </c>
      <c r="H1837" t="s">
        <v>27</v>
      </c>
      <c r="I1837">
        <v>10</v>
      </c>
      <c r="J1837">
        <v>43.54</v>
      </c>
      <c r="K1837">
        <v>8</v>
      </c>
      <c r="L1837">
        <v>7</v>
      </c>
      <c r="M1837">
        <v>30.83</v>
      </c>
      <c r="N1837" t="s">
        <v>63</v>
      </c>
      <c r="O1837">
        <v>8</v>
      </c>
      <c r="P1837">
        <v>435.4</v>
      </c>
      <c r="Q1837">
        <v>443.4</v>
      </c>
      <c r="R1837" t="s">
        <v>2056</v>
      </c>
    </row>
    <row r="1838" spans="1:18" x14ac:dyDescent="0.25">
      <c r="A1838" t="s">
        <v>1889</v>
      </c>
      <c r="B1838" s="1">
        <v>45933</v>
      </c>
      <c r="C1838" s="1">
        <v>45934</v>
      </c>
      <c r="D1838" t="s">
        <v>75</v>
      </c>
      <c r="E1838" t="s">
        <v>44</v>
      </c>
      <c r="F1838" t="s">
        <v>45</v>
      </c>
      <c r="G1838" t="s">
        <v>21</v>
      </c>
      <c r="H1838" t="s">
        <v>22</v>
      </c>
      <c r="I1838">
        <v>3</v>
      </c>
      <c r="J1838">
        <v>675.15</v>
      </c>
      <c r="K1838">
        <v>25</v>
      </c>
      <c r="L1838">
        <v>302</v>
      </c>
      <c r="M1838">
        <v>696.4</v>
      </c>
      <c r="N1838" t="s">
        <v>23</v>
      </c>
      <c r="O1838">
        <v>1</v>
      </c>
      <c r="P1838">
        <v>2025.4499999999998</v>
      </c>
      <c r="Q1838">
        <v>2050.4499999999998</v>
      </c>
      <c r="R1838" t="s">
        <v>2054</v>
      </c>
    </row>
    <row r="1839" spans="1:18" x14ac:dyDescent="0.25">
      <c r="A1839" t="s">
        <v>1890</v>
      </c>
      <c r="B1839" s="1">
        <v>45933</v>
      </c>
      <c r="C1839" s="1">
        <v>45936</v>
      </c>
      <c r="D1839" t="s">
        <v>54</v>
      </c>
      <c r="E1839" t="s">
        <v>38</v>
      </c>
      <c r="F1839" t="s">
        <v>39</v>
      </c>
      <c r="G1839" t="s">
        <v>21</v>
      </c>
      <c r="H1839" t="s">
        <v>27</v>
      </c>
      <c r="I1839">
        <v>1</v>
      </c>
      <c r="J1839">
        <v>386.07</v>
      </c>
      <c r="K1839">
        <v>75</v>
      </c>
      <c r="L1839">
        <v>121</v>
      </c>
      <c r="M1839">
        <v>39.71</v>
      </c>
      <c r="N1839" t="s">
        <v>23</v>
      </c>
      <c r="O1839">
        <v>3</v>
      </c>
      <c r="P1839">
        <v>386.07</v>
      </c>
      <c r="Q1839">
        <v>461.07</v>
      </c>
      <c r="R1839" t="s">
        <v>2054</v>
      </c>
    </row>
    <row r="1840" spans="1:18" x14ac:dyDescent="0.25">
      <c r="A1840" t="s">
        <v>1891</v>
      </c>
      <c r="B1840" s="1">
        <v>45934</v>
      </c>
      <c r="C1840" s="1">
        <v>45937</v>
      </c>
      <c r="D1840" t="s">
        <v>118</v>
      </c>
      <c r="E1840" t="s">
        <v>79</v>
      </c>
      <c r="F1840" t="s">
        <v>80</v>
      </c>
      <c r="G1840" t="s">
        <v>35</v>
      </c>
      <c r="H1840" t="s">
        <v>40</v>
      </c>
      <c r="I1840">
        <v>5</v>
      </c>
      <c r="J1840">
        <v>141.19</v>
      </c>
      <c r="K1840">
        <v>18</v>
      </c>
      <c r="L1840">
        <v>58</v>
      </c>
      <c r="M1840">
        <v>308.69</v>
      </c>
      <c r="N1840" t="s">
        <v>23</v>
      </c>
      <c r="O1840">
        <v>3</v>
      </c>
      <c r="P1840">
        <v>705.95</v>
      </c>
      <c r="Q1840">
        <v>723.95</v>
      </c>
      <c r="R1840" t="s">
        <v>2054</v>
      </c>
    </row>
    <row r="1841" spans="1:18" x14ac:dyDescent="0.25">
      <c r="A1841" t="s">
        <v>1892</v>
      </c>
      <c r="B1841" s="1">
        <v>45934</v>
      </c>
      <c r="C1841" s="1">
        <v>45936</v>
      </c>
      <c r="D1841" t="s">
        <v>18</v>
      </c>
      <c r="E1841" t="s">
        <v>19</v>
      </c>
      <c r="F1841" t="s">
        <v>20</v>
      </c>
      <c r="G1841" t="s">
        <v>35</v>
      </c>
      <c r="H1841" t="s">
        <v>27</v>
      </c>
      <c r="I1841">
        <v>10</v>
      </c>
      <c r="J1841">
        <v>16.760000000000002</v>
      </c>
      <c r="K1841">
        <v>8</v>
      </c>
      <c r="L1841">
        <v>234</v>
      </c>
      <c r="M1841">
        <v>9.41</v>
      </c>
      <c r="N1841" t="s">
        <v>23</v>
      </c>
      <c r="O1841">
        <v>2</v>
      </c>
      <c r="P1841">
        <v>167.60000000000002</v>
      </c>
      <c r="Q1841">
        <v>175.60000000000002</v>
      </c>
      <c r="R1841" t="s">
        <v>2054</v>
      </c>
    </row>
    <row r="1842" spans="1:18" x14ac:dyDescent="0.25">
      <c r="A1842" t="s">
        <v>1893</v>
      </c>
      <c r="B1842" s="1">
        <v>45934</v>
      </c>
      <c r="C1842" s="1">
        <v>45939</v>
      </c>
      <c r="D1842" t="s">
        <v>50</v>
      </c>
      <c r="E1842" t="s">
        <v>44</v>
      </c>
      <c r="F1842" t="s">
        <v>45</v>
      </c>
      <c r="G1842" t="s">
        <v>21</v>
      </c>
      <c r="H1842" t="s">
        <v>40</v>
      </c>
      <c r="I1842">
        <v>3</v>
      </c>
      <c r="J1842">
        <v>478.73</v>
      </c>
      <c r="K1842">
        <v>37.5</v>
      </c>
      <c r="L1842">
        <v>320</v>
      </c>
      <c r="M1842">
        <v>483.91</v>
      </c>
      <c r="N1842" t="s">
        <v>23</v>
      </c>
      <c r="O1842">
        <v>5</v>
      </c>
      <c r="P1842">
        <v>1436.19</v>
      </c>
      <c r="Q1842">
        <v>1473.69</v>
      </c>
      <c r="R1842" t="s">
        <v>2054</v>
      </c>
    </row>
    <row r="1843" spans="1:18" x14ac:dyDescent="0.25">
      <c r="A1843" t="s">
        <v>1894</v>
      </c>
      <c r="B1843" s="1">
        <v>45935</v>
      </c>
      <c r="C1843" s="1">
        <v>45936</v>
      </c>
      <c r="D1843" t="s">
        <v>78</v>
      </c>
      <c r="E1843" t="s">
        <v>79</v>
      </c>
      <c r="F1843" t="s">
        <v>80</v>
      </c>
      <c r="G1843" t="s">
        <v>26</v>
      </c>
      <c r="H1843" t="s">
        <v>32</v>
      </c>
      <c r="I1843">
        <v>3</v>
      </c>
      <c r="J1843">
        <v>65.19</v>
      </c>
      <c r="K1843">
        <v>12</v>
      </c>
      <c r="L1843">
        <v>131</v>
      </c>
      <c r="M1843">
        <v>82</v>
      </c>
      <c r="N1843" t="s">
        <v>23</v>
      </c>
      <c r="O1843">
        <v>1</v>
      </c>
      <c r="P1843">
        <v>195.57</v>
      </c>
      <c r="Q1843">
        <v>207.57</v>
      </c>
      <c r="R1843" t="s">
        <v>2054</v>
      </c>
    </row>
    <row r="1844" spans="1:18" x14ac:dyDescent="0.25">
      <c r="A1844" t="s">
        <v>1895</v>
      </c>
      <c r="B1844" s="1">
        <v>45935</v>
      </c>
      <c r="C1844" s="1">
        <v>45937</v>
      </c>
      <c r="D1844" t="s">
        <v>34</v>
      </c>
      <c r="E1844" t="s">
        <v>30</v>
      </c>
      <c r="F1844" t="s">
        <v>31</v>
      </c>
      <c r="G1844" t="s">
        <v>21</v>
      </c>
      <c r="H1844" t="s">
        <v>32</v>
      </c>
      <c r="I1844">
        <v>4</v>
      </c>
      <c r="J1844">
        <v>148.52000000000001</v>
      </c>
      <c r="K1844">
        <v>12</v>
      </c>
      <c r="L1844">
        <v>357</v>
      </c>
      <c r="M1844">
        <v>231.64</v>
      </c>
      <c r="N1844" t="s">
        <v>23</v>
      </c>
      <c r="O1844">
        <v>2</v>
      </c>
      <c r="P1844">
        <v>594.08000000000004</v>
      </c>
      <c r="Q1844">
        <v>606.08000000000004</v>
      </c>
      <c r="R1844" t="s">
        <v>2054</v>
      </c>
    </row>
    <row r="1845" spans="1:18" x14ac:dyDescent="0.25">
      <c r="A1845" t="s">
        <v>1896</v>
      </c>
      <c r="B1845" s="1">
        <v>45935</v>
      </c>
      <c r="C1845" s="1">
        <v>45936</v>
      </c>
      <c r="D1845" t="s">
        <v>29</v>
      </c>
      <c r="E1845" t="s">
        <v>30</v>
      </c>
      <c r="F1845" t="s">
        <v>31</v>
      </c>
      <c r="G1845" t="s">
        <v>26</v>
      </c>
      <c r="H1845" t="s">
        <v>22</v>
      </c>
      <c r="I1845">
        <v>1</v>
      </c>
      <c r="J1845">
        <v>148.75</v>
      </c>
      <c r="K1845">
        <v>12</v>
      </c>
      <c r="L1845">
        <v>231</v>
      </c>
      <c r="M1845">
        <v>53.5</v>
      </c>
      <c r="N1845" t="s">
        <v>23</v>
      </c>
      <c r="O1845">
        <v>1</v>
      </c>
      <c r="P1845">
        <v>148.75</v>
      </c>
      <c r="Q1845">
        <v>160.75</v>
      </c>
      <c r="R1845" t="s">
        <v>2054</v>
      </c>
    </row>
    <row r="1846" spans="1:18" x14ac:dyDescent="0.25">
      <c r="A1846" t="s">
        <v>1897</v>
      </c>
      <c r="B1846" s="1">
        <v>45935</v>
      </c>
      <c r="C1846" s="1">
        <v>45939</v>
      </c>
      <c r="D1846" t="s">
        <v>34</v>
      </c>
      <c r="E1846" t="s">
        <v>30</v>
      </c>
      <c r="F1846" t="s">
        <v>31</v>
      </c>
      <c r="G1846" t="s">
        <v>21</v>
      </c>
      <c r="H1846" t="s">
        <v>22</v>
      </c>
      <c r="I1846">
        <v>5</v>
      </c>
      <c r="J1846">
        <v>112.46</v>
      </c>
      <c r="K1846">
        <v>12</v>
      </c>
      <c r="L1846">
        <v>99</v>
      </c>
      <c r="M1846">
        <v>218.92</v>
      </c>
      <c r="N1846" t="s">
        <v>23</v>
      </c>
      <c r="O1846">
        <v>4</v>
      </c>
      <c r="P1846">
        <v>562.29999999999995</v>
      </c>
      <c r="Q1846">
        <v>574.29999999999995</v>
      </c>
      <c r="R1846" t="s">
        <v>2054</v>
      </c>
    </row>
    <row r="1847" spans="1:18" x14ac:dyDescent="0.25">
      <c r="A1847" t="s">
        <v>1898</v>
      </c>
      <c r="B1847" s="1">
        <v>45935</v>
      </c>
      <c r="C1847" s="1">
        <v>45940</v>
      </c>
      <c r="D1847" t="s">
        <v>34</v>
      </c>
      <c r="E1847" t="s">
        <v>30</v>
      </c>
      <c r="F1847" t="s">
        <v>31</v>
      </c>
      <c r="G1847" t="s">
        <v>35</v>
      </c>
      <c r="H1847" t="s">
        <v>32</v>
      </c>
      <c r="I1847">
        <v>3</v>
      </c>
      <c r="J1847">
        <v>83.15</v>
      </c>
      <c r="K1847">
        <v>12</v>
      </c>
      <c r="L1847">
        <v>94</v>
      </c>
      <c r="M1847">
        <v>93.78</v>
      </c>
      <c r="N1847" t="s">
        <v>23</v>
      </c>
      <c r="O1847">
        <v>5</v>
      </c>
      <c r="P1847">
        <v>249.45000000000002</v>
      </c>
      <c r="Q1847">
        <v>261.45000000000005</v>
      </c>
      <c r="R1847" t="s">
        <v>2054</v>
      </c>
    </row>
    <row r="1848" spans="1:18" x14ac:dyDescent="0.25">
      <c r="A1848" t="s">
        <v>1899</v>
      </c>
      <c r="B1848" s="1">
        <v>45936</v>
      </c>
      <c r="C1848" s="1">
        <v>45938</v>
      </c>
      <c r="D1848" t="s">
        <v>75</v>
      </c>
      <c r="E1848" t="s">
        <v>44</v>
      </c>
      <c r="F1848" t="s">
        <v>45</v>
      </c>
      <c r="G1848" t="s">
        <v>26</v>
      </c>
      <c r="H1848" t="s">
        <v>27</v>
      </c>
      <c r="I1848">
        <v>1</v>
      </c>
      <c r="J1848">
        <v>902.55</v>
      </c>
      <c r="K1848">
        <v>25</v>
      </c>
      <c r="L1848">
        <v>236</v>
      </c>
      <c r="M1848">
        <v>303.39</v>
      </c>
      <c r="N1848" t="s">
        <v>23</v>
      </c>
      <c r="O1848">
        <v>2</v>
      </c>
      <c r="P1848">
        <v>902.55</v>
      </c>
      <c r="Q1848">
        <v>927.55</v>
      </c>
      <c r="R1848" t="s">
        <v>2054</v>
      </c>
    </row>
    <row r="1849" spans="1:18" x14ac:dyDescent="0.25">
      <c r="A1849" t="s">
        <v>1900</v>
      </c>
      <c r="B1849" s="1">
        <v>45936</v>
      </c>
      <c r="C1849" s="1">
        <v>45940</v>
      </c>
      <c r="D1849" t="s">
        <v>118</v>
      </c>
      <c r="E1849" t="s">
        <v>79</v>
      </c>
      <c r="F1849" t="s">
        <v>80</v>
      </c>
      <c r="G1849" t="s">
        <v>35</v>
      </c>
      <c r="H1849" t="s">
        <v>22</v>
      </c>
      <c r="I1849">
        <v>3</v>
      </c>
      <c r="J1849">
        <v>149.83000000000001</v>
      </c>
      <c r="K1849">
        <v>12</v>
      </c>
      <c r="L1849">
        <v>251</v>
      </c>
      <c r="M1849">
        <v>196.28</v>
      </c>
      <c r="N1849" t="s">
        <v>23</v>
      </c>
      <c r="O1849">
        <v>4</v>
      </c>
      <c r="P1849">
        <v>449.49</v>
      </c>
      <c r="Q1849">
        <v>461.49</v>
      </c>
      <c r="R1849" t="s">
        <v>2054</v>
      </c>
    </row>
    <row r="1850" spans="1:18" x14ac:dyDescent="0.25">
      <c r="A1850" t="s">
        <v>1901</v>
      </c>
      <c r="B1850" s="1">
        <v>45937</v>
      </c>
      <c r="C1850" s="1">
        <v>45942</v>
      </c>
      <c r="D1850" t="s">
        <v>50</v>
      </c>
      <c r="E1850" t="s">
        <v>44</v>
      </c>
      <c r="F1850" t="s">
        <v>45</v>
      </c>
      <c r="G1850" t="s">
        <v>21</v>
      </c>
      <c r="H1850" t="s">
        <v>22</v>
      </c>
      <c r="I1850">
        <v>3</v>
      </c>
      <c r="J1850">
        <v>541.98</v>
      </c>
      <c r="K1850">
        <v>25</v>
      </c>
      <c r="L1850">
        <v>20</v>
      </c>
      <c r="M1850">
        <v>556.58000000000004</v>
      </c>
      <c r="N1850" t="s">
        <v>23</v>
      </c>
      <c r="O1850">
        <v>5</v>
      </c>
      <c r="P1850">
        <v>1625.94</v>
      </c>
      <c r="Q1850">
        <v>1650.94</v>
      </c>
      <c r="R1850" t="s">
        <v>2056</v>
      </c>
    </row>
    <row r="1851" spans="1:18" x14ac:dyDescent="0.25">
      <c r="A1851" t="s">
        <v>1902</v>
      </c>
      <c r="B1851" s="1">
        <v>45938</v>
      </c>
      <c r="C1851" s="1">
        <v>45953</v>
      </c>
      <c r="D1851" t="s">
        <v>75</v>
      </c>
      <c r="E1851" t="s">
        <v>44</v>
      </c>
      <c r="F1851" t="s">
        <v>45</v>
      </c>
      <c r="G1851" t="s">
        <v>35</v>
      </c>
      <c r="H1851" t="s">
        <v>40</v>
      </c>
      <c r="I1851">
        <v>2</v>
      </c>
      <c r="J1851">
        <v>1038.19</v>
      </c>
      <c r="K1851">
        <v>37.5</v>
      </c>
      <c r="L1851">
        <v>215</v>
      </c>
      <c r="M1851">
        <v>707.98</v>
      </c>
      <c r="N1851" t="s">
        <v>47</v>
      </c>
      <c r="O1851">
        <v>15</v>
      </c>
      <c r="P1851">
        <v>2076.38</v>
      </c>
      <c r="Q1851">
        <v>2113.88</v>
      </c>
      <c r="R1851" t="s">
        <v>2054</v>
      </c>
    </row>
    <row r="1852" spans="1:18" x14ac:dyDescent="0.25">
      <c r="A1852" t="s">
        <v>1903</v>
      </c>
      <c r="B1852" s="1">
        <v>45939</v>
      </c>
      <c r="C1852" s="1">
        <v>45944</v>
      </c>
      <c r="D1852" t="s">
        <v>82</v>
      </c>
      <c r="E1852" t="s">
        <v>79</v>
      </c>
      <c r="F1852" t="s">
        <v>80</v>
      </c>
      <c r="G1852" t="s">
        <v>35</v>
      </c>
      <c r="H1852" t="s">
        <v>40</v>
      </c>
      <c r="I1852">
        <v>2</v>
      </c>
      <c r="J1852">
        <v>123.06</v>
      </c>
      <c r="K1852">
        <v>18</v>
      </c>
      <c r="L1852">
        <v>338</v>
      </c>
      <c r="M1852">
        <v>101.76</v>
      </c>
      <c r="N1852" t="s">
        <v>23</v>
      </c>
      <c r="O1852">
        <v>5</v>
      </c>
      <c r="P1852">
        <v>246.12</v>
      </c>
      <c r="Q1852">
        <v>264.12</v>
      </c>
      <c r="R1852" t="s">
        <v>2054</v>
      </c>
    </row>
    <row r="1853" spans="1:18" x14ac:dyDescent="0.25">
      <c r="A1853" t="s">
        <v>1904</v>
      </c>
      <c r="B1853" s="1">
        <v>45939</v>
      </c>
      <c r="C1853" s="1">
        <v>45941</v>
      </c>
      <c r="D1853" t="s">
        <v>75</v>
      </c>
      <c r="E1853" t="s">
        <v>44</v>
      </c>
      <c r="F1853" t="s">
        <v>45</v>
      </c>
      <c r="G1853" t="s">
        <v>35</v>
      </c>
      <c r="H1853" t="s">
        <v>40</v>
      </c>
      <c r="I1853">
        <v>1</v>
      </c>
      <c r="J1853">
        <v>358.7</v>
      </c>
      <c r="K1853">
        <v>37.5</v>
      </c>
      <c r="L1853">
        <v>86</v>
      </c>
      <c r="M1853">
        <v>106.79</v>
      </c>
      <c r="N1853" t="s">
        <v>23</v>
      </c>
      <c r="O1853">
        <v>2</v>
      </c>
      <c r="P1853">
        <v>358.7</v>
      </c>
      <c r="Q1853">
        <v>396.2</v>
      </c>
      <c r="R1853" t="s">
        <v>2054</v>
      </c>
    </row>
    <row r="1854" spans="1:18" x14ac:dyDescent="0.25">
      <c r="A1854" t="s">
        <v>1905</v>
      </c>
      <c r="B1854" s="1">
        <v>45939</v>
      </c>
      <c r="C1854" s="1">
        <v>45951</v>
      </c>
      <c r="D1854" t="s">
        <v>25</v>
      </c>
      <c r="E1854" t="s">
        <v>19</v>
      </c>
      <c r="F1854" t="s">
        <v>20</v>
      </c>
      <c r="G1854" t="s">
        <v>35</v>
      </c>
      <c r="H1854" t="s">
        <v>22</v>
      </c>
      <c r="I1854">
        <v>8</v>
      </c>
      <c r="J1854">
        <v>23.34</v>
      </c>
      <c r="K1854">
        <v>8</v>
      </c>
      <c r="L1854">
        <v>5</v>
      </c>
      <c r="M1854">
        <v>10.94</v>
      </c>
      <c r="N1854" t="s">
        <v>47</v>
      </c>
      <c r="O1854">
        <v>12</v>
      </c>
      <c r="P1854">
        <v>186.72</v>
      </c>
      <c r="Q1854">
        <v>194.72</v>
      </c>
      <c r="R1854" t="s">
        <v>2056</v>
      </c>
    </row>
    <row r="1855" spans="1:18" x14ac:dyDescent="0.25">
      <c r="A1855" t="s">
        <v>1906</v>
      </c>
      <c r="B1855" s="1">
        <v>45940</v>
      </c>
      <c r="C1855" s="1">
        <v>45950</v>
      </c>
      <c r="D1855" t="s">
        <v>82</v>
      </c>
      <c r="E1855" t="s">
        <v>79</v>
      </c>
      <c r="F1855" t="s">
        <v>80</v>
      </c>
      <c r="G1855" t="s">
        <v>35</v>
      </c>
      <c r="H1855" t="s">
        <v>40</v>
      </c>
      <c r="I1855">
        <v>5</v>
      </c>
      <c r="J1855">
        <v>94.71</v>
      </c>
      <c r="K1855">
        <v>18</v>
      </c>
      <c r="L1855">
        <v>284</v>
      </c>
      <c r="M1855">
        <v>204.1</v>
      </c>
      <c r="N1855" t="s">
        <v>63</v>
      </c>
      <c r="O1855">
        <v>10</v>
      </c>
      <c r="P1855">
        <v>473.54999999999995</v>
      </c>
      <c r="Q1855">
        <v>491.54999999999995</v>
      </c>
      <c r="R1855" t="s">
        <v>2054</v>
      </c>
    </row>
    <row r="1856" spans="1:18" x14ac:dyDescent="0.25">
      <c r="A1856" t="s">
        <v>1907</v>
      </c>
      <c r="B1856" s="1">
        <v>45940</v>
      </c>
      <c r="C1856" s="1">
        <v>45945</v>
      </c>
      <c r="D1856" t="s">
        <v>58</v>
      </c>
      <c r="E1856" t="s">
        <v>19</v>
      </c>
      <c r="F1856" t="s">
        <v>20</v>
      </c>
      <c r="G1856" t="s">
        <v>35</v>
      </c>
      <c r="H1856" t="s">
        <v>32</v>
      </c>
      <c r="I1856">
        <v>8</v>
      </c>
      <c r="J1856">
        <v>29.7</v>
      </c>
      <c r="K1856">
        <v>8</v>
      </c>
      <c r="L1856">
        <v>302</v>
      </c>
      <c r="M1856">
        <v>15.01</v>
      </c>
      <c r="N1856" t="s">
        <v>23</v>
      </c>
      <c r="O1856">
        <v>5</v>
      </c>
      <c r="P1856">
        <v>237.6</v>
      </c>
      <c r="Q1856">
        <v>245.6</v>
      </c>
      <c r="R1856" t="s">
        <v>2054</v>
      </c>
    </row>
    <row r="1857" spans="1:18" x14ac:dyDescent="0.25">
      <c r="A1857" t="s">
        <v>1908</v>
      </c>
      <c r="B1857" s="1">
        <v>45940</v>
      </c>
      <c r="C1857" s="1">
        <v>45945</v>
      </c>
      <c r="D1857" t="s">
        <v>18</v>
      </c>
      <c r="E1857" t="s">
        <v>19</v>
      </c>
      <c r="F1857" t="s">
        <v>20</v>
      </c>
      <c r="G1857" t="s">
        <v>35</v>
      </c>
      <c r="H1857" t="s">
        <v>40</v>
      </c>
      <c r="I1857">
        <v>12</v>
      </c>
      <c r="J1857">
        <v>32.229999999999997</v>
      </c>
      <c r="K1857">
        <v>12</v>
      </c>
      <c r="L1857">
        <v>1</v>
      </c>
      <c r="M1857">
        <v>24.94</v>
      </c>
      <c r="N1857" t="s">
        <v>23</v>
      </c>
      <c r="O1857">
        <v>5</v>
      </c>
      <c r="P1857">
        <v>386.76</v>
      </c>
      <c r="Q1857">
        <v>398.76</v>
      </c>
      <c r="R1857" t="s">
        <v>2056</v>
      </c>
    </row>
    <row r="1858" spans="1:18" x14ac:dyDescent="0.25">
      <c r="A1858" t="s">
        <v>1909</v>
      </c>
      <c r="B1858" s="1">
        <v>45940</v>
      </c>
      <c r="C1858" s="1">
        <v>45953</v>
      </c>
      <c r="D1858" t="s">
        <v>50</v>
      </c>
      <c r="E1858" t="s">
        <v>44</v>
      </c>
      <c r="F1858" t="s">
        <v>45</v>
      </c>
      <c r="G1858" t="s">
        <v>35</v>
      </c>
      <c r="H1858" t="s">
        <v>27</v>
      </c>
      <c r="I1858">
        <v>1</v>
      </c>
      <c r="J1858">
        <v>217.62</v>
      </c>
      <c r="K1858">
        <v>25</v>
      </c>
      <c r="L1858">
        <v>95</v>
      </c>
      <c r="M1858">
        <v>63.67</v>
      </c>
      <c r="N1858" t="s">
        <v>47</v>
      </c>
      <c r="O1858">
        <v>13</v>
      </c>
      <c r="P1858">
        <v>217.62</v>
      </c>
      <c r="Q1858">
        <v>242.62</v>
      </c>
      <c r="R1858" t="s">
        <v>2054</v>
      </c>
    </row>
    <row r="1859" spans="1:18" x14ac:dyDescent="0.25">
      <c r="A1859" t="s">
        <v>1910</v>
      </c>
      <c r="B1859" s="1">
        <v>45941</v>
      </c>
      <c r="C1859" s="1">
        <v>45943</v>
      </c>
      <c r="D1859" t="s">
        <v>50</v>
      </c>
      <c r="E1859" t="s">
        <v>44</v>
      </c>
      <c r="F1859" t="s">
        <v>45</v>
      </c>
      <c r="G1859" t="s">
        <v>35</v>
      </c>
      <c r="H1859" t="s">
        <v>32</v>
      </c>
      <c r="I1859">
        <v>1</v>
      </c>
      <c r="J1859">
        <v>225.04</v>
      </c>
      <c r="K1859">
        <v>25</v>
      </c>
      <c r="L1859">
        <v>222</v>
      </c>
      <c r="M1859">
        <v>66.260000000000005</v>
      </c>
      <c r="N1859" t="s">
        <v>23</v>
      </c>
      <c r="O1859">
        <v>2</v>
      </c>
      <c r="P1859">
        <v>225.04</v>
      </c>
      <c r="Q1859">
        <v>250.04</v>
      </c>
      <c r="R1859" t="s">
        <v>2054</v>
      </c>
    </row>
    <row r="1860" spans="1:18" x14ac:dyDescent="0.25">
      <c r="A1860" t="s">
        <v>1911</v>
      </c>
      <c r="B1860" s="1">
        <v>45941</v>
      </c>
      <c r="C1860" s="1">
        <v>45953</v>
      </c>
      <c r="D1860" t="s">
        <v>118</v>
      </c>
      <c r="E1860" t="s">
        <v>79</v>
      </c>
      <c r="F1860" t="s">
        <v>80</v>
      </c>
      <c r="G1860" t="s">
        <v>35</v>
      </c>
      <c r="H1860" t="s">
        <v>40</v>
      </c>
      <c r="I1860">
        <v>2</v>
      </c>
      <c r="J1860">
        <v>105.17</v>
      </c>
      <c r="K1860">
        <v>18</v>
      </c>
      <c r="L1860">
        <v>221</v>
      </c>
      <c r="M1860">
        <v>85.66</v>
      </c>
      <c r="N1860" t="s">
        <v>47</v>
      </c>
      <c r="O1860">
        <v>12</v>
      </c>
      <c r="P1860">
        <v>210.34</v>
      </c>
      <c r="Q1860">
        <v>228.34</v>
      </c>
      <c r="R1860" t="s">
        <v>2054</v>
      </c>
    </row>
    <row r="1861" spans="1:18" x14ac:dyDescent="0.25">
      <c r="A1861" t="s">
        <v>1912</v>
      </c>
      <c r="B1861" s="1">
        <v>45941</v>
      </c>
      <c r="C1861" s="1">
        <v>45945</v>
      </c>
      <c r="D1861" t="s">
        <v>82</v>
      </c>
      <c r="E1861" t="s">
        <v>79</v>
      </c>
      <c r="F1861" t="s">
        <v>80</v>
      </c>
      <c r="G1861" t="s">
        <v>35</v>
      </c>
      <c r="H1861" t="s">
        <v>40</v>
      </c>
      <c r="I1861">
        <v>5</v>
      </c>
      <c r="J1861">
        <v>73.069999999999993</v>
      </c>
      <c r="K1861">
        <v>18</v>
      </c>
      <c r="L1861">
        <v>79</v>
      </c>
      <c r="M1861">
        <v>155.41</v>
      </c>
      <c r="N1861" t="s">
        <v>23</v>
      </c>
      <c r="O1861">
        <v>4</v>
      </c>
      <c r="P1861">
        <v>365.34999999999997</v>
      </c>
      <c r="Q1861">
        <v>383.34999999999997</v>
      </c>
      <c r="R1861" t="s">
        <v>2054</v>
      </c>
    </row>
    <row r="1862" spans="1:18" x14ac:dyDescent="0.25">
      <c r="A1862" t="s">
        <v>1913</v>
      </c>
      <c r="B1862" s="1">
        <v>45942</v>
      </c>
      <c r="C1862" s="1">
        <v>45943</v>
      </c>
      <c r="D1862" t="s">
        <v>37</v>
      </c>
      <c r="E1862" t="s">
        <v>38</v>
      </c>
      <c r="F1862" t="s">
        <v>39</v>
      </c>
      <c r="G1862" t="s">
        <v>35</v>
      </c>
      <c r="H1862" t="s">
        <v>22</v>
      </c>
      <c r="I1862">
        <v>1</v>
      </c>
      <c r="J1862">
        <v>145.87</v>
      </c>
      <c r="K1862">
        <v>75</v>
      </c>
      <c r="L1862">
        <v>55</v>
      </c>
      <c r="M1862">
        <v>-8.33</v>
      </c>
      <c r="N1862" t="s">
        <v>23</v>
      </c>
      <c r="O1862">
        <v>1</v>
      </c>
      <c r="P1862">
        <v>145.87</v>
      </c>
      <c r="Q1862">
        <v>220.87</v>
      </c>
      <c r="R1862" t="s">
        <v>2054</v>
      </c>
    </row>
    <row r="1863" spans="1:18" x14ac:dyDescent="0.25">
      <c r="A1863" t="s">
        <v>1914</v>
      </c>
      <c r="B1863" s="1">
        <v>45942</v>
      </c>
      <c r="C1863" s="1">
        <v>45945</v>
      </c>
      <c r="D1863" t="s">
        <v>37</v>
      </c>
      <c r="E1863" t="s">
        <v>38</v>
      </c>
      <c r="F1863" t="s">
        <v>39</v>
      </c>
      <c r="G1863" t="s">
        <v>26</v>
      </c>
      <c r="H1863" t="s">
        <v>22</v>
      </c>
      <c r="I1863">
        <v>1</v>
      </c>
      <c r="J1863">
        <v>282.52</v>
      </c>
      <c r="K1863">
        <v>75</v>
      </c>
      <c r="L1863">
        <v>371</v>
      </c>
      <c r="M1863">
        <v>19</v>
      </c>
      <c r="N1863" t="s">
        <v>23</v>
      </c>
      <c r="O1863">
        <v>3</v>
      </c>
      <c r="P1863">
        <v>282.52</v>
      </c>
      <c r="Q1863">
        <v>357.52</v>
      </c>
      <c r="R1863" t="s">
        <v>2054</v>
      </c>
    </row>
    <row r="1864" spans="1:18" x14ac:dyDescent="0.25">
      <c r="A1864" t="s">
        <v>1915</v>
      </c>
      <c r="B1864" s="1">
        <v>45943</v>
      </c>
      <c r="C1864" s="1">
        <v>45946</v>
      </c>
      <c r="D1864" t="s">
        <v>50</v>
      </c>
      <c r="E1864" t="s">
        <v>44</v>
      </c>
      <c r="F1864" t="s">
        <v>45</v>
      </c>
      <c r="G1864" t="s">
        <v>35</v>
      </c>
      <c r="H1864" t="s">
        <v>40</v>
      </c>
      <c r="I1864">
        <v>2</v>
      </c>
      <c r="J1864">
        <v>406.02</v>
      </c>
      <c r="K1864">
        <v>37.5</v>
      </c>
      <c r="L1864">
        <v>277</v>
      </c>
      <c r="M1864">
        <v>265.45999999999998</v>
      </c>
      <c r="N1864" t="s">
        <v>23</v>
      </c>
      <c r="O1864">
        <v>3</v>
      </c>
      <c r="P1864">
        <v>812.04</v>
      </c>
      <c r="Q1864">
        <v>849.54</v>
      </c>
      <c r="R1864" t="s">
        <v>2054</v>
      </c>
    </row>
    <row r="1865" spans="1:18" x14ac:dyDescent="0.25">
      <c r="A1865" t="s">
        <v>1916</v>
      </c>
      <c r="B1865" s="1">
        <v>45943</v>
      </c>
      <c r="C1865" s="1">
        <v>45945</v>
      </c>
      <c r="D1865" t="s">
        <v>56</v>
      </c>
      <c r="E1865" t="s">
        <v>38</v>
      </c>
      <c r="F1865" t="s">
        <v>39</v>
      </c>
      <c r="G1865" t="s">
        <v>21</v>
      </c>
      <c r="H1865" t="s">
        <v>22</v>
      </c>
      <c r="I1865">
        <v>1</v>
      </c>
      <c r="J1865">
        <v>436.91</v>
      </c>
      <c r="K1865">
        <v>75</v>
      </c>
      <c r="L1865">
        <v>105</v>
      </c>
      <c r="M1865">
        <v>49.88</v>
      </c>
      <c r="N1865" t="s">
        <v>23</v>
      </c>
      <c r="O1865">
        <v>2</v>
      </c>
      <c r="P1865">
        <v>436.91</v>
      </c>
      <c r="Q1865">
        <v>511.91</v>
      </c>
      <c r="R1865" t="s">
        <v>2054</v>
      </c>
    </row>
    <row r="1866" spans="1:18" x14ac:dyDescent="0.25">
      <c r="A1866" t="s">
        <v>1917</v>
      </c>
      <c r="B1866" s="1">
        <v>45943</v>
      </c>
      <c r="C1866" s="1">
        <v>45952</v>
      </c>
      <c r="D1866" t="s">
        <v>118</v>
      </c>
      <c r="E1866" t="s">
        <v>79</v>
      </c>
      <c r="F1866" t="s">
        <v>80</v>
      </c>
      <c r="G1866" t="s">
        <v>35</v>
      </c>
      <c r="H1866" t="s">
        <v>40</v>
      </c>
      <c r="I1866">
        <v>4</v>
      </c>
      <c r="J1866">
        <v>111.06</v>
      </c>
      <c r="K1866">
        <v>18</v>
      </c>
      <c r="L1866">
        <v>298</v>
      </c>
      <c r="M1866">
        <v>190.91</v>
      </c>
      <c r="N1866" t="s">
        <v>63</v>
      </c>
      <c r="O1866">
        <v>9</v>
      </c>
      <c r="P1866">
        <v>444.24</v>
      </c>
      <c r="Q1866">
        <v>462.24</v>
      </c>
      <c r="R1866" t="s">
        <v>2054</v>
      </c>
    </row>
    <row r="1867" spans="1:18" x14ac:dyDescent="0.25">
      <c r="A1867" t="s">
        <v>1918</v>
      </c>
      <c r="B1867" s="1">
        <v>45943</v>
      </c>
      <c r="C1867" s="1">
        <v>45945</v>
      </c>
      <c r="D1867" t="s">
        <v>18</v>
      </c>
      <c r="E1867" t="s">
        <v>19</v>
      </c>
      <c r="F1867" t="s">
        <v>20</v>
      </c>
      <c r="G1867" t="s">
        <v>21</v>
      </c>
      <c r="H1867" t="s">
        <v>32</v>
      </c>
      <c r="I1867">
        <v>14</v>
      </c>
      <c r="J1867">
        <v>35.590000000000003</v>
      </c>
      <c r="K1867">
        <v>8</v>
      </c>
      <c r="L1867">
        <v>8</v>
      </c>
      <c r="M1867">
        <v>35.86</v>
      </c>
      <c r="N1867" t="s">
        <v>23</v>
      </c>
      <c r="O1867">
        <v>2</v>
      </c>
      <c r="P1867">
        <v>498.26000000000005</v>
      </c>
      <c r="Q1867">
        <v>506.26000000000005</v>
      </c>
      <c r="R1867" t="s">
        <v>2056</v>
      </c>
    </row>
    <row r="1868" spans="1:18" x14ac:dyDescent="0.25">
      <c r="A1868" t="s">
        <v>1919</v>
      </c>
      <c r="B1868" s="1">
        <v>45944</v>
      </c>
      <c r="C1868" s="1">
        <v>45947</v>
      </c>
      <c r="D1868" t="s">
        <v>78</v>
      </c>
      <c r="E1868" t="s">
        <v>79</v>
      </c>
      <c r="F1868" t="s">
        <v>80</v>
      </c>
      <c r="G1868" t="s">
        <v>35</v>
      </c>
      <c r="H1868" t="s">
        <v>40</v>
      </c>
      <c r="I1868">
        <v>5</v>
      </c>
      <c r="J1868">
        <v>45.03</v>
      </c>
      <c r="K1868">
        <v>18</v>
      </c>
      <c r="L1868">
        <v>248</v>
      </c>
      <c r="M1868">
        <v>92.31</v>
      </c>
      <c r="N1868" t="s">
        <v>23</v>
      </c>
      <c r="O1868">
        <v>3</v>
      </c>
      <c r="P1868">
        <v>225.15</v>
      </c>
      <c r="Q1868">
        <v>243.15</v>
      </c>
      <c r="R1868" t="s">
        <v>2054</v>
      </c>
    </row>
    <row r="1869" spans="1:18" x14ac:dyDescent="0.25">
      <c r="A1869" t="s">
        <v>1920</v>
      </c>
      <c r="B1869" s="1">
        <v>45946</v>
      </c>
      <c r="C1869" s="1">
        <v>45950</v>
      </c>
      <c r="D1869" t="s">
        <v>37</v>
      </c>
      <c r="E1869" t="s">
        <v>38</v>
      </c>
      <c r="F1869" t="s">
        <v>39</v>
      </c>
      <c r="G1869" t="s">
        <v>26</v>
      </c>
      <c r="H1869" t="s">
        <v>32</v>
      </c>
      <c r="I1869">
        <v>1</v>
      </c>
      <c r="J1869">
        <v>361.94</v>
      </c>
      <c r="K1869">
        <v>75</v>
      </c>
      <c r="L1869">
        <v>303</v>
      </c>
      <c r="M1869">
        <v>34.89</v>
      </c>
      <c r="N1869" t="s">
        <v>23</v>
      </c>
      <c r="O1869">
        <v>4</v>
      </c>
      <c r="P1869">
        <v>361.94</v>
      </c>
      <c r="Q1869">
        <v>436.94</v>
      </c>
      <c r="R1869" t="s">
        <v>2054</v>
      </c>
    </row>
    <row r="1870" spans="1:18" x14ac:dyDescent="0.25">
      <c r="A1870" t="s">
        <v>1921</v>
      </c>
      <c r="B1870" s="1">
        <v>45946</v>
      </c>
      <c r="C1870" s="1">
        <v>45948</v>
      </c>
      <c r="D1870" t="s">
        <v>58</v>
      </c>
      <c r="E1870" t="s">
        <v>19</v>
      </c>
      <c r="F1870" t="s">
        <v>20</v>
      </c>
      <c r="G1870" t="s">
        <v>35</v>
      </c>
      <c r="H1870" t="s">
        <v>40</v>
      </c>
      <c r="I1870">
        <v>11</v>
      </c>
      <c r="J1870">
        <v>20.27</v>
      </c>
      <c r="K1870">
        <v>12</v>
      </c>
      <c r="L1870">
        <v>176</v>
      </c>
      <c r="M1870">
        <v>11.84</v>
      </c>
      <c r="N1870" t="s">
        <v>23</v>
      </c>
      <c r="O1870">
        <v>2</v>
      </c>
      <c r="P1870">
        <v>222.97</v>
      </c>
      <c r="Q1870">
        <v>234.97</v>
      </c>
      <c r="R1870" t="s">
        <v>2054</v>
      </c>
    </row>
    <row r="1871" spans="1:18" x14ac:dyDescent="0.25">
      <c r="A1871" t="s">
        <v>1922</v>
      </c>
      <c r="B1871" s="1">
        <v>45946</v>
      </c>
      <c r="C1871" s="1">
        <v>45947</v>
      </c>
      <c r="D1871" t="s">
        <v>118</v>
      </c>
      <c r="E1871" t="s">
        <v>79</v>
      </c>
      <c r="F1871" t="s">
        <v>80</v>
      </c>
      <c r="G1871" t="s">
        <v>21</v>
      </c>
      <c r="H1871" t="s">
        <v>27</v>
      </c>
      <c r="I1871">
        <v>2</v>
      </c>
      <c r="J1871">
        <v>134.66999999999999</v>
      </c>
      <c r="K1871">
        <v>12</v>
      </c>
      <c r="L1871">
        <v>160</v>
      </c>
      <c r="M1871">
        <v>115.21</v>
      </c>
      <c r="N1871" t="s">
        <v>23</v>
      </c>
      <c r="O1871">
        <v>1</v>
      </c>
      <c r="P1871">
        <v>269.33999999999997</v>
      </c>
      <c r="Q1871">
        <v>281.33999999999997</v>
      </c>
      <c r="R1871" t="s">
        <v>2054</v>
      </c>
    </row>
    <row r="1872" spans="1:18" x14ac:dyDescent="0.25">
      <c r="A1872" t="s">
        <v>1923</v>
      </c>
      <c r="B1872" s="1">
        <v>45947</v>
      </c>
      <c r="C1872" s="1">
        <v>45961</v>
      </c>
      <c r="D1872" t="s">
        <v>29</v>
      </c>
      <c r="E1872" t="s">
        <v>30</v>
      </c>
      <c r="F1872" t="s">
        <v>31</v>
      </c>
      <c r="G1872" t="s">
        <v>35</v>
      </c>
      <c r="H1872" t="s">
        <v>27</v>
      </c>
      <c r="I1872">
        <v>5</v>
      </c>
      <c r="J1872">
        <v>41.92</v>
      </c>
      <c r="K1872">
        <v>12</v>
      </c>
      <c r="L1872">
        <v>298</v>
      </c>
      <c r="M1872">
        <v>77.84</v>
      </c>
      <c r="N1872" t="s">
        <v>47</v>
      </c>
      <c r="O1872">
        <v>14</v>
      </c>
      <c r="P1872">
        <v>209.60000000000002</v>
      </c>
      <c r="Q1872">
        <v>221.60000000000002</v>
      </c>
      <c r="R1872" t="s">
        <v>2054</v>
      </c>
    </row>
    <row r="1873" spans="1:18" x14ac:dyDescent="0.25">
      <c r="A1873" t="s">
        <v>1924</v>
      </c>
      <c r="B1873" s="1">
        <v>45947</v>
      </c>
      <c r="C1873" s="1">
        <v>45950</v>
      </c>
      <c r="D1873" t="s">
        <v>37</v>
      </c>
      <c r="E1873" t="s">
        <v>38</v>
      </c>
      <c r="F1873" t="s">
        <v>39</v>
      </c>
      <c r="G1873" t="s">
        <v>26</v>
      </c>
      <c r="H1873" t="s">
        <v>32</v>
      </c>
      <c r="I1873">
        <v>1</v>
      </c>
      <c r="J1873">
        <v>476.38</v>
      </c>
      <c r="K1873">
        <v>75</v>
      </c>
      <c r="L1873">
        <v>374</v>
      </c>
      <c r="M1873">
        <v>57.78</v>
      </c>
      <c r="N1873" t="s">
        <v>23</v>
      </c>
      <c r="O1873">
        <v>3</v>
      </c>
      <c r="P1873">
        <v>476.38</v>
      </c>
      <c r="Q1873">
        <v>551.38</v>
      </c>
      <c r="R1873" t="s">
        <v>2054</v>
      </c>
    </row>
    <row r="1874" spans="1:18" x14ac:dyDescent="0.25">
      <c r="A1874" t="s">
        <v>1925</v>
      </c>
      <c r="B1874" s="1">
        <v>45947</v>
      </c>
      <c r="C1874" s="1">
        <v>45955</v>
      </c>
      <c r="D1874" t="s">
        <v>37</v>
      </c>
      <c r="E1874" t="s">
        <v>38</v>
      </c>
      <c r="F1874" t="s">
        <v>39</v>
      </c>
      <c r="G1874" t="s">
        <v>35</v>
      </c>
      <c r="H1874" t="s">
        <v>40</v>
      </c>
      <c r="I1874">
        <v>1</v>
      </c>
      <c r="J1874">
        <v>258.20999999999998</v>
      </c>
      <c r="K1874">
        <v>112.5</v>
      </c>
      <c r="L1874">
        <v>155</v>
      </c>
      <c r="M1874">
        <v>-4.6100000000000003</v>
      </c>
      <c r="N1874" t="s">
        <v>63</v>
      </c>
      <c r="O1874">
        <v>8</v>
      </c>
      <c r="P1874">
        <v>258.20999999999998</v>
      </c>
      <c r="Q1874">
        <v>370.71</v>
      </c>
      <c r="R1874" t="s">
        <v>2054</v>
      </c>
    </row>
    <row r="1875" spans="1:18" x14ac:dyDescent="0.25">
      <c r="A1875" t="s">
        <v>1926</v>
      </c>
      <c r="B1875" s="1">
        <v>45948</v>
      </c>
      <c r="C1875" s="1">
        <v>45953</v>
      </c>
      <c r="D1875" t="s">
        <v>72</v>
      </c>
      <c r="E1875" t="s">
        <v>44</v>
      </c>
      <c r="F1875" t="s">
        <v>45</v>
      </c>
      <c r="G1875" t="s">
        <v>21</v>
      </c>
      <c r="H1875" t="s">
        <v>32</v>
      </c>
      <c r="I1875">
        <v>3</v>
      </c>
      <c r="J1875">
        <v>856.47</v>
      </c>
      <c r="K1875">
        <v>25</v>
      </c>
      <c r="L1875">
        <v>241</v>
      </c>
      <c r="M1875">
        <v>886.79</v>
      </c>
      <c r="N1875" t="s">
        <v>23</v>
      </c>
      <c r="O1875">
        <v>5</v>
      </c>
      <c r="P1875">
        <v>2569.41</v>
      </c>
      <c r="Q1875">
        <v>2594.41</v>
      </c>
      <c r="R1875" t="s">
        <v>2054</v>
      </c>
    </row>
    <row r="1876" spans="1:18" x14ac:dyDescent="0.25">
      <c r="A1876" t="s">
        <v>1927</v>
      </c>
      <c r="B1876" s="1">
        <v>45948</v>
      </c>
      <c r="C1876" s="1">
        <v>45949</v>
      </c>
      <c r="D1876" t="s">
        <v>75</v>
      </c>
      <c r="E1876" t="s">
        <v>44</v>
      </c>
      <c r="F1876" t="s">
        <v>45</v>
      </c>
      <c r="G1876" t="s">
        <v>35</v>
      </c>
      <c r="H1876" t="s">
        <v>27</v>
      </c>
      <c r="I1876">
        <v>3</v>
      </c>
      <c r="J1876">
        <v>298.02</v>
      </c>
      <c r="K1876">
        <v>25</v>
      </c>
      <c r="L1876">
        <v>257</v>
      </c>
      <c r="M1876">
        <v>300.42</v>
      </c>
      <c r="N1876" t="s">
        <v>23</v>
      </c>
      <c r="O1876">
        <v>1</v>
      </c>
      <c r="P1876">
        <v>894.06</v>
      </c>
      <c r="Q1876">
        <v>919.06</v>
      </c>
      <c r="R1876" t="s">
        <v>2054</v>
      </c>
    </row>
    <row r="1877" spans="1:18" x14ac:dyDescent="0.25">
      <c r="A1877" t="s">
        <v>1928</v>
      </c>
      <c r="B1877" s="1">
        <v>45948</v>
      </c>
      <c r="C1877" s="1">
        <v>45949</v>
      </c>
      <c r="D1877" t="s">
        <v>82</v>
      </c>
      <c r="E1877" t="s">
        <v>79</v>
      </c>
      <c r="F1877" t="s">
        <v>80</v>
      </c>
      <c r="G1877" t="s">
        <v>21</v>
      </c>
      <c r="H1877" t="s">
        <v>40</v>
      </c>
      <c r="I1877">
        <v>2</v>
      </c>
      <c r="J1877">
        <v>89.09</v>
      </c>
      <c r="K1877">
        <v>18</v>
      </c>
      <c r="L1877">
        <v>279</v>
      </c>
      <c r="M1877">
        <v>71.180000000000007</v>
      </c>
      <c r="N1877" t="s">
        <v>23</v>
      </c>
      <c r="O1877">
        <v>1</v>
      </c>
      <c r="P1877">
        <v>178.18</v>
      </c>
      <c r="Q1877">
        <v>196.18</v>
      </c>
      <c r="R1877" t="s">
        <v>2054</v>
      </c>
    </row>
    <row r="1878" spans="1:18" x14ac:dyDescent="0.25">
      <c r="A1878" t="s">
        <v>1929</v>
      </c>
      <c r="B1878" s="1">
        <v>45949</v>
      </c>
      <c r="C1878" s="1">
        <v>45950</v>
      </c>
      <c r="D1878" t="s">
        <v>18</v>
      </c>
      <c r="E1878" t="s">
        <v>19</v>
      </c>
      <c r="F1878" t="s">
        <v>20</v>
      </c>
      <c r="G1878" t="s">
        <v>21</v>
      </c>
      <c r="H1878" t="s">
        <v>40</v>
      </c>
      <c r="I1878">
        <v>11</v>
      </c>
      <c r="J1878">
        <v>13.06</v>
      </c>
      <c r="K1878">
        <v>12</v>
      </c>
      <c r="L1878">
        <v>319</v>
      </c>
      <c r="M1878">
        <v>-21.56</v>
      </c>
      <c r="N1878" t="s">
        <v>23</v>
      </c>
      <c r="O1878">
        <v>1</v>
      </c>
      <c r="P1878">
        <v>143.66</v>
      </c>
      <c r="Q1878">
        <v>155.66</v>
      </c>
      <c r="R1878" t="s">
        <v>2054</v>
      </c>
    </row>
    <row r="1879" spans="1:18" x14ac:dyDescent="0.25">
      <c r="A1879" t="s">
        <v>1930</v>
      </c>
      <c r="B1879" s="1">
        <v>45951</v>
      </c>
      <c r="C1879" s="1">
        <v>45960</v>
      </c>
      <c r="D1879" t="s">
        <v>37</v>
      </c>
      <c r="E1879" t="s">
        <v>38</v>
      </c>
      <c r="F1879" t="s">
        <v>39</v>
      </c>
      <c r="G1879" t="s">
        <v>35</v>
      </c>
      <c r="H1879" t="s">
        <v>22</v>
      </c>
      <c r="I1879">
        <v>2</v>
      </c>
      <c r="J1879">
        <v>436.97</v>
      </c>
      <c r="K1879">
        <v>75</v>
      </c>
      <c r="L1879">
        <v>111</v>
      </c>
      <c r="M1879">
        <v>137.29</v>
      </c>
      <c r="N1879" t="s">
        <v>63</v>
      </c>
      <c r="O1879">
        <v>9</v>
      </c>
      <c r="P1879">
        <v>873.94</v>
      </c>
      <c r="Q1879">
        <v>948.94</v>
      </c>
      <c r="R1879" t="s">
        <v>2054</v>
      </c>
    </row>
    <row r="1880" spans="1:18" x14ac:dyDescent="0.25">
      <c r="A1880" t="s">
        <v>1931</v>
      </c>
      <c r="B1880" s="1">
        <v>45951</v>
      </c>
      <c r="C1880" s="1">
        <v>45959</v>
      </c>
      <c r="D1880" t="s">
        <v>18</v>
      </c>
      <c r="E1880" t="s">
        <v>19</v>
      </c>
      <c r="F1880" t="s">
        <v>20</v>
      </c>
      <c r="G1880" t="s">
        <v>35</v>
      </c>
      <c r="H1880" t="s">
        <v>40</v>
      </c>
      <c r="I1880">
        <v>11</v>
      </c>
      <c r="J1880">
        <v>28.08</v>
      </c>
      <c r="K1880">
        <v>12</v>
      </c>
      <c r="L1880">
        <v>8</v>
      </c>
      <c r="M1880">
        <v>18.71</v>
      </c>
      <c r="N1880" t="s">
        <v>63</v>
      </c>
      <c r="O1880">
        <v>8</v>
      </c>
      <c r="P1880">
        <v>308.88</v>
      </c>
      <c r="Q1880">
        <v>320.88</v>
      </c>
      <c r="R1880" t="s">
        <v>2056</v>
      </c>
    </row>
    <row r="1881" spans="1:18" x14ac:dyDescent="0.25">
      <c r="A1881" t="s">
        <v>1932</v>
      </c>
      <c r="B1881" s="1">
        <v>45951</v>
      </c>
      <c r="C1881" s="1">
        <v>45954</v>
      </c>
      <c r="D1881" t="s">
        <v>72</v>
      </c>
      <c r="E1881" t="s">
        <v>44</v>
      </c>
      <c r="F1881" t="s">
        <v>45</v>
      </c>
      <c r="G1881" t="s">
        <v>21</v>
      </c>
      <c r="H1881" t="s">
        <v>27</v>
      </c>
      <c r="I1881">
        <v>2</v>
      </c>
      <c r="J1881">
        <v>938.55</v>
      </c>
      <c r="K1881">
        <v>25</v>
      </c>
      <c r="L1881">
        <v>307</v>
      </c>
      <c r="M1881">
        <v>644.48</v>
      </c>
      <c r="N1881" t="s">
        <v>23</v>
      </c>
      <c r="O1881">
        <v>3</v>
      </c>
      <c r="P1881">
        <v>1877.1</v>
      </c>
      <c r="Q1881">
        <v>1902.1</v>
      </c>
      <c r="R1881" t="s">
        <v>2054</v>
      </c>
    </row>
    <row r="1882" spans="1:18" x14ac:dyDescent="0.25">
      <c r="A1882" t="s">
        <v>1933</v>
      </c>
      <c r="B1882" s="1">
        <v>45951</v>
      </c>
      <c r="C1882" s="1">
        <v>45955</v>
      </c>
      <c r="D1882" t="s">
        <v>56</v>
      </c>
      <c r="E1882" t="s">
        <v>38</v>
      </c>
      <c r="F1882" t="s">
        <v>39</v>
      </c>
      <c r="G1882" t="s">
        <v>35</v>
      </c>
      <c r="H1882" t="s">
        <v>40</v>
      </c>
      <c r="I1882">
        <v>1</v>
      </c>
      <c r="J1882">
        <v>448.37</v>
      </c>
      <c r="K1882">
        <v>112.5</v>
      </c>
      <c r="L1882">
        <v>117</v>
      </c>
      <c r="M1882">
        <v>33.42</v>
      </c>
      <c r="N1882" t="s">
        <v>23</v>
      </c>
      <c r="O1882">
        <v>4</v>
      </c>
      <c r="P1882">
        <v>448.37</v>
      </c>
      <c r="Q1882">
        <v>560.87</v>
      </c>
      <c r="R1882" t="s">
        <v>2054</v>
      </c>
    </row>
    <row r="1883" spans="1:18" x14ac:dyDescent="0.25">
      <c r="A1883" t="s">
        <v>1934</v>
      </c>
      <c r="B1883" s="1">
        <v>45952</v>
      </c>
      <c r="C1883" s="1">
        <v>45956</v>
      </c>
      <c r="D1883" t="s">
        <v>118</v>
      </c>
      <c r="E1883" t="s">
        <v>79</v>
      </c>
      <c r="F1883" t="s">
        <v>80</v>
      </c>
      <c r="G1883" t="s">
        <v>35</v>
      </c>
      <c r="H1883" t="s">
        <v>40</v>
      </c>
      <c r="I1883">
        <v>5</v>
      </c>
      <c r="J1883">
        <v>97.33</v>
      </c>
      <c r="K1883">
        <v>18</v>
      </c>
      <c r="L1883">
        <v>140</v>
      </c>
      <c r="M1883">
        <v>-73</v>
      </c>
      <c r="N1883" t="s">
        <v>23</v>
      </c>
      <c r="O1883">
        <v>4</v>
      </c>
      <c r="P1883">
        <v>486.65</v>
      </c>
      <c r="Q1883">
        <v>504.65</v>
      </c>
      <c r="R1883" t="s">
        <v>2054</v>
      </c>
    </row>
    <row r="1884" spans="1:18" x14ac:dyDescent="0.25">
      <c r="A1884" t="s">
        <v>1935</v>
      </c>
      <c r="B1884" s="1">
        <v>45953</v>
      </c>
      <c r="C1884" s="1">
        <v>45956</v>
      </c>
      <c r="D1884" t="s">
        <v>54</v>
      </c>
      <c r="E1884" t="s">
        <v>38</v>
      </c>
      <c r="F1884" t="s">
        <v>39</v>
      </c>
      <c r="G1884" t="s">
        <v>21</v>
      </c>
      <c r="H1884" t="s">
        <v>40</v>
      </c>
      <c r="I1884">
        <v>2</v>
      </c>
      <c r="J1884">
        <v>259.36</v>
      </c>
      <c r="K1884">
        <v>112.5</v>
      </c>
      <c r="L1884">
        <v>193</v>
      </c>
      <c r="M1884">
        <v>47.49</v>
      </c>
      <c r="N1884" t="s">
        <v>23</v>
      </c>
      <c r="O1884">
        <v>3</v>
      </c>
      <c r="P1884">
        <v>518.72</v>
      </c>
      <c r="Q1884">
        <v>631.22</v>
      </c>
      <c r="R1884" t="s">
        <v>2054</v>
      </c>
    </row>
    <row r="1885" spans="1:18" x14ac:dyDescent="0.25">
      <c r="A1885" t="s">
        <v>1936</v>
      </c>
      <c r="B1885" s="1">
        <v>45953</v>
      </c>
      <c r="C1885" s="1">
        <v>45967</v>
      </c>
      <c r="D1885" t="s">
        <v>29</v>
      </c>
      <c r="E1885" t="s">
        <v>30</v>
      </c>
      <c r="F1885" t="s">
        <v>31</v>
      </c>
      <c r="G1885" t="s">
        <v>35</v>
      </c>
      <c r="H1885" t="s">
        <v>40</v>
      </c>
      <c r="I1885">
        <v>1</v>
      </c>
      <c r="J1885">
        <v>88.35</v>
      </c>
      <c r="K1885">
        <v>18</v>
      </c>
      <c r="L1885">
        <v>286</v>
      </c>
      <c r="M1885">
        <v>26.34</v>
      </c>
      <c r="N1885" t="s">
        <v>47</v>
      </c>
      <c r="O1885">
        <v>14</v>
      </c>
      <c r="P1885">
        <v>88.35</v>
      </c>
      <c r="Q1885">
        <v>106.35</v>
      </c>
      <c r="R1885" t="s">
        <v>2054</v>
      </c>
    </row>
    <row r="1886" spans="1:18" x14ac:dyDescent="0.25">
      <c r="A1886" t="s">
        <v>1937</v>
      </c>
      <c r="B1886" s="1">
        <v>45955</v>
      </c>
      <c r="C1886" s="1">
        <v>45958</v>
      </c>
      <c r="D1886" t="s">
        <v>56</v>
      </c>
      <c r="E1886" t="s">
        <v>38</v>
      </c>
      <c r="F1886" t="s">
        <v>39</v>
      </c>
      <c r="G1886" t="s">
        <v>21</v>
      </c>
      <c r="H1886" t="s">
        <v>27</v>
      </c>
      <c r="I1886">
        <v>1</v>
      </c>
      <c r="J1886">
        <v>376.39</v>
      </c>
      <c r="K1886">
        <v>75</v>
      </c>
      <c r="L1886">
        <v>365</v>
      </c>
      <c r="M1886">
        <v>37.78</v>
      </c>
      <c r="N1886" t="s">
        <v>23</v>
      </c>
      <c r="O1886">
        <v>3</v>
      </c>
      <c r="P1886">
        <v>376.39</v>
      </c>
      <c r="Q1886">
        <v>451.39</v>
      </c>
      <c r="R1886" t="s">
        <v>2054</v>
      </c>
    </row>
    <row r="1887" spans="1:18" x14ac:dyDescent="0.25">
      <c r="A1887" t="s">
        <v>1938</v>
      </c>
      <c r="B1887" s="1">
        <v>45955</v>
      </c>
      <c r="C1887" s="1">
        <v>45957</v>
      </c>
      <c r="D1887" t="s">
        <v>25</v>
      </c>
      <c r="E1887" t="s">
        <v>19</v>
      </c>
      <c r="F1887" t="s">
        <v>20</v>
      </c>
      <c r="G1887" t="s">
        <v>21</v>
      </c>
      <c r="H1887" t="s">
        <v>22</v>
      </c>
      <c r="I1887">
        <v>8</v>
      </c>
      <c r="J1887">
        <v>20.12</v>
      </c>
      <c r="K1887">
        <v>8</v>
      </c>
      <c r="L1887">
        <v>240</v>
      </c>
      <c r="M1887">
        <v>8.8800000000000008</v>
      </c>
      <c r="N1887" t="s">
        <v>23</v>
      </c>
      <c r="O1887">
        <v>2</v>
      </c>
      <c r="P1887">
        <v>160.96</v>
      </c>
      <c r="Q1887">
        <v>168.96</v>
      </c>
      <c r="R1887" t="s">
        <v>2054</v>
      </c>
    </row>
    <row r="1888" spans="1:18" x14ac:dyDescent="0.25">
      <c r="A1888" t="s">
        <v>1939</v>
      </c>
      <c r="B1888" s="1">
        <v>45955</v>
      </c>
      <c r="C1888" s="1">
        <v>45958</v>
      </c>
      <c r="D1888" t="s">
        <v>72</v>
      </c>
      <c r="E1888" t="s">
        <v>44</v>
      </c>
      <c r="F1888" t="s">
        <v>45</v>
      </c>
      <c r="G1888" t="s">
        <v>35</v>
      </c>
      <c r="H1888" t="s">
        <v>27</v>
      </c>
      <c r="I1888">
        <v>1</v>
      </c>
      <c r="J1888">
        <v>1156.5899999999999</v>
      </c>
      <c r="K1888">
        <v>25</v>
      </c>
      <c r="L1888">
        <v>379</v>
      </c>
      <c r="M1888">
        <v>392.31</v>
      </c>
      <c r="N1888" t="s">
        <v>23</v>
      </c>
      <c r="O1888">
        <v>3</v>
      </c>
      <c r="P1888">
        <v>1156.5899999999999</v>
      </c>
      <c r="Q1888">
        <v>1181.5899999999999</v>
      </c>
      <c r="R1888" t="s">
        <v>2054</v>
      </c>
    </row>
    <row r="1889" spans="1:18" x14ac:dyDescent="0.25">
      <c r="A1889" t="s">
        <v>1940</v>
      </c>
      <c r="B1889" s="1">
        <v>45957</v>
      </c>
      <c r="C1889" s="1">
        <v>45961</v>
      </c>
      <c r="D1889" t="s">
        <v>75</v>
      </c>
      <c r="E1889" t="s">
        <v>44</v>
      </c>
      <c r="F1889" t="s">
        <v>45</v>
      </c>
      <c r="G1889" t="s">
        <v>21</v>
      </c>
      <c r="H1889" t="s">
        <v>40</v>
      </c>
      <c r="I1889">
        <v>2</v>
      </c>
      <c r="J1889">
        <v>772.55</v>
      </c>
      <c r="K1889">
        <v>37.5</v>
      </c>
      <c r="L1889">
        <v>74</v>
      </c>
      <c r="M1889">
        <v>522.04</v>
      </c>
      <c r="N1889" t="s">
        <v>23</v>
      </c>
      <c r="O1889">
        <v>4</v>
      </c>
      <c r="P1889">
        <v>1545.1</v>
      </c>
      <c r="Q1889">
        <v>1582.6</v>
      </c>
      <c r="R1889" t="s">
        <v>2054</v>
      </c>
    </row>
    <row r="1890" spans="1:18" x14ac:dyDescent="0.25">
      <c r="A1890" t="s">
        <v>1941</v>
      </c>
      <c r="B1890" s="1">
        <v>45957</v>
      </c>
      <c r="C1890" s="1">
        <v>45959</v>
      </c>
      <c r="D1890" t="s">
        <v>18</v>
      </c>
      <c r="E1890" t="s">
        <v>19</v>
      </c>
      <c r="F1890" t="s">
        <v>20</v>
      </c>
      <c r="G1890" t="s">
        <v>21</v>
      </c>
      <c r="H1890" t="s">
        <v>32</v>
      </c>
      <c r="I1890">
        <v>9</v>
      </c>
      <c r="J1890">
        <v>37.380000000000003</v>
      </c>
      <c r="K1890">
        <v>8</v>
      </c>
      <c r="L1890">
        <v>182</v>
      </c>
      <c r="M1890">
        <v>22.91</v>
      </c>
      <c r="N1890" t="s">
        <v>23</v>
      </c>
      <c r="O1890">
        <v>2</v>
      </c>
      <c r="P1890">
        <v>336.42</v>
      </c>
      <c r="Q1890">
        <v>344.42</v>
      </c>
      <c r="R1890" t="s">
        <v>2054</v>
      </c>
    </row>
    <row r="1891" spans="1:18" x14ac:dyDescent="0.25">
      <c r="A1891" t="s">
        <v>1942</v>
      </c>
      <c r="B1891" s="1">
        <v>45957</v>
      </c>
      <c r="C1891" s="1">
        <v>45962</v>
      </c>
      <c r="D1891" t="s">
        <v>118</v>
      </c>
      <c r="E1891" t="s">
        <v>79</v>
      </c>
      <c r="F1891" t="s">
        <v>80</v>
      </c>
      <c r="G1891" t="s">
        <v>21</v>
      </c>
      <c r="H1891" t="s">
        <v>27</v>
      </c>
      <c r="I1891">
        <v>3</v>
      </c>
      <c r="J1891">
        <v>123.22</v>
      </c>
      <c r="K1891">
        <v>12</v>
      </c>
      <c r="L1891">
        <v>212</v>
      </c>
      <c r="M1891">
        <v>160.35</v>
      </c>
      <c r="N1891" t="s">
        <v>23</v>
      </c>
      <c r="O1891">
        <v>5</v>
      </c>
      <c r="P1891">
        <v>369.65999999999997</v>
      </c>
      <c r="Q1891">
        <v>381.65999999999997</v>
      </c>
      <c r="R1891" t="s">
        <v>2054</v>
      </c>
    </row>
    <row r="1892" spans="1:18" x14ac:dyDescent="0.25">
      <c r="A1892" t="s">
        <v>1943</v>
      </c>
      <c r="B1892" s="1">
        <v>45958</v>
      </c>
      <c r="C1892" s="1">
        <v>45960</v>
      </c>
      <c r="D1892" t="s">
        <v>25</v>
      </c>
      <c r="E1892" t="s">
        <v>19</v>
      </c>
      <c r="F1892" t="s">
        <v>20</v>
      </c>
      <c r="G1892" t="s">
        <v>26</v>
      </c>
      <c r="H1892" t="s">
        <v>22</v>
      </c>
      <c r="I1892">
        <v>12</v>
      </c>
      <c r="J1892">
        <v>46.03</v>
      </c>
      <c r="K1892">
        <v>8</v>
      </c>
      <c r="L1892">
        <v>184</v>
      </c>
      <c r="M1892">
        <v>40.19</v>
      </c>
      <c r="N1892" t="s">
        <v>23</v>
      </c>
      <c r="O1892">
        <v>2</v>
      </c>
      <c r="P1892">
        <v>552.36</v>
      </c>
      <c r="Q1892">
        <v>560.36</v>
      </c>
      <c r="R1892" t="s">
        <v>2054</v>
      </c>
    </row>
    <row r="1893" spans="1:18" x14ac:dyDescent="0.25">
      <c r="A1893" t="s">
        <v>1944</v>
      </c>
      <c r="B1893" s="1">
        <v>45958</v>
      </c>
      <c r="C1893" s="1">
        <v>45962</v>
      </c>
      <c r="D1893" t="s">
        <v>75</v>
      </c>
      <c r="E1893" t="s">
        <v>44</v>
      </c>
      <c r="F1893" t="s">
        <v>45</v>
      </c>
      <c r="G1893" t="s">
        <v>35</v>
      </c>
      <c r="H1893" t="s">
        <v>27</v>
      </c>
      <c r="I1893">
        <v>3</v>
      </c>
      <c r="J1893">
        <v>667.78</v>
      </c>
      <c r="K1893">
        <v>25</v>
      </c>
      <c r="L1893">
        <v>143</v>
      </c>
      <c r="M1893">
        <v>688.67</v>
      </c>
      <c r="N1893" t="s">
        <v>23</v>
      </c>
      <c r="O1893">
        <v>4</v>
      </c>
      <c r="P1893">
        <v>2003.34</v>
      </c>
      <c r="Q1893">
        <v>2028.34</v>
      </c>
      <c r="R1893" t="s">
        <v>2054</v>
      </c>
    </row>
    <row r="1894" spans="1:18" x14ac:dyDescent="0.25">
      <c r="A1894" t="s">
        <v>1945</v>
      </c>
      <c r="B1894" s="1">
        <v>45958</v>
      </c>
      <c r="C1894" s="1">
        <v>45973</v>
      </c>
      <c r="D1894" t="s">
        <v>82</v>
      </c>
      <c r="E1894" t="s">
        <v>79</v>
      </c>
      <c r="F1894" t="s">
        <v>80</v>
      </c>
      <c r="G1894" t="s">
        <v>35</v>
      </c>
      <c r="H1894" t="s">
        <v>40</v>
      </c>
      <c r="I1894">
        <v>5</v>
      </c>
      <c r="J1894">
        <v>34.44</v>
      </c>
      <c r="K1894">
        <v>18</v>
      </c>
      <c r="L1894">
        <v>75</v>
      </c>
      <c r="M1894">
        <v>68.48</v>
      </c>
      <c r="N1894" t="s">
        <v>47</v>
      </c>
      <c r="O1894">
        <v>15</v>
      </c>
      <c r="P1894">
        <v>172.2</v>
      </c>
      <c r="Q1894">
        <v>190.2</v>
      </c>
      <c r="R1894" t="s">
        <v>2054</v>
      </c>
    </row>
    <row r="1895" spans="1:18" x14ac:dyDescent="0.25">
      <c r="A1895" t="s">
        <v>1946</v>
      </c>
      <c r="B1895" s="1">
        <v>45958</v>
      </c>
      <c r="C1895" s="1">
        <v>45960</v>
      </c>
      <c r="D1895" t="s">
        <v>29</v>
      </c>
      <c r="E1895" t="s">
        <v>30</v>
      </c>
      <c r="F1895" t="s">
        <v>31</v>
      </c>
      <c r="G1895" t="s">
        <v>21</v>
      </c>
      <c r="H1895" t="s">
        <v>40</v>
      </c>
      <c r="I1895">
        <v>5</v>
      </c>
      <c r="J1895">
        <v>60.82</v>
      </c>
      <c r="K1895">
        <v>18</v>
      </c>
      <c r="L1895">
        <v>326</v>
      </c>
      <c r="M1895">
        <v>112.64</v>
      </c>
      <c r="N1895" t="s">
        <v>23</v>
      </c>
      <c r="O1895">
        <v>2</v>
      </c>
      <c r="P1895">
        <v>304.10000000000002</v>
      </c>
      <c r="Q1895">
        <v>322.10000000000002</v>
      </c>
      <c r="R1895" t="s">
        <v>2054</v>
      </c>
    </row>
    <row r="1896" spans="1:18" x14ac:dyDescent="0.25">
      <c r="A1896" t="s">
        <v>1947</v>
      </c>
      <c r="B1896" s="1">
        <v>45959</v>
      </c>
      <c r="C1896" s="1">
        <v>45960</v>
      </c>
      <c r="D1896" t="s">
        <v>72</v>
      </c>
      <c r="E1896" t="s">
        <v>44</v>
      </c>
      <c r="F1896" t="s">
        <v>45</v>
      </c>
      <c r="G1896" t="s">
        <v>35</v>
      </c>
      <c r="H1896" t="s">
        <v>40</v>
      </c>
      <c r="I1896">
        <v>1</v>
      </c>
      <c r="J1896">
        <v>522.47</v>
      </c>
      <c r="K1896">
        <v>37.5</v>
      </c>
      <c r="L1896">
        <v>173</v>
      </c>
      <c r="M1896">
        <v>164.11</v>
      </c>
      <c r="N1896" t="s">
        <v>23</v>
      </c>
      <c r="O1896">
        <v>1</v>
      </c>
      <c r="P1896">
        <v>522.47</v>
      </c>
      <c r="Q1896">
        <v>559.97</v>
      </c>
      <c r="R1896" t="s">
        <v>2054</v>
      </c>
    </row>
    <row r="1897" spans="1:18" x14ac:dyDescent="0.25">
      <c r="A1897" t="s">
        <v>1948</v>
      </c>
      <c r="B1897" s="1">
        <v>45960</v>
      </c>
      <c r="C1897" s="1">
        <v>45974</v>
      </c>
      <c r="D1897" t="s">
        <v>43</v>
      </c>
      <c r="E1897" t="s">
        <v>44</v>
      </c>
      <c r="F1897" t="s">
        <v>45</v>
      </c>
      <c r="G1897" t="s">
        <v>35</v>
      </c>
      <c r="H1897" t="s">
        <v>40</v>
      </c>
      <c r="I1897">
        <v>3</v>
      </c>
      <c r="J1897">
        <v>660.7</v>
      </c>
      <c r="K1897">
        <v>37.5</v>
      </c>
      <c r="L1897">
        <v>281</v>
      </c>
      <c r="M1897">
        <v>674.98</v>
      </c>
      <c r="N1897" t="s">
        <v>47</v>
      </c>
      <c r="O1897">
        <v>14</v>
      </c>
      <c r="P1897">
        <v>1982.1000000000001</v>
      </c>
      <c r="Q1897">
        <v>2019.6000000000001</v>
      </c>
      <c r="R1897" t="s">
        <v>2054</v>
      </c>
    </row>
    <row r="1898" spans="1:18" x14ac:dyDescent="0.25">
      <c r="A1898" t="s">
        <v>1949</v>
      </c>
      <c r="B1898" s="1">
        <v>45960</v>
      </c>
      <c r="C1898" s="1">
        <v>45962</v>
      </c>
      <c r="D1898" t="s">
        <v>78</v>
      </c>
      <c r="E1898" t="s">
        <v>79</v>
      </c>
      <c r="F1898" t="s">
        <v>80</v>
      </c>
      <c r="G1898" t="s">
        <v>35</v>
      </c>
      <c r="H1898" t="s">
        <v>27</v>
      </c>
      <c r="I1898">
        <v>4</v>
      </c>
      <c r="J1898">
        <v>67.510000000000005</v>
      </c>
      <c r="K1898">
        <v>12</v>
      </c>
      <c r="L1898">
        <v>26</v>
      </c>
      <c r="M1898">
        <v>115.51</v>
      </c>
      <c r="N1898" t="s">
        <v>23</v>
      </c>
      <c r="O1898">
        <v>2</v>
      </c>
      <c r="P1898">
        <v>270.04000000000002</v>
      </c>
      <c r="Q1898">
        <v>282.04000000000002</v>
      </c>
      <c r="R1898" t="s">
        <v>2055</v>
      </c>
    </row>
    <row r="1899" spans="1:18" x14ac:dyDescent="0.25">
      <c r="A1899" t="s">
        <v>1950</v>
      </c>
      <c r="B1899" s="1">
        <v>45962</v>
      </c>
      <c r="C1899" s="1">
        <v>45964</v>
      </c>
      <c r="D1899" t="s">
        <v>58</v>
      </c>
      <c r="E1899" t="s">
        <v>19</v>
      </c>
      <c r="F1899" t="s">
        <v>20</v>
      </c>
      <c r="G1899" t="s">
        <v>21</v>
      </c>
      <c r="H1899" t="s">
        <v>27</v>
      </c>
      <c r="I1899">
        <v>5</v>
      </c>
      <c r="J1899">
        <v>39.24</v>
      </c>
      <c r="K1899">
        <v>8</v>
      </c>
      <c r="L1899">
        <v>8</v>
      </c>
      <c r="M1899">
        <v>11.7</v>
      </c>
      <c r="N1899" t="s">
        <v>23</v>
      </c>
      <c r="O1899">
        <v>2</v>
      </c>
      <c r="P1899">
        <v>196.20000000000002</v>
      </c>
      <c r="Q1899">
        <v>204.20000000000002</v>
      </c>
      <c r="R1899" t="s">
        <v>2056</v>
      </c>
    </row>
    <row r="1900" spans="1:18" x14ac:dyDescent="0.25">
      <c r="A1900" t="s">
        <v>1951</v>
      </c>
      <c r="B1900" s="1">
        <v>45962</v>
      </c>
      <c r="C1900" s="1">
        <v>45977</v>
      </c>
      <c r="D1900" t="s">
        <v>43</v>
      </c>
      <c r="E1900" t="s">
        <v>44</v>
      </c>
      <c r="F1900" t="s">
        <v>45</v>
      </c>
      <c r="G1900" t="s">
        <v>35</v>
      </c>
      <c r="H1900" t="s">
        <v>32</v>
      </c>
      <c r="I1900">
        <v>2</v>
      </c>
      <c r="J1900">
        <v>294.98</v>
      </c>
      <c r="K1900">
        <v>25</v>
      </c>
      <c r="L1900">
        <v>343</v>
      </c>
      <c r="M1900">
        <v>193.99</v>
      </c>
      <c r="N1900" t="s">
        <v>47</v>
      </c>
      <c r="O1900">
        <v>15</v>
      </c>
      <c r="P1900">
        <v>589.96</v>
      </c>
      <c r="Q1900">
        <v>614.96</v>
      </c>
      <c r="R1900" t="s">
        <v>2054</v>
      </c>
    </row>
    <row r="1901" spans="1:18" x14ac:dyDescent="0.25">
      <c r="A1901" t="s">
        <v>1952</v>
      </c>
      <c r="B1901" s="1">
        <v>45962</v>
      </c>
      <c r="C1901" s="1">
        <v>45967</v>
      </c>
      <c r="D1901" t="s">
        <v>25</v>
      </c>
      <c r="E1901" t="s">
        <v>19</v>
      </c>
      <c r="F1901" t="s">
        <v>20</v>
      </c>
      <c r="G1901" t="s">
        <v>35</v>
      </c>
      <c r="H1901" t="s">
        <v>22</v>
      </c>
      <c r="I1901">
        <v>12</v>
      </c>
      <c r="J1901">
        <v>36.4</v>
      </c>
      <c r="K1901">
        <v>8</v>
      </c>
      <c r="L1901">
        <v>267</v>
      </c>
      <c r="M1901">
        <v>30.95</v>
      </c>
      <c r="N1901" t="s">
        <v>23</v>
      </c>
      <c r="O1901">
        <v>5</v>
      </c>
      <c r="P1901">
        <v>436.79999999999995</v>
      </c>
      <c r="Q1901">
        <v>444.79999999999995</v>
      </c>
      <c r="R1901" t="s">
        <v>2054</v>
      </c>
    </row>
    <row r="1902" spans="1:18" x14ac:dyDescent="0.25">
      <c r="A1902" t="s">
        <v>1953</v>
      </c>
      <c r="B1902" s="1">
        <v>45962</v>
      </c>
      <c r="C1902" s="1">
        <v>45966</v>
      </c>
      <c r="D1902" t="s">
        <v>25</v>
      </c>
      <c r="E1902" t="s">
        <v>19</v>
      </c>
      <c r="F1902" t="s">
        <v>20</v>
      </c>
      <c r="G1902" t="s">
        <v>35</v>
      </c>
      <c r="H1902" t="s">
        <v>40</v>
      </c>
      <c r="I1902">
        <v>11</v>
      </c>
      <c r="J1902">
        <v>36.83</v>
      </c>
      <c r="K1902">
        <v>12</v>
      </c>
      <c r="L1902">
        <v>116</v>
      </c>
      <c r="M1902">
        <v>26.41</v>
      </c>
      <c r="N1902" t="s">
        <v>23</v>
      </c>
      <c r="O1902">
        <v>4</v>
      </c>
      <c r="P1902">
        <v>405.13</v>
      </c>
      <c r="Q1902">
        <v>417.13</v>
      </c>
      <c r="R1902" t="s">
        <v>2054</v>
      </c>
    </row>
    <row r="1903" spans="1:18" x14ac:dyDescent="0.25">
      <c r="A1903" t="s">
        <v>1954</v>
      </c>
      <c r="B1903" s="1">
        <v>45962</v>
      </c>
      <c r="C1903" s="1">
        <v>45966</v>
      </c>
      <c r="D1903" t="s">
        <v>56</v>
      </c>
      <c r="E1903" t="s">
        <v>38</v>
      </c>
      <c r="F1903" t="s">
        <v>39</v>
      </c>
      <c r="G1903" t="s">
        <v>21</v>
      </c>
      <c r="H1903" t="s">
        <v>27</v>
      </c>
      <c r="I1903">
        <v>2</v>
      </c>
      <c r="J1903">
        <v>273.11</v>
      </c>
      <c r="K1903">
        <v>75</v>
      </c>
      <c r="L1903">
        <v>233</v>
      </c>
      <c r="M1903">
        <v>71.739999999999995</v>
      </c>
      <c r="N1903" t="s">
        <v>23</v>
      </c>
      <c r="O1903">
        <v>4</v>
      </c>
      <c r="P1903">
        <v>546.22</v>
      </c>
      <c r="Q1903">
        <v>621.22</v>
      </c>
      <c r="R1903" t="s">
        <v>2054</v>
      </c>
    </row>
    <row r="1904" spans="1:18" x14ac:dyDescent="0.25">
      <c r="A1904" t="s">
        <v>1955</v>
      </c>
      <c r="B1904" s="1">
        <v>45963</v>
      </c>
      <c r="C1904" s="1">
        <v>45970</v>
      </c>
      <c r="D1904" t="s">
        <v>118</v>
      </c>
      <c r="E1904" t="s">
        <v>79</v>
      </c>
      <c r="F1904" t="s">
        <v>80</v>
      </c>
      <c r="G1904" t="s">
        <v>35</v>
      </c>
      <c r="H1904" t="s">
        <v>40</v>
      </c>
      <c r="I1904">
        <v>1</v>
      </c>
      <c r="J1904">
        <v>30.01</v>
      </c>
      <c r="K1904">
        <v>18</v>
      </c>
      <c r="L1904">
        <v>329</v>
      </c>
      <c r="M1904">
        <v>4.5</v>
      </c>
      <c r="N1904" t="s">
        <v>63</v>
      </c>
      <c r="O1904">
        <v>7</v>
      </c>
      <c r="P1904">
        <v>30.01</v>
      </c>
      <c r="Q1904">
        <v>48.010000000000005</v>
      </c>
      <c r="R1904" t="s">
        <v>2054</v>
      </c>
    </row>
    <row r="1905" spans="1:18" x14ac:dyDescent="0.25">
      <c r="A1905" t="s">
        <v>1956</v>
      </c>
      <c r="B1905" s="1">
        <v>45965</v>
      </c>
      <c r="C1905" s="1">
        <v>45970</v>
      </c>
      <c r="D1905" t="s">
        <v>82</v>
      </c>
      <c r="E1905" t="s">
        <v>79</v>
      </c>
      <c r="F1905" t="s">
        <v>80</v>
      </c>
      <c r="G1905" t="s">
        <v>21</v>
      </c>
      <c r="H1905" t="s">
        <v>27</v>
      </c>
      <c r="I1905">
        <v>4</v>
      </c>
      <c r="J1905">
        <v>43.07</v>
      </c>
      <c r="K1905">
        <v>12</v>
      </c>
      <c r="L1905">
        <v>58</v>
      </c>
      <c r="M1905">
        <v>71.52</v>
      </c>
      <c r="N1905" t="s">
        <v>23</v>
      </c>
      <c r="O1905">
        <v>5</v>
      </c>
      <c r="P1905">
        <v>172.28</v>
      </c>
      <c r="Q1905">
        <v>184.28</v>
      </c>
      <c r="R1905" t="s">
        <v>2054</v>
      </c>
    </row>
    <row r="1906" spans="1:18" x14ac:dyDescent="0.25">
      <c r="A1906" t="s">
        <v>1957</v>
      </c>
      <c r="B1906" s="1">
        <v>45965</v>
      </c>
      <c r="C1906" s="1">
        <v>45966</v>
      </c>
      <c r="D1906" t="s">
        <v>56</v>
      </c>
      <c r="E1906" t="s">
        <v>38</v>
      </c>
      <c r="F1906" t="s">
        <v>39</v>
      </c>
      <c r="G1906" t="s">
        <v>21</v>
      </c>
      <c r="H1906" t="s">
        <v>27</v>
      </c>
      <c r="I1906">
        <v>2</v>
      </c>
      <c r="J1906">
        <v>196.13</v>
      </c>
      <c r="K1906">
        <v>75</v>
      </c>
      <c r="L1906">
        <v>48</v>
      </c>
      <c r="M1906">
        <v>40.950000000000003</v>
      </c>
      <c r="N1906" t="s">
        <v>23</v>
      </c>
      <c r="O1906">
        <v>1</v>
      </c>
      <c r="P1906">
        <v>392.26</v>
      </c>
      <c r="Q1906">
        <v>467.26</v>
      </c>
      <c r="R1906" t="s">
        <v>2055</v>
      </c>
    </row>
    <row r="1907" spans="1:18" x14ac:dyDescent="0.25">
      <c r="A1907" t="s">
        <v>1958</v>
      </c>
      <c r="B1907" s="1">
        <v>45965</v>
      </c>
      <c r="C1907" s="1">
        <v>45968</v>
      </c>
      <c r="D1907" t="s">
        <v>34</v>
      </c>
      <c r="E1907" t="s">
        <v>30</v>
      </c>
      <c r="F1907" t="s">
        <v>31</v>
      </c>
      <c r="G1907" t="s">
        <v>21</v>
      </c>
      <c r="H1907" t="s">
        <v>40</v>
      </c>
      <c r="I1907">
        <v>4</v>
      </c>
      <c r="J1907">
        <v>135.78</v>
      </c>
      <c r="K1907">
        <v>18</v>
      </c>
      <c r="L1907">
        <v>120</v>
      </c>
      <c r="M1907">
        <v>208.25</v>
      </c>
      <c r="N1907" t="s">
        <v>23</v>
      </c>
      <c r="O1907">
        <v>3</v>
      </c>
      <c r="P1907">
        <v>543.12</v>
      </c>
      <c r="Q1907">
        <v>561.12</v>
      </c>
      <c r="R1907" t="s">
        <v>2054</v>
      </c>
    </row>
    <row r="1908" spans="1:18" x14ac:dyDescent="0.25">
      <c r="A1908" t="s">
        <v>1959</v>
      </c>
      <c r="B1908" s="1">
        <v>45966</v>
      </c>
      <c r="C1908" s="1">
        <v>45968</v>
      </c>
      <c r="D1908" t="s">
        <v>72</v>
      </c>
      <c r="E1908" t="s">
        <v>44</v>
      </c>
      <c r="F1908" t="s">
        <v>45</v>
      </c>
      <c r="G1908" t="s">
        <v>35</v>
      </c>
      <c r="H1908" t="s">
        <v>40</v>
      </c>
      <c r="I1908">
        <v>1</v>
      </c>
      <c r="J1908">
        <v>394.32</v>
      </c>
      <c r="K1908">
        <v>37.5</v>
      </c>
      <c r="L1908">
        <v>268</v>
      </c>
      <c r="M1908">
        <v>119.26</v>
      </c>
      <c r="N1908" t="s">
        <v>23</v>
      </c>
      <c r="O1908">
        <v>2</v>
      </c>
      <c r="P1908">
        <v>394.32</v>
      </c>
      <c r="Q1908">
        <v>431.82</v>
      </c>
      <c r="R1908" t="s">
        <v>2054</v>
      </c>
    </row>
    <row r="1909" spans="1:18" x14ac:dyDescent="0.25">
      <c r="A1909" t="s">
        <v>1960</v>
      </c>
      <c r="B1909" s="1">
        <v>45966</v>
      </c>
      <c r="C1909" s="1">
        <v>45967</v>
      </c>
      <c r="D1909" t="s">
        <v>58</v>
      </c>
      <c r="E1909" t="s">
        <v>19</v>
      </c>
      <c r="F1909" t="s">
        <v>20</v>
      </c>
      <c r="G1909" t="s">
        <v>35</v>
      </c>
      <c r="H1909" t="s">
        <v>40</v>
      </c>
      <c r="I1909">
        <v>10</v>
      </c>
      <c r="J1909">
        <v>34.54</v>
      </c>
      <c r="K1909">
        <v>12</v>
      </c>
      <c r="L1909">
        <v>126</v>
      </c>
      <c r="M1909">
        <v>-51.81</v>
      </c>
      <c r="N1909" t="s">
        <v>23</v>
      </c>
      <c r="O1909">
        <v>1</v>
      </c>
      <c r="P1909">
        <v>345.4</v>
      </c>
      <c r="Q1909">
        <v>357.4</v>
      </c>
      <c r="R1909" t="s">
        <v>2054</v>
      </c>
    </row>
    <row r="1910" spans="1:18" x14ac:dyDescent="0.25">
      <c r="A1910" t="s">
        <v>1961</v>
      </c>
      <c r="B1910" s="1">
        <v>45967</v>
      </c>
      <c r="C1910" s="1">
        <v>45979</v>
      </c>
      <c r="D1910" t="s">
        <v>37</v>
      </c>
      <c r="E1910" t="s">
        <v>38</v>
      </c>
      <c r="F1910" t="s">
        <v>39</v>
      </c>
      <c r="G1910" t="s">
        <v>35</v>
      </c>
      <c r="H1910" t="s">
        <v>40</v>
      </c>
      <c r="I1910">
        <v>2</v>
      </c>
      <c r="J1910">
        <v>294.51</v>
      </c>
      <c r="K1910">
        <v>112.5</v>
      </c>
      <c r="L1910">
        <v>76</v>
      </c>
      <c r="M1910">
        <v>61.56</v>
      </c>
      <c r="N1910" t="s">
        <v>47</v>
      </c>
      <c r="O1910">
        <v>12</v>
      </c>
      <c r="P1910">
        <v>589.02</v>
      </c>
      <c r="Q1910">
        <v>701.52</v>
      </c>
      <c r="R1910" t="s">
        <v>2054</v>
      </c>
    </row>
    <row r="1911" spans="1:18" x14ac:dyDescent="0.25">
      <c r="A1911" t="s">
        <v>1962</v>
      </c>
      <c r="B1911" s="1">
        <v>45967</v>
      </c>
      <c r="C1911" s="1">
        <v>45971</v>
      </c>
      <c r="D1911" t="s">
        <v>78</v>
      </c>
      <c r="E1911" t="s">
        <v>79</v>
      </c>
      <c r="F1911" t="s">
        <v>80</v>
      </c>
      <c r="G1911" t="s">
        <v>35</v>
      </c>
      <c r="H1911" t="s">
        <v>40</v>
      </c>
      <c r="I1911">
        <v>4</v>
      </c>
      <c r="J1911">
        <v>113.18</v>
      </c>
      <c r="K1911">
        <v>18</v>
      </c>
      <c r="L1911">
        <v>181</v>
      </c>
      <c r="M1911">
        <v>194.72</v>
      </c>
      <c r="N1911" t="s">
        <v>23</v>
      </c>
      <c r="O1911">
        <v>4</v>
      </c>
      <c r="P1911">
        <v>452.72</v>
      </c>
      <c r="Q1911">
        <v>470.72</v>
      </c>
      <c r="R1911" t="s">
        <v>2054</v>
      </c>
    </row>
    <row r="1912" spans="1:18" x14ac:dyDescent="0.25">
      <c r="A1912" t="s">
        <v>1963</v>
      </c>
      <c r="B1912" s="1">
        <v>45967</v>
      </c>
      <c r="C1912" s="1">
        <v>45984</v>
      </c>
      <c r="D1912" t="s">
        <v>34</v>
      </c>
      <c r="E1912" t="s">
        <v>30</v>
      </c>
      <c r="F1912" t="s">
        <v>31</v>
      </c>
      <c r="G1912" t="s">
        <v>35</v>
      </c>
      <c r="H1912" t="s">
        <v>40</v>
      </c>
      <c r="I1912">
        <v>2</v>
      </c>
      <c r="J1912">
        <v>57.77</v>
      </c>
      <c r="K1912">
        <v>18</v>
      </c>
      <c r="L1912">
        <v>330</v>
      </c>
      <c r="M1912">
        <v>37.21</v>
      </c>
      <c r="N1912" t="s">
        <v>47</v>
      </c>
      <c r="O1912">
        <v>17</v>
      </c>
      <c r="P1912">
        <v>115.54</v>
      </c>
      <c r="Q1912">
        <v>133.54000000000002</v>
      </c>
      <c r="R1912" t="s">
        <v>2054</v>
      </c>
    </row>
    <row r="1913" spans="1:18" x14ac:dyDescent="0.25">
      <c r="A1913" t="s">
        <v>1964</v>
      </c>
      <c r="B1913" s="1">
        <v>45967</v>
      </c>
      <c r="C1913" s="1">
        <v>45971</v>
      </c>
      <c r="D1913" t="s">
        <v>50</v>
      </c>
      <c r="E1913" t="s">
        <v>44</v>
      </c>
      <c r="F1913" t="s">
        <v>45</v>
      </c>
      <c r="G1913" t="s">
        <v>35</v>
      </c>
      <c r="H1913" t="s">
        <v>40</v>
      </c>
      <c r="I1913">
        <v>3</v>
      </c>
      <c r="J1913">
        <v>477.29</v>
      </c>
      <c r="K1913">
        <v>37.5</v>
      </c>
      <c r="L1913">
        <v>173</v>
      </c>
      <c r="M1913">
        <v>482.41</v>
      </c>
      <c r="N1913" t="s">
        <v>23</v>
      </c>
      <c r="O1913">
        <v>4</v>
      </c>
      <c r="P1913">
        <v>1431.8700000000001</v>
      </c>
      <c r="Q1913">
        <v>1469.3700000000001</v>
      </c>
      <c r="R1913" t="s">
        <v>2054</v>
      </c>
    </row>
    <row r="1914" spans="1:18" x14ac:dyDescent="0.25">
      <c r="A1914" t="s">
        <v>1965</v>
      </c>
      <c r="B1914" s="1">
        <v>45967</v>
      </c>
      <c r="C1914" s="1">
        <v>45971</v>
      </c>
      <c r="D1914" t="s">
        <v>18</v>
      </c>
      <c r="E1914" t="s">
        <v>19</v>
      </c>
      <c r="F1914" t="s">
        <v>20</v>
      </c>
      <c r="G1914" t="s">
        <v>21</v>
      </c>
      <c r="H1914" t="s">
        <v>27</v>
      </c>
      <c r="I1914">
        <v>9</v>
      </c>
      <c r="J1914">
        <v>27</v>
      </c>
      <c r="K1914">
        <v>8</v>
      </c>
      <c r="L1914">
        <v>339</v>
      </c>
      <c r="M1914">
        <v>15.44</v>
      </c>
      <c r="N1914" t="s">
        <v>23</v>
      </c>
      <c r="O1914">
        <v>4</v>
      </c>
      <c r="P1914">
        <v>243</v>
      </c>
      <c r="Q1914">
        <v>251</v>
      </c>
      <c r="R1914" t="s">
        <v>2054</v>
      </c>
    </row>
    <row r="1915" spans="1:18" x14ac:dyDescent="0.25">
      <c r="A1915" t="s">
        <v>1966</v>
      </c>
      <c r="B1915" s="1">
        <v>45969</v>
      </c>
      <c r="C1915" s="1">
        <v>45978</v>
      </c>
      <c r="D1915" t="s">
        <v>82</v>
      </c>
      <c r="E1915" t="s">
        <v>79</v>
      </c>
      <c r="F1915" t="s">
        <v>80</v>
      </c>
      <c r="G1915" t="s">
        <v>35</v>
      </c>
      <c r="H1915" t="s">
        <v>32</v>
      </c>
      <c r="I1915">
        <v>5</v>
      </c>
      <c r="J1915">
        <v>42.41</v>
      </c>
      <c r="K1915">
        <v>12</v>
      </c>
      <c r="L1915">
        <v>342</v>
      </c>
      <c r="M1915">
        <v>89.43</v>
      </c>
      <c r="N1915" t="s">
        <v>63</v>
      </c>
      <c r="O1915">
        <v>9</v>
      </c>
      <c r="P1915">
        <v>212.04999999999998</v>
      </c>
      <c r="Q1915">
        <v>224.04999999999998</v>
      </c>
      <c r="R1915" t="s">
        <v>2054</v>
      </c>
    </row>
    <row r="1916" spans="1:18" x14ac:dyDescent="0.25">
      <c r="A1916" t="s">
        <v>1967</v>
      </c>
      <c r="B1916" s="1">
        <v>45969</v>
      </c>
      <c r="C1916" s="1">
        <v>45970</v>
      </c>
      <c r="D1916" t="s">
        <v>50</v>
      </c>
      <c r="E1916" t="s">
        <v>44</v>
      </c>
      <c r="F1916" t="s">
        <v>45</v>
      </c>
      <c r="G1916" t="s">
        <v>35</v>
      </c>
      <c r="H1916" t="s">
        <v>40</v>
      </c>
      <c r="I1916">
        <v>1</v>
      </c>
      <c r="J1916">
        <v>1150.6400000000001</v>
      </c>
      <c r="K1916">
        <v>37.5</v>
      </c>
      <c r="L1916">
        <v>85</v>
      </c>
      <c r="M1916">
        <v>383.97</v>
      </c>
      <c r="N1916" t="s">
        <v>23</v>
      </c>
      <c r="O1916">
        <v>1</v>
      </c>
      <c r="P1916">
        <v>1150.6400000000001</v>
      </c>
      <c r="Q1916">
        <v>1188.1400000000001</v>
      </c>
      <c r="R1916" t="s">
        <v>2054</v>
      </c>
    </row>
    <row r="1917" spans="1:18" x14ac:dyDescent="0.25">
      <c r="A1917" t="s">
        <v>1968</v>
      </c>
      <c r="B1917" s="1">
        <v>45970</v>
      </c>
      <c r="C1917" s="1">
        <v>45975</v>
      </c>
      <c r="D1917" t="s">
        <v>50</v>
      </c>
      <c r="E1917" t="s">
        <v>44</v>
      </c>
      <c r="F1917" t="s">
        <v>45</v>
      </c>
      <c r="G1917" t="s">
        <v>35</v>
      </c>
      <c r="H1917" t="s">
        <v>32</v>
      </c>
      <c r="I1917">
        <v>1</v>
      </c>
      <c r="J1917">
        <v>331.59</v>
      </c>
      <c r="K1917">
        <v>25</v>
      </c>
      <c r="L1917">
        <v>332</v>
      </c>
      <c r="M1917">
        <v>103.56</v>
      </c>
      <c r="N1917" t="s">
        <v>23</v>
      </c>
      <c r="O1917">
        <v>5</v>
      </c>
      <c r="P1917">
        <v>331.59</v>
      </c>
      <c r="Q1917">
        <v>356.59</v>
      </c>
      <c r="R1917" t="s">
        <v>2054</v>
      </c>
    </row>
    <row r="1918" spans="1:18" x14ac:dyDescent="0.25">
      <c r="A1918" t="s">
        <v>1969</v>
      </c>
      <c r="B1918" s="1">
        <v>45970</v>
      </c>
      <c r="C1918" s="1">
        <v>45974</v>
      </c>
      <c r="D1918" t="s">
        <v>50</v>
      </c>
      <c r="E1918" t="s">
        <v>44</v>
      </c>
      <c r="F1918" t="s">
        <v>45</v>
      </c>
      <c r="G1918" t="s">
        <v>26</v>
      </c>
      <c r="H1918" t="s">
        <v>27</v>
      </c>
      <c r="I1918">
        <v>1</v>
      </c>
      <c r="J1918">
        <v>829.91</v>
      </c>
      <c r="K1918">
        <v>25</v>
      </c>
      <c r="L1918">
        <v>169</v>
      </c>
      <c r="M1918">
        <v>277.97000000000003</v>
      </c>
      <c r="N1918" t="s">
        <v>23</v>
      </c>
      <c r="O1918">
        <v>4</v>
      </c>
      <c r="P1918">
        <v>829.91</v>
      </c>
      <c r="Q1918">
        <v>854.91</v>
      </c>
      <c r="R1918" t="s">
        <v>2054</v>
      </c>
    </row>
    <row r="1919" spans="1:18" x14ac:dyDescent="0.25">
      <c r="A1919" t="s">
        <v>1970</v>
      </c>
      <c r="B1919" s="1">
        <v>45971</v>
      </c>
      <c r="C1919" s="1">
        <v>45975</v>
      </c>
      <c r="D1919" t="s">
        <v>50</v>
      </c>
      <c r="E1919" t="s">
        <v>44</v>
      </c>
      <c r="F1919" t="s">
        <v>45</v>
      </c>
      <c r="G1919" t="s">
        <v>21</v>
      </c>
      <c r="H1919" t="s">
        <v>32</v>
      </c>
      <c r="I1919">
        <v>2</v>
      </c>
      <c r="J1919">
        <v>854.58</v>
      </c>
      <c r="K1919">
        <v>25</v>
      </c>
      <c r="L1919">
        <v>233</v>
      </c>
      <c r="M1919">
        <v>585.70000000000005</v>
      </c>
      <c r="N1919" t="s">
        <v>23</v>
      </c>
      <c r="O1919">
        <v>4</v>
      </c>
      <c r="P1919">
        <v>1709.16</v>
      </c>
      <c r="Q1919">
        <v>1734.16</v>
      </c>
      <c r="R1919" t="s">
        <v>2054</v>
      </c>
    </row>
    <row r="1920" spans="1:18" x14ac:dyDescent="0.25">
      <c r="A1920" t="s">
        <v>1971</v>
      </c>
      <c r="B1920" s="1">
        <v>45972</v>
      </c>
      <c r="C1920" s="1">
        <v>45976</v>
      </c>
      <c r="D1920" t="s">
        <v>37</v>
      </c>
      <c r="E1920" t="s">
        <v>38</v>
      </c>
      <c r="F1920" t="s">
        <v>39</v>
      </c>
      <c r="G1920" t="s">
        <v>21</v>
      </c>
      <c r="H1920" t="s">
        <v>22</v>
      </c>
      <c r="I1920">
        <v>2</v>
      </c>
      <c r="J1920">
        <v>287.20999999999998</v>
      </c>
      <c r="K1920">
        <v>75</v>
      </c>
      <c r="L1920">
        <v>244</v>
      </c>
      <c r="M1920">
        <v>77.39</v>
      </c>
      <c r="N1920" t="s">
        <v>23</v>
      </c>
      <c r="O1920">
        <v>4</v>
      </c>
      <c r="P1920">
        <v>574.41999999999996</v>
      </c>
      <c r="Q1920">
        <v>649.41999999999996</v>
      </c>
      <c r="R1920" t="s">
        <v>2054</v>
      </c>
    </row>
    <row r="1921" spans="1:18" x14ac:dyDescent="0.25">
      <c r="A1921" t="s">
        <v>1972</v>
      </c>
      <c r="B1921" s="1">
        <v>45972</v>
      </c>
      <c r="C1921" s="1">
        <v>45973</v>
      </c>
      <c r="D1921" t="s">
        <v>25</v>
      </c>
      <c r="E1921" t="s">
        <v>19</v>
      </c>
      <c r="F1921" t="s">
        <v>20</v>
      </c>
      <c r="G1921" t="s">
        <v>26</v>
      </c>
      <c r="H1921" t="s">
        <v>27</v>
      </c>
      <c r="I1921">
        <v>7</v>
      </c>
      <c r="J1921">
        <v>41.9</v>
      </c>
      <c r="K1921">
        <v>8</v>
      </c>
      <c r="L1921">
        <v>304</v>
      </c>
      <c r="M1921">
        <v>19.46</v>
      </c>
      <c r="N1921" t="s">
        <v>23</v>
      </c>
      <c r="O1921">
        <v>1</v>
      </c>
      <c r="P1921">
        <v>293.3</v>
      </c>
      <c r="Q1921">
        <v>301.3</v>
      </c>
      <c r="R1921" t="s">
        <v>2054</v>
      </c>
    </row>
    <row r="1922" spans="1:18" x14ac:dyDescent="0.25">
      <c r="A1922" t="s">
        <v>1973</v>
      </c>
      <c r="B1922" s="1">
        <v>45973</v>
      </c>
      <c r="C1922" s="1">
        <v>45974</v>
      </c>
      <c r="D1922" t="s">
        <v>18</v>
      </c>
      <c r="E1922" t="s">
        <v>19</v>
      </c>
      <c r="F1922" t="s">
        <v>20</v>
      </c>
      <c r="G1922" t="s">
        <v>35</v>
      </c>
      <c r="H1922" t="s">
        <v>32</v>
      </c>
      <c r="I1922">
        <v>7</v>
      </c>
      <c r="J1922">
        <v>36.31</v>
      </c>
      <c r="K1922">
        <v>8</v>
      </c>
      <c r="L1922">
        <v>46</v>
      </c>
      <c r="M1922">
        <v>16.34</v>
      </c>
      <c r="N1922" t="s">
        <v>23</v>
      </c>
      <c r="O1922">
        <v>1</v>
      </c>
      <c r="P1922">
        <v>254.17000000000002</v>
      </c>
      <c r="Q1922">
        <v>262.17</v>
      </c>
      <c r="R1922" t="s">
        <v>2055</v>
      </c>
    </row>
    <row r="1923" spans="1:18" x14ac:dyDescent="0.25">
      <c r="A1923" t="s">
        <v>1974</v>
      </c>
      <c r="B1923" s="1">
        <v>45973</v>
      </c>
      <c r="C1923" s="1">
        <v>45988</v>
      </c>
      <c r="D1923" t="s">
        <v>25</v>
      </c>
      <c r="E1923" t="s">
        <v>19</v>
      </c>
      <c r="F1923" t="s">
        <v>20</v>
      </c>
      <c r="G1923" t="s">
        <v>35</v>
      </c>
      <c r="H1923" t="s">
        <v>40</v>
      </c>
      <c r="I1923">
        <v>12</v>
      </c>
      <c r="J1923">
        <v>40.03</v>
      </c>
      <c r="K1923">
        <v>12</v>
      </c>
      <c r="L1923">
        <v>284</v>
      </c>
      <c r="M1923">
        <v>32.43</v>
      </c>
      <c r="N1923" t="s">
        <v>47</v>
      </c>
      <c r="O1923">
        <v>15</v>
      </c>
      <c r="P1923">
        <v>480.36</v>
      </c>
      <c r="Q1923">
        <v>492.36</v>
      </c>
      <c r="R1923" t="s">
        <v>2054</v>
      </c>
    </row>
    <row r="1924" spans="1:18" x14ac:dyDescent="0.25">
      <c r="A1924" t="s">
        <v>1975</v>
      </c>
      <c r="B1924" s="1">
        <v>45975</v>
      </c>
      <c r="C1924" s="1">
        <v>45978</v>
      </c>
      <c r="D1924" t="s">
        <v>58</v>
      </c>
      <c r="E1924" t="s">
        <v>19</v>
      </c>
      <c r="F1924" t="s">
        <v>20</v>
      </c>
      <c r="G1924" t="s">
        <v>21</v>
      </c>
      <c r="H1924" t="s">
        <v>27</v>
      </c>
      <c r="I1924">
        <v>7</v>
      </c>
      <c r="J1924">
        <v>20.25</v>
      </c>
      <c r="K1924">
        <v>8</v>
      </c>
      <c r="L1924">
        <v>89</v>
      </c>
      <c r="M1924">
        <v>7.34</v>
      </c>
      <c r="N1924" t="s">
        <v>23</v>
      </c>
      <c r="O1924">
        <v>3</v>
      </c>
      <c r="P1924">
        <v>141.75</v>
      </c>
      <c r="Q1924">
        <v>149.75</v>
      </c>
      <c r="R1924" t="s">
        <v>2054</v>
      </c>
    </row>
    <row r="1925" spans="1:18" x14ac:dyDescent="0.25">
      <c r="A1925" t="s">
        <v>1976</v>
      </c>
      <c r="B1925" s="1">
        <v>45975</v>
      </c>
      <c r="C1925" s="1">
        <v>45976</v>
      </c>
      <c r="D1925" t="s">
        <v>25</v>
      </c>
      <c r="E1925" t="s">
        <v>19</v>
      </c>
      <c r="F1925" t="s">
        <v>20</v>
      </c>
      <c r="G1925" t="s">
        <v>35</v>
      </c>
      <c r="H1925" t="s">
        <v>40</v>
      </c>
      <c r="I1925">
        <v>5</v>
      </c>
      <c r="J1925">
        <v>23.45</v>
      </c>
      <c r="K1925">
        <v>12</v>
      </c>
      <c r="L1925">
        <v>36</v>
      </c>
      <c r="M1925">
        <v>-17.59</v>
      </c>
      <c r="N1925" t="s">
        <v>23</v>
      </c>
      <c r="O1925">
        <v>1</v>
      </c>
      <c r="P1925">
        <v>117.25</v>
      </c>
      <c r="Q1925">
        <v>129.25</v>
      </c>
      <c r="R1925" t="s">
        <v>2055</v>
      </c>
    </row>
    <row r="1926" spans="1:18" x14ac:dyDescent="0.25">
      <c r="A1926" t="s">
        <v>1977</v>
      </c>
      <c r="B1926" s="1">
        <v>45976</v>
      </c>
      <c r="C1926" s="1">
        <v>45980</v>
      </c>
      <c r="D1926" t="s">
        <v>50</v>
      </c>
      <c r="E1926" t="s">
        <v>44</v>
      </c>
      <c r="F1926" t="s">
        <v>45</v>
      </c>
      <c r="G1926" t="s">
        <v>35</v>
      </c>
      <c r="H1926" t="s">
        <v>40</v>
      </c>
      <c r="I1926">
        <v>1</v>
      </c>
      <c r="J1926">
        <v>533.95000000000005</v>
      </c>
      <c r="K1926">
        <v>37.5</v>
      </c>
      <c r="L1926">
        <v>132</v>
      </c>
      <c r="M1926">
        <v>168.13</v>
      </c>
      <c r="N1926" t="s">
        <v>23</v>
      </c>
      <c r="O1926">
        <v>4</v>
      </c>
      <c r="P1926">
        <v>533.95000000000005</v>
      </c>
      <c r="Q1926">
        <v>571.45000000000005</v>
      </c>
      <c r="R1926" t="s">
        <v>2054</v>
      </c>
    </row>
    <row r="1927" spans="1:18" x14ac:dyDescent="0.25">
      <c r="A1927" t="s">
        <v>1978</v>
      </c>
      <c r="B1927" s="1">
        <v>45976</v>
      </c>
      <c r="C1927" s="1">
        <v>45981</v>
      </c>
      <c r="D1927" t="s">
        <v>50</v>
      </c>
      <c r="E1927" t="s">
        <v>44</v>
      </c>
      <c r="F1927" t="s">
        <v>45</v>
      </c>
      <c r="G1927" t="s">
        <v>26</v>
      </c>
      <c r="H1927" t="s">
        <v>22</v>
      </c>
      <c r="I1927">
        <v>3</v>
      </c>
      <c r="J1927">
        <v>1131.31</v>
      </c>
      <c r="K1927">
        <v>25</v>
      </c>
      <c r="L1927">
        <v>158</v>
      </c>
      <c r="M1927">
        <v>1175.3699999999999</v>
      </c>
      <c r="N1927" t="s">
        <v>23</v>
      </c>
      <c r="O1927">
        <v>5</v>
      </c>
      <c r="P1927">
        <v>3393.93</v>
      </c>
      <c r="Q1927">
        <v>3418.93</v>
      </c>
      <c r="R1927" t="s">
        <v>2054</v>
      </c>
    </row>
    <row r="1928" spans="1:18" x14ac:dyDescent="0.25">
      <c r="A1928" t="s">
        <v>1979</v>
      </c>
      <c r="B1928" s="1">
        <v>45976</v>
      </c>
      <c r="C1928" s="1">
        <v>45989</v>
      </c>
      <c r="D1928" t="s">
        <v>43</v>
      </c>
      <c r="E1928" t="s">
        <v>44</v>
      </c>
      <c r="F1928" t="s">
        <v>45</v>
      </c>
      <c r="G1928" t="s">
        <v>35</v>
      </c>
      <c r="H1928" t="s">
        <v>22</v>
      </c>
      <c r="I1928">
        <v>2</v>
      </c>
      <c r="J1928">
        <v>859.06</v>
      </c>
      <c r="K1928">
        <v>25</v>
      </c>
      <c r="L1928">
        <v>375</v>
      </c>
      <c r="M1928">
        <v>588.84</v>
      </c>
      <c r="N1928" t="s">
        <v>47</v>
      </c>
      <c r="O1928">
        <v>13</v>
      </c>
      <c r="P1928">
        <v>1718.12</v>
      </c>
      <c r="Q1928">
        <v>1743.12</v>
      </c>
      <c r="R1928" t="s">
        <v>2054</v>
      </c>
    </row>
    <row r="1929" spans="1:18" x14ac:dyDescent="0.25">
      <c r="A1929" t="s">
        <v>1980</v>
      </c>
      <c r="B1929" s="1">
        <v>45977</v>
      </c>
      <c r="C1929" s="1">
        <v>45981</v>
      </c>
      <c r="D1929" t="s">
        <v>25</v>
      </c>
      <c r="E1929" t="s">
        <v>19</v>
      </c>
      <c r="F1929" t="s">
        <v>20</v>
      </c>
      <c r="G1929" t="s">
        <v>21</v>
      </c>
      <c r="H1929" t="s">
        <v>40</v>
      </c>
      <c r="I1929">
        <v>5</v>
      </c>
      <c r="J1929">
        <v>34.130000000000003</v>
      </c>
      <c r="K1929">
        <v>12</v>
      </c>
      <c r="L1929">
        <v>373</v>
      </c>
      <c r="M1929">
        <v>7.65</v>
      </c>
      <c r="N1929" t="s">
        <v>23</v>
      </c>
      <c r="O1929">
        <v>4</v>
      </c>
      <c r="P1929">
        <v>170.65</v>
      </c>
      <c r="Q1929">
        <v>182.65</v>
      </c>
      <c r="R1929" t="s">
        <v>2054</v>
      </c>
    </row>
    <row r="1930" spans="1:18" x14ac:dyDescent="0.25">
      <c r="A1930" t="s">
        <v>1981</v>
      </c>
      <c r="B1930" s="1">
        <v>45978</v>
      </c>
      <c r="C1930" s="1">
        <v>45982</v>
      </c>
      <c r="D1930" t="s">
        <v>52</v>
      </c>
      <c r="E1930" t="s">
        <v>30</v>
      </c>
      <c r="F1930" t="s">
        <v>31</v>
      </c>
      <c r="G1930" t="s">
        <v>26</v>
      </c>
      <c r="H1930" t="s">
        <v>32</v>
      </c>
      <c r="I1930">
        <v>3</v>
      </c>
      <c r="J1930">
        <v>93.31</v>
      </c>
      <c r="K1930">
        <v>12</v>
      </c>
      <c r="L1930">
        <v>190</v>
      </c>
      <c r="M1930">
        <v>105.98</v>
      </c>
      <c r="N1930" t="s">
        <v>23</v>
      </c>
      <c r="O1930">
        <v>4</v>
      </c>
      <c r="P1930">
        <v>279.93</v>
      </c>
      <c r="Q1930">
        <v>291.93</v>
      </c>
      <c r="R1930" t="s">
        <v>2054</v>
      </c>
    </row>
    <row r="1931" spans="1:18" x14ac:dyDescent="0.25">
      <c r="A1931" t="s">
        <v>1982</v>
      </c>
      <c r="B1931" s="1">
        <v>45978</v>
      </c>
      <c r="C1931" s="1">
        <v>45979</v>
      </c>
      <c r="D1931" t="s">
        <v>72</v>
      </c>
      <c r="E1931" t="s">
        <v>44</v>
      </c>
      <c r="F1931" t="s">
        <v>45</v>
      </c>
      <c r="G1931" t="s">
        <v>35</v>
      </c>
      <c r="H1931" t="s">
        <v>32</v>
      </c>
      <c r="I1931">
        <v>1</v>
      </c>
      <c r="J1931">
        <v>283.63</v>
      </c>
      <c r="K1931">
        <v>25</v>
      </c>
      <c r="L1931">
        <v>115</v>
      </c>
      <c r="M1931">
        <v>86.77</v>
      </c>
      <c r="N1931" t="s">
        <v>23</v>
      </c>
      <c r="O1931">
        <v>1</v>
      </c>
      <c r="P1931">
        <v>283.63</v>
      </c>
      <c r="Q1931">
        <v>308.63</v>
      </c>
      <c r="R1931" t="s">
        <v>2054</v>
      </c>
    </row>
    <row r="1932" spans="1:18" x14ac:dyDescent="0.25">
      <c r="A1932" t="s">
        <v>1983</v>
      </c>
      <c r="B1932" s="1">
        <v>45979</v>
      </c>
      <c r="C1932" s="1">
        <v>45988</v>
      </c>
      <c r="D1932" t="s">
        <v>72</v>
      </c>
      <c r="E1932" t="s">
        <v>44</v>
      </c>
      <c r="F1932" t="s">
        <v>45</v>
      </c>
      <c r="G1932" t="s">
        <v>35</v>
      </c>
      <c r="H1932" t="s">
        <v>32</v>
      </c>
      <c r="I1932">
        <v>1</v>
      </c>
      <c r="J1932">
        <v>1162.79</v>
      </c>
      <c r="K1932">
        <v>25</v>
      </c>
      <c r="L1932">
        <v>384</v>
      </c>
      <c r="M1932">
        <v>394.48</v>
      </c>
      <c r="N1932" t="s">
        <v>63</v>
      </c>
      <c r="O1932">
        <v>9</v>
      </c>
      <c r="P1932">
        <v>1162.79</v>
      </c>
      <c r="Q1932">
        <v>1187.79</v>
      </c>
      <c r="R1932" t="s">
        <v>2054</v>
      </c>
    </row>
    <row r="1933" spans="1:18" x14ac:dyDescent="0.25">
      <c r="A1933" t="s">
        <v>1984</v>
      </c>
      <c r="B1933" s="1">
        <v>45981</v>
      </c>
      <c r="C1933" s="1">
        <v>45985</v>
      </c>
      <c r="D1933" t="s">
        <v>29</v>
      </c>
      <c r="E1933" t="s">
        <v>30</v>
      </c>
      <c r="F1933" t="s">
        <v>31</v>
      </c>
      <c r="G1933" t="s">
        <v>21</v>
      </c>
      <c r="H1933" t="s">
        <v>22</v>
      </c>
      <c r="I1933">
        <v>4</v>
      </c>
      <c r="J1933">
        <v>63.8</v>
      </c>
      <c r="K1933">
        <v>12</v>
      </c>
      <c r="L1933">
        <v>394</v>
      </c>
      <c r="M1933">
        <v>96.08</v>
      </c>
      <c r="N1933" t="s">
        <v>23</v>
      </c>
      <c r="O1933">
        <v>4</v>
      </c>
      <c r="P1933">
        <v>255.2</v>
      </c>
      <c r="Q1933">
        <v>267.2</v>
      </c>
      <c r="R1933" t="s">
        <v>2054</v>
      </c>
    </row>
    <row r="1934" spans="1:18" x14ac:dyDescent="0.25">
      <c r="A1934" t="s">
        <v>1985</v>
      </c>
      <c r="B1934" s="1">
        <v>45983</v>
      </c>
      <c r="C1934" s="1">
        <v>45984</v>
      </c>
      <c r="D1934" t="s">
        <v>58</v>
      </c>
      <c r="E1934" t="s">
        <v>19</v>
      </c>
      <c r="F1934" t="s">
        <v>20</v>
      </c>
      <c r="G1934" t="s">
        <v>26</v>
      </c>
      <c r="H1934" t="s">
        <v>27</v>
      </c>
      <c r="I1934">
        <v>5</v>
      </c>
      <c r="J1934">
        <v>13.39</v>
      </c>
      <c r="K1934">
        <v>8</v>
      </c>
      <c r="L1934">
        <v>105</v>
      </c>
      <c r="M1934">
        <v>1.36</v>
      </c>
      <c r="N1934" t="s">
        <v>23</v>
      </c>
      <c r="O1934">
        <v>1</v>
      </c>
      <c r="P1934">
        <v>66.95</v>
      </c>
      <c r="Q1934">
        <v>74.95</v>
      </c>
      <c r="R1934" t="s">
        <v>2054</v>
      </c>
    </row>
    <row r="1935" spans="1:18" x14ac:dyDescent="0.25">
      <c r="A1935" t="s">
        <v>1986</v>
      </c>
      <c r="B1935" s="1">
        <v>45983</v>
      </c>
      <c r="C1935" s="1">
        <v>45995</v>
      </c>
      <c r="D1935" t="s">
        <v>78</v>
      </c>
      <c r="E1935" t="s">
        <v>79</v>
      </c>
      <c r="F1935" t="s">
        <v>80</v>
      </c>
      <c r="G1935" t="s">
        <v>35</v>
      </c>
      <c r="H1935" t="s">
        <v>40</v>
      </c>
      <c r="I1935">
        <v>5</v>
      </c>
      <c r="J1935">
        <v>137.05000000000001</v>
      </c>
      <c r="K1935">
        <v>18</v>
      </c>
      <c r="L1935">
        <v>111</v>
      </c>
      <c r="M1935">
        <v>299.37</v>
      </c>
      <c r="N1935" t="s">
        <v>47</v>
      </c>
      <c r="O1935">
        <v>12</v>
      </c>
      <c r="P1935">
        <v>685.25</v>
      </c>
      <c r="Q1935">
        <v>703.25</v>
      </c>
      <c r="R1935" t="s">
        <v>2054</v>
      </c>
    </row>
    <row r="1936" spans="1:18" x14ac:dyDescent="0.25">
      <c r="A1936" t="s">
        <v>1987</v>
      </c>
      <c r="B1936" s="1">
        <v>45983</v>
      </c>
      <c r="C1936" s="1">
        <v>45988</v>
      </c>
      <c r="D1936" t="s">
        <v>34</v>
      </c>
      <c r="E1936" t="s">
        <v>30</v>
      </c>
      <c r="F1936" t="s">
        <v>31</v>
      </c>
      <c r="G1936" t="s">
        <v>35</v>
      </c>
      <c r="H1936" t="s">
        <v>27</v>
      </c>
      <c r="I1936">
        <v>3</v>
      </c>
      <c r="J1936">
        <v>30.33</v>
      </c>
      <c r="K1936">
        <v>12</v>
      </c>
      <c r="L1936">
        <v>294</v>
      </c>
      <c r="M1936">
        <v>30.4</v>
      </c>
      <c r="N1936" t="s">
        <v>23</v>
      </c>
      <c r="O1936">
        <v>5</v>
      </c>
      <c r="P1936">
        <v>90.99</v>
      </c>
      <c r="Q1936">
        <v>102.99</v>
      </c>
      <c r="R1936" t="s">
        <v>2054</v>
      </c>
    </row>
    <row r="1937" spans="1:18" x14ac:dyDescent="0.25">
      <c r="A1937" t="s">
        <v>1988</v>
      </c>
      <c r="B1937" s="1">
        <v>45985</v>
      </c>
      <c r="C1937" s="1">
        <v>45987</v>
      </c>
      <c r="D1937" t="s">
        <v>29</v>
      </c>
      <c r="E1937" t="s">
        <v>30</v>
      </c>
      <c r="F1937" t="s">
        <v>31</v>
      </c>
      <c r="G1937" t="s">
        <v>35</v>
      </c>
      <c r="H1937" t="s">
        <v>40</v>
      </c>
      <c r="I1937">
        <v>5</v>
      </c>
      <c r="J1937">
        <v>37.6</v>
      </c>
      <c r="K1937">
        <v>18</v>
      </c>
      <c r="L1937">
        <v>360</v>
      </c>
      <c r="M1937">
        <v>66.2</v>
      </c>
      <c r="N1937" t="s">
        <v>23</v>
      </c>
      <c r="O1937">
        <v>2</v>
      </c>
      <c r="P1937">
        <v>188</v>
      </c>
      <c r="Q1937">
        <v>206</v>
      </c>
      <c r="R1937" t="s">
        <v>2054</v>
      </c>
    </row>
    <row r="1938" spans="1:18" x14ac:dyDescent="0.25">
      <c r="A1938" t="s">
        <v>1989</v>
      </c>
      <c r="B1938" s="1">
        <v>45986</v>
      </c>
      <c r="C1938" s="1">
        <v>45987</v>
      </c>
      <c r="D1938" t="s">
        <v>37</v>
      </c>
      <c r="E1938" t="s">
        <v>38</v>
      </c>
      <c r="F1938" t="s">
        <v>39</v>
      </c>
      <c r="G1938" t="s">
        <v>35</v>
      </c>
      <c r="H1938" t="s">
        <v>40</v>
      </c>
      <c r="I1938">
        <v>1</v>
      </c>
      <c r="J1938">
        <v>340.29</v>
      </c>
      <c r="K1938">
        <v>112.5</v>
      </c>
      <c r="L1938">
        <v>282</v>
      </c>
      <c r="M1938">
        <v>11.81</v>
      </c>
      <c r="N1938" t="s">
        <v>23</v>
      </c>
      <c r="O1938">
        <v>1</v>
      </c>
      <c r="P1938">
        <v>340.29</v>
      </c>
      <c r="Q1938">
        <v>452.79</v>
      </c>
      <c r="R1938" t="s">
        <v>2054</v>
      </c>
    </row>
    <row r="1939" spans="1:18" x14ac:dyDescent="0.25">
      <c r="A1939" t="s">
        <v>1990</v>
      </c>
      <c r="B1939" s="1">
        <v>45987</v>
      </c>
      <c r="C1939" s="1">
        <v>45991</v>
      </c>
      <c r="D1939" t="s">
        <v>37</v>
      </c>
      <c r="E1939" t="s">
        <v>38</v>
      </c>
      <c r="F1939" t="s">
        <v>39</v>
      </c>
      <c r="G1939" t="s">
        <v>21</v>
      </c>
      <c r="H1939" t="s">
        <v>27</v>
      </c>
      <c r="I1939">
        <v>1</v>
      </c>
      <c r="J1939">
        <v>381.1</v>
      </c>
      <c r="K1939">
        <v>75</v>
      </c>
      <c r="L1939">
        <v>296</v>
      </c>
      <c r="M1939">
        <v>38.72</v>
      </c>
      <c r="N1939" t="s">
        <v>23</v>
      </c>
      <c r="O1939">
        <v>4</v>
      </c>
      <c r="P1939">
        <v>381.1</v>
      </c>
      <c r="Q1939">
        <v>456.1</v>
      </c>
      <c r="R1939" t="s">
        <v>2054</v>
      </c>
    </row>
    <row r="1940" spans="1:18" x14ac:dyDescent="0.25">
      <c r="A1940" t="s">
        <v>1991</v>
      </c>
      <c r="B1940" s="1">
        <v>45987</v>
      </c>
      <c r="C1940" s="1">
        <v>45989</v>
      </c>
      <c r="D1940" t="s">
        <v>29</v>
      </c>
      <c r="E1940" t="s">
        <v>30</v>
      </c>
      <c r="F1940" t="s">
        <v>31</v>
      </c>
      <c r="G1940" t="s">
        <v>35</v>
      </c>
      <c r="H1940" t="s">
        <v>22</v>
      </c>
      <c r="I1940">
        <v>4</v>
      </c>
      <c r="J1940">
        <v>59.75</v>
      </c>
      <c r="K1940">
        <v>12</v>
      </c>
      <c r="L1940">
        <v>307</v>
      </c>
      <c r="M1940">
        <v>89.59</v>
      </c>
      <c r="N1940" t="s">
        <v>23</v>
      </c>
      <c r="O1940">
        <v>2</v>
      </c>
      <c r="P1940">
        <v>239</v>
      </c>
      <c r="Q1940">
        <v>251</v>
      </c>
      <c r="R1940" t="s">
        <v>2054</v>
      </c>
    </row>
    <row r="1941" spans="1:18" x14ac:dyDescent="0.25">
      <c r="A1941" t="s">
        <v>1992</v>
      </c>
      <c r="B1941" s="1">
        <v>45989</v>
      </c>
      <c r="C1941" s="1">
        <v>45992</v>
      </c>
      <c r="D1941" t="s">
        <v>18</v>
      </c>
      <c r="E1941" t="s">
        <v>19</v>
      </c>
      <c r="F1941" t="s">
        <v>20</v>
      </c>
      <c r="G1941" t="s">
        <v>26</v>
      </c>
      <c r="H1941" t="s">
        <v>22</v>
      </c>
      <c r="I1941">
        <v>6</v>
      </c>
      <c r="J1941">
        <v>49.58</v>
      </c>
      <c r="K1941">
        <v>8</v>
      </c>
      <c r="L1941">
        <v>90</v>
      </c>
      <c r="M1941">
        <v>19.8</v>
      </c>
      <c r="N1941" t="s">
        <v>23</v>
      </c>
      <c r="O1941">
        <v>3</v>
      </c>
      <c r="P1941">
        <v>297.48</v>
      </c>
      <c r="Q1941">
        <v>305.48</v>
      </c>
      <c r="R1941" t="s">
        <v>2054</v>
      </c>
    </row>
    <row r="1942" spans="1:18" x14ac:dyDescent="0.25">
      <c r="A1942" t="s">
        <v>1993</v>
      </c>
      <c r="B1942" s="1">
        <v>45989</v>
      </c>
      <c r="C1942" s="1">
        <v>45994</v>
      </c>
      <c r="D1942" t="s">
        <v>58</v>
      </c>
      <c r="E1942" t="s">
        <v>19</v>
      </c>
      <c r="F1942" t="s">
        <v>20</v>
      </c>
      <c r="G1942" t="s">
        <v>21</v>
      </c>
      <c r="H1942" t="s">
        <v>27</v>
      </c>
      <c r="I1942">
        <v>8</v>
      </c>
      <c r="J1942">
        <v>40.79</v>
      </c>
      <c r="K1942">
        <v>8</v>
      </c>
      <c r="L1942">
        <v>3</v>
      </c>
      <c r="M1942">
        <v>22.11</v>
      </c>
      <c r="N1942" t="s">
        <v>23</v>
      </c>
      <c r="O1942">
        <v>5</v>
      </c>
      <c r="P1942">
        <v>326.32</v>
      </c>
      <c r="Q1942">
        <v>334.32</v>
      </c>
      <c r="R1942" t="s">
        <v>2056</v>
      </c>
    </row>
    <row r="1943" spans="1:18" x14ac:dyDescent="0.25">
      <c r="A1943" t="s">
        <v>1994</v>
      </c>
      <c r="B1943" s="1">
        <v>45989</v>
      </c>
      <c r="C1943" s="1">
        <v>46004</v>
      </c>
      <c r="D1943" t="s">
        <v>52</v>
      </c>
      <c r="E1943" t="s">
        <v>30</v>
      </c>
      <c r="F1943" t="s">
        <v>31</v>
      </c>
      <c r="G1943" t="s">
        <v>35</v>
      </c>
      <c r="H1943" t="s">
        <v>32</v>
      </c>
      <c r="I1943">
        <v>4</v>
      </c>
      <c r="J1943">
        <v>124.71</v>
      </c>
      <c r="K1943">
        <v>12</v>
      </c>
      <c r="L1943">
        <v>233</v>
      </c>
      <c r="M1943">
        <v>193.54</v>
      </c>
      <c r="N1943" t="s">
        <v>47</v>
      </c>
      <c r="O1943">
        <v>15</v>
      </c>
      <c r="P1943">
        <v>498.84</v>
      </c>
      <c r="Q1943">
        <v>510.84</v>
      </c>
      <c r="R1943" t="s">
        <v>2054</v>
      </c>
    </row>
    <row r="1944" spans="1:18" x14ac:dyDescent="0.25">
      <c r="A1944" t="s">
        <v>1995</v>
      </c>
      <c r="B1944" s="1">
        <v>45989</v>
      </c>
      <c r="C1944" s="1">
        <v>45990</v>
      </c>
      <c r="D1944" t="s">
        <v>58</v>
      </c>
      <c r="E1944" t="s">
        <v>19</v>
      </c>
      <c r="F1944" t="s">
        <v>20</v>
      </c>
      <c r="G1944" t="s">
        <v>35</v>
      </c>
      <c r="H1944" t="s">
        <v>32</v>
      </c>
      <c r="I1944">
        <v>13</v>
      </c>
      <c r="J1944">
        <v>48.22</v>
      </c>
      <c r="K1944">
        <v>8</v>
      </c>
      <c r="L1944">
        <v>125</v>
      </c>
      <c r="M1944">
        <v>46.15</v>
      </c>
      <c r="N1944" t="s">
        <v>23</v>
      </c>
      <c r="O1944">
        <v>1</v>
      </c>
      <c r="P1944">
        <v>626.86</v>
      </c>
      <c r="Q1944">
        <v>634.86</v>
      </c>
      <c r="R1944" t="s">
        <v>2054</v>
      </c>
    </row>
    <row r="1945" spans="1:18" x14ac:dyDescent="0.25">
      <c r="A1945" t="s">
        <v>1996</v>
      </c>
      <c r="B1945" s="1">
        <v>45989</v>
      </c>
      <c r="C1945" s="1">
        <v>45992</v>
      </c>
      <c r="D1945" t="s">
        <v>58</v>
      </c>
      <c r="E1945" t="s">
        <v>19</v>
      </c>
      <c r="F1945" t="s">
        <v>20</v>
      </c>
      <c r="G1945" t="s">
        <v>35</v>
      </c>
      <c r="H1945" t="s">
        <v>40</v>
      </c>
      <c r="I1945">
        <v>9</v>
      </c>
      <c r="J1945">
        <v>26.18</v>
      </c>
      <c r="K1945">
        <v>12</v>
      </c>
      <c r="L1945">
        <v>351</v>
      </c>
      <c r="M1945">
        <v>12.85</v>
      </c>
      <c r="N1945" t="s">
        <v>23</v>
      </c>
      <c r="O1945">
        <v>3</v>
      </c>
      <c r="P1945">
        <v>235.62</v>
      </c>
      <c r="Q1945">
        <v>247.62</v>
      </c>
      <c r="R1945" t="s">
        <v>2054</v>
      </c>
    </row>
    <row r="1946" spans="1:18" x14ac:dyDescent="0.25">
      <c r="A1946" t="s">
        <v>1997</v>
      </c>
      <c r="B1946" s="1">
        <v>45989</v>
      </c>
      <c r="C1946" s="1">
        <v>45990</v>
      </c>
      <c r="D1946" t="s">
        <v>54</v>
      </c>
      <c r="E1946" t="s">
        <v>38</v>
      </c>
      <c r="F1946" t="s">
        <v>39</v>
      </c>
      <c r="G1946" t="s">
        <v>26</v>
      </c>
      <c r="H1946" t="s">
        <v>27</v>
      </c>
      <c r="I1946">
        <v>2</v>
      </c>
      <c r="J1946">
        <v>193.63</v>
      </c>
      <c r="K1946">
        <v>75</v>
      </c>
      <c r="L1946">
        <v>207</v>
      </c>
      <c r="M1946">
        <v>39.950000000000003</v>
      </c>
      <c r="N1946" t="s">
        <v>23</v>
      </c>
      <c r="O1946">
        <v>1</v>
      </c>
      <c r="P1946">
        <v>387.26</v>
      </c>
      <c r="Q1946">
        <v>462.26</v>
      </c>
      <c r="R1946" t="s">
        <v>2054</v>
      </c>
    </row>
    <row r="1947" spans="1:18" x14ac:dyDescent="0.25">
      <c r="A1947" t="s">
        <v>1998</v>
      </c>
      <c r="B1947" s="1">
        <v>45989</v>
      </c>
      <c r="C1947" s="1">
        <v>45992</v>
      </c>
      <c r="D1947" t="s">
        <v>82</v>
      </c>
      <c r="E1947" t="s">
        <v>79</v>
      </c>
      <c r="F1947" t="s">
        <v>80</v>
      </c>
      <c r="G1947" t="s">
        <v>35</v>
      </c>
      <c r="H1947" t="s">
        <v>27</v>
      </c>
      <c r="I1947">
        <v>3</v>
      </c>
      <c r="J1947">
        <v>26.52</v>
      </c>
      <c r="K1947">
        <v>12</v>
      </c>
      <c r="L1947">
        <v>22</v>
      </c>
      <c r="M1947">
        <v>29.81</v>
      </c>
      <c r="N1947" t="s">
        <v>23</v>
      </c>
      <c r="O1947">
        <v>3</v>
      </c>
      <c r="P1947">
        <v>79.56</v>
      </c>
      <c r="Q1947">
        <v>91.56</v>
      </c>
      <c r="R1947" t="s">
        <v>2055</v>
      </c>
    </row>
    <row r="1948" spans="1:18" x14ac:dyDescent="0.25">
      <c r="A1948" t="s">
        <v>1999</v>
      </c>
      <c r="B1948" s="1">
        <v>45989</v>
      </c>
      <c r="C1948" s="1">
        <v>45993</v>
      </c>
      <c r="D1948" t="s">
        <v>52</v>
      </c>
      <c r="E1948" t="s">
        <v>30</v>
      </c>
      <c r="F1948" t="s">
        <v>31</v>
      </c>
      <c r="G1948" t="s">
        <v>21</v>
      </c>
      <c r="H1948" t="s">
        <v>40</v>
      </c>
      <c r="I1948">
        <v>5</v>
      </c>
      <c r="J1948">
        <v>141.46</v>
      </c>
      <c r="K1948">
        <v>18</v>
      </c>
      <c r="L1948">
        <v>390</v>
      </c>
      <c r="M1948">
        <v>273.92</v>
      </c>
      <c r="N1948" t="s">
        <v>23</v>
      </c>
      <c r="O1948">
        <v>4</v>
      </c>
      <c r="P1948">
        <v>707.30000000000007</v>
      </c>
      <c r="Q1948">
        <v>725.30000000000007</v>
      </c>
      <c r="R1948" t="s">
        <v>2054</v>
      </c>
    </row>
    <row r="1949" spans="1:18" x14ac:dyDescent="0.25">
      <c r="A1949" t="s">
        <v>2000</v>
      </c>
      <c r="B1949" s="1">
        <v>45990</v>
      </c>
      <c r="C1949" s="1">
        <v>45993</v>
      </c>
      <c r="D1949" t="s">
        <v>56</v>
      </c>
      <c r="E1949" t="s">
        <v>38</v>
      </c>
      <c r="F1949" t="s">
        <v>39</v>
      </c>
      <c r="G1949" t="s">
        <v>21</v>
      </c>
      <c r="H1949" t="s">
        <v>40</v>
      </c>
      <c r="I1949">
        <v>1</v>
      </c>
      <c r="J1949">
        <v>244.19</v>
      </c>
      <c r="K1949">
        <v>112.5</v>
      </c>
      <c r="L1949">
        <v>250</v>
      </c>
      <c r="M1949">
        <v>-7.41</v>
      </c>
      <c r="N1949" t="s">
        <v>23</v>
      </c>
      <c r="O1949">
        <v>3</v>
      </c>
      <c r="P1949">
        <v>244.19</v>
      </c>
      <c r="Q1949">
        <v>356.69</v>
      </c>
      <c r="R1949" t="s">
        <v>2054</v>
      </c>
    </row>
    <row r="1950" spans="1:18" x14ac:dyDescent="0.25">
      <c r="A1950" t="s">
        <v>2001</v>
      </c>
      <c r="B1950" s="1">
        <v>45990</v>
      </c>
      <c r="C1950" s="1">
        <v>45991</v>
      </c>
      <c r="D1950" t="s">
        <v>75</v>
      </c>
      <c r="E1950" t="s">
        <v>44</v>
      </c>
      <c r="F1950" t="s">
        <v>45</v>
      </c>
      <c r="G1950" t="s">
        <v>35</v>
      </c>
      <c r="H1950" t="s">
        <v>40</v>
      </c>
      <c r="I1950">
        <v>1</v>
      </c>
      <c r="J1950">
        <v>230.98</v>
      </c>
      <c r="K1950">
        <v>37.5</v>
      </c>
      <c r="L1950">
        <v>278</v>
      </c>
      <c r="M1950">
        <v>62.09</v>
      </c>
      <c r="N1950" t="s">
        <v>23</v>
      </c>
      <c r="O1950">
        <v>1</v>
      </c>
      <c r="P1950">
        <v>230.98</v>
      </c>
      <c r="Q1950">
        <v>268.48</v>
      </c>
      <c r="R1950" t="s">
        <v>2054</v>
      </c>
    </row>
    <row r="1951" spans="1:18" x14ac:dyDescent="0.25">
      <c r="A1951" t="s">
        <v>2002</v>
      </c>
      <c r="B1951" s="1">
        <v>45990</v>
      </c>
      <c r="C1951" s="1">
        <v>45994</v>
      </c>
      <c r="D1951" t="s">
        <v>25</v>
      </c>
      <c r="E1951" t="s">
        <v>19</v>
      </c>
      <c r="F1951" t="s">
        <v>20</v>
      </c>
      <c r="G1951" t="s">
        <v>26</v>
      </c>
      <c r="H1951" t="s">
        <v>27</v>
      </c>
      <c r="I1951">
        <v>8</v>
      </c>
      <c r="J1951">
        <v>21.82</v>
      </c>
      <c r="K1951">
        <v>8</v>
      </c>
      <c r="L1951">
        <v>389</v>
      </c>
      <c r="M1951">
        <v>9.9600000000000009</v>
      </c>
      <c r="N1951" t="s">
        <v>23</v>
      </c>
      <c r="O1951">
        <v>4</v>
      </c>
      <c r="P1951">
        <v>174.56</v>
      </c>
      <c r="Q1951">
        <v>182.56</v>
      </c>
      <c r="R1951" t="s">
        <v>2054</v>
      </c>
    </row>
    <row r="1952" spans="1:18" x14ac:dyDescent="0.25">
      <c r="A1952" t="s">
        <v>2003</v>
      </c>
      <c r="B1952" s="1">
        <v>45991</v>
      </c>
      <c r="C1952" s="1">
        <v>45994</v>
      </c>
      <c r="D1952" t="s">
        <v>56</v>
      </c>
      <c r="E1952" t="s">
        <v>38</v>
      </c>
      <c r="F1952" t="s">
        <v>39</v>
      </c>
      <c r="G1952" t="s">
        <v>26</v>
      </c>
      <c r="H1952" t="s">
        <v>22</v>
      </c>
      <c r="I1952">
        <v>2</v>
      </c>
      <c r="J1952">
        <v>163.04</v>
      </c>
      <c r="K1952">
        <v>75</v>
      </c>
      <c r="L1952">
        <v>218</v>
      </c>
      <c r="M1952">
        <v>27.71</v>
      </c>
      <c r="N1952" t="s">
        <v>23</v>
      </c>
      <c r="O1952">
        <v>3</v>
      </c>
      <c r="P1952">
        <v>326.08</v>
      </c>
      <c r="Q1952">
        <v>401.08</v>
      </c>
      <c r="R1952" t="s">
        <v>2054</v>
      </c>
    </row>
    <row r="1953" spans="1:18" x14ac:dyDescent="0.25">
      <c r="A1953" t="s">
        <v>2004</v>
      </c>
      <c r="B1953" s="1">
        <v>45992</v>
      </c>
      <c r="C1953" s="1">
        <v>46003</v>
      </c>
      <c r="D1953" t="s">
        <v>54</v>
      </c>
      <c r="E1953" t="s">
        <v>38</v>
      </c>
      <c r="F1953" t="s">
        <v>39</v>
      </c>
      <c r="G1953" t="s">
        <v>35</v>
      </c>
      <c r="H1953" t="s">
        <v>40</v>
      </c>
      <c r="I1953">
        <v>1</v>
      </c>
      <c r="J1953">
        <v>379.66</v>
      </c>
      <c r="K1953">
        <v>112.5</v>
      </c>
      <c r="L1953">
        <v>213</v>
      </c>
      <c r="M1953">
        <v>19.68</v>
      </c>
      <c r="N1953" t="s">
        <v>47</v>
      </c>
      <c r="O1953">
        <v>11</v>
      </c>
      <c r="P1953">
        <v>379.66</v>
      </c>
      <c r="Q1953">
        <v>492.16</v>
      </c>
      <c r="R1953" t="s">
        <v>2054</v>
      </c>
    </row>
    <row r="1954" spans="1:18" x14ac:dyDescent="0.25">
      <c r="A1954" t="s">
        <v>2005</v>
      </c>
      <c r="B1954" s="1">
        <v>45992</v>
      </c>
      <c r="C1954" s="1">
        <v>45997</v>
      </c>
      <c r="D1954" t="s">
        <v>29</v>
      </c>
      <c r="E1954" t="s">
        <v>30</v>
      </c>
      <c r="F1954" t="s">
        <v>31</v>
      </c>
      <c r="G1954" t="s">
        <v>35</v>
      </c>
      <c r="H1954" t="s">
        <v>40</v>
      </c>
      <c r="I1954">
        <v>3</v>
      </c>
      <c r="J1954">
        <v>88.99</v>
      </c>
      <c r="K1954">
        <v>18</v>
      </c>
      <c r="L1954">
        <v>130</v>
      </c>
      <c r="M1954">
        <v>97.79</v>
      </c>
      <c r="N1954" t="s">
        <v>23</v>
      </c>
      <c r="O1954">
        <v>5</v>
      </c>
      <c r="P1954">
        <v>266.96999999999997</v>
      </c>
      <c r="Q1954">
        <v>284.96999999999997</v>
      </c>
      <c r="R1954" t="s">
        <v>2054</v>
      </c>
    </row>
    <row r="1955" spans="1:18" x14ac:dyDescent="0.25">
      <c r="A1955" t="s">
        <v>2006</v>
      </c>
      <c r="B1955" s="1">
        <v>45993</v>
      </c>
      <c r="C1955" s="1">
        <v>45996</v>
      </c>
      <c r="D1955" t="s">
        <v>58</v>
      </c>
      <c r="E1955" t="s">
        <v>19</v>
      </c>
      <c r="F1955" t="s">
        <v>20</v>
      </c>
      <c r="G1955" t="s">
        <v>26</v>
      </c>
      <c r="H1955" t="s">
        <v>27</v>
      </c>
      <c r="I1955">
        <v>6</v>
      </c>
      <c r="J1955">
        <v>25.08</v>
      </c>
      <c r="K1955">
        <v>8</v>
      </c>
      <c r="L1955">
        <v>369</v>
      </c>
      <c r="M1955">
        <v>8.0399999999999991</v>
      </c>
      <c r="N1955" t="s">
        <v>23</v>
      </c>
      <c r="O1955">
        <v>3</v>
      </c>
      <c r="P1955">
        <v>150.47999999999999</v>
      </c>
      <c r="Q1955">
        <v>158.47999999999999</v>
      </c>
      <c r="R1955" t="s">
        <v>2054</v>
      </c>
    </row>
    <row r="1956" spans="1:18" x14ac:dyDescent="0.25">
      <c r="A1956" t="s">
        <v>2007</v>
      </c>
      <c r="B1956" s="1">
        <v>45994</v>
      </c>
      <c r="C1956" s="1">
        <v>45996</v>
      </c>
      <c r="D1956" t="s">
        <v>29</v>
      </c>
      <c r="E1956" t="s">
        <v>30</v>
      </c>
      <c r="F1956" t="s">
        <v>31</v>
      </c>
      <c r="G1956" t="s">
        <v>26</v>
      </c>
      <c r="H1956" t="s">
        <v>32</v>
      </c>
      <c r="I1956">
        <v>2</v>
      </c>
      <c r="J1956">
        <v>34.380000000000003</v>
      </c>
      <c r="K1956">
        <v>12</v>
      </c>
      <c r="L1956">
        <v>396</v>
      </c>
      <c r="M1956">
        <v>21.5</v>
      </c>
      <c r="N1956" t="s">
        <v>23</v>
      </c>
      <c r="O1956">
        <v>2</v>
      </c>
      <c r="P1956">
        <v>68.760000000000005</v>
      </c>
      <c r="Q1956">
        <v>80.760000000000005</v>
      </c>
      <c r="R1956" t="s">
        <v>2054</v>
      </c>
    </row>
    <row r="1957" spans="1:18" x14ac:dyDescent="0.25">
      <c r="A1957" t="s">
        <v>2008</v>
      </c>
      <c r="B1957" s="1">
        <v>45994</v>
      </c>
      <c r="C1957" s="1">
        <v>46011</v>
      </c>
      <c r="D1957" t="s">
        <v>56</v>
      </c>
      <c r="E1957" t="s">
        <v>38</v>
      </c>
      <c r="F1957" t="s">
        <v>39</v>
      </c>
      <c r="G1957" t="s">
        <v>35</v>
      </c>
      <c r="H1957" t="s">
        <v>27</v>
      </c>
      <c r="I1957">
        <v>2</v>
      </c>
      <c r="J1957">
        <v>430.87</v>
      </c>
      <c r="K1957">
        <v>75</v>
      </c>
      <c r="L1957">
        <v>349</v>
      </c>
      <c r="M1957">
        <v>134.85</v>
      </c>
      <c r="N1957" t="s">
        <v>47</v>
      </c>
      <c r="O1957">
        <v>17</v>
      </c>
      <c r="P1957">
        <v>861.74</v>
      </c>
      <c r="Q1957">
        <v>936.74</v>
      </c>
      <c r="R1957" t="s">
        <v>2054</v>
      </c>
    </row>
    <row r="1958" spans="1:18" x14ac:dyDescent="0.25">
      <c r="A1958" t="s">
        <v>2009</v>
      </c>
      <c r="B1958" s="1">
        <v>45996</v>
      </c>
      <c r="C1958" s="1">
        <v>46001</v>
      </c>
      <c r="D1958" t="s">
        <v>56</v>
      </c>
      <c r="E1958" t="s">
        <v>38</v>
      </c>
      <c r="F1958" t="s">
        <v>39</v>
      </c>
      <c r="G1958" t="s">
        <v>35</v>
      </c>
      <c r="H1958" t="s">
        <v>32</v>
      </c>
      <c r="I1958">
        <v>2</v>
      </c>
      <c r="J1958">
        <v>247.21</v>
      </c>
      <c r="K1958">
        <v>75</v>
      </c>
      <c r="L1958">
        <v>340</v>
      </c>
      <c r="M1958">
        <v>61.38</v>
      </c>
      <c r="N1958" t="s">
        <v>23</v>
      </c>
      <c r="O1958">
        <v>5</v>
      </c>
      <c r="P1958">
        <v>494.42</v>
      </c>
      <c r="Q1958">
        <v>569.42000000000007</v>
      </c>
      <c r="R1958" t="s">
        <v>2054</v>
      </c>
    </row>
    <row r="1959" spans="1:18" x14ac:dyDescent="0.25">
      <c r="A1959" t="s">
        <v>2010</v>
      </c>
      <c r="B1959" s="1">
        <v>45996</v>
      </c>
      <c r="C1959" s="1">
        <v>46011</v>
      </c>
      <c r="D1959" t="s">
        <v>58</v>
      </c>
      <c r="E1959" t="s">
        <v>19</v>
      </c>
      <c r="F1959" t="s">
        <v>20</v>
      </c>
      <c r="G1959" t="s">
        <v>35</v>
      </c>
      <c r="H1959" t="s">
        <v>27</v>
      </c>
      <c r="I1959">
        <v>7</v>
      </c>
      <c r="J1959">
        <v>43.57</v>
      </c>
      <c r="K1959">
        <v>8</v>
      </c>
      <c r="L1959">
        <v>9</v>
      </c>
      <c r="M1959">
        <v>20.399999999999999</v>
      </c>
      <c r="N1959" t="s">
        <v>47</v>
      </c>
      <c r="O1959">
        <v>15</v>
      </c>
      <c r="P1959">
        <v>304.99</v>
      </c>
      <c r="Q1959">
        <v>312.99</v>
      </c>
      <c r="R1959" t="s">
        <v>2056</v>
      </c>
    </row>
    <row r="1960" spans="1:18" x14ac:dyDescent="0.25">
      <c r="A1960" t="s">
        <v>2011</v>
      </c>
      <c r="B1960" s="1">
        <v>45996</v>
      </c>
      <c r="C1960" s="1">
        <v>46000</v>
      </c>
      <c r="D1960" t="s">
        <v>75</v>
      </c>
      <c r="E1960" t="s">
        <v>44</v>
      </c>
      <c r="F1960" t="s">
        <v>45</v>
      </c>
      <c r="G1960" t="s">
        <v>35</v>
      </c>
      <c r="H1960" t="s">
        <v>22</v>
      </c>
      <c r="I1960">
        <v>2</v>
      </c>
      <c r="J1960">
        <v>363.64</v>
      </c>
      <c r="K1960">
        <v>25</v>
      </c>
      <c r="L1960">
        <v>53</v>
      </c>
      <c r="M1960">
        <v>242.04</v>
      </c>
      <c r="N1960" t="s">
        <v>23</v>
      </c>
      <c r="O1960">
        <v>4</v>
      </c>
      <c r="P1960">
        <v>727.28</v>
      </c>
      <c r="Q1960">
        <v>752.28</v>
      </c>
      <c r="R1960" t="s">
        <v>2054</v>
      </c>
    </row>
    <row r="1961" spans="1:18" x14ac:dyDescent="0.25">
      <c r="A1961" t="s">
        <v>2012</v>
      </c>
      <c r="B1961" s="1">
        <v>45996</v>
      </c>
      <c r="C1961" s="1">
        <v>46001</v>
      </c>
      <c r="D1961" t="s">
        <v>56</v>
      </c>
      <c r="E1961" t="s">
        <v>38</v>
      </c>
      <c r="F1961" t="s">
        <v>39</v>
      </c>
      <c r="G1961" t="s">
        <v>26</v>
      </c>
      <c r="H1961" t="s">
        <v>27</v>
      </c>
      <c r="I1961">
        <v>1</v>
      </c>
      <c r="J1961">
        <v>405.11</v>
      </c>
      <c r="K1961">
        <v>75</v>
      </c>
      <c r="L1961">
        <v>320</v>
      </c>
      <c r="M1961">
        <v>43.52</v>
      </c>
      <c r="N1961" t="s">
        <v>23</v>
      </c>
      <c r="O1961">
        <v>5</v>
      </c>
      <c r="P1961">
        <v>405.11</v>
      </c>
      <c r="Q1961">
        <v>480.11</v>
      </c>
      <c r="R1961" t="s">
        <v>2054</v>
      </c>
    </row>
    <row r="1962" spans="1:18" x14ac:dyDescent="0.25">
      <c r="A1962" t="s">
        <v>2013</v>
      </c>
      <c r="B1962" s="1">
        <v>45997</v>
      </c>
      <c r="C1962" s="1">
        <v>46001</v>
      </c>
      <c r="D1962" t="s">
        <v>50</v>
      </c>
      <c r="E1962" t="s">
        <v>44</v>
      </c>
      <c r="F1962" t="s">
        <v>45</v>
      </c>
      <c r="G1962" t="s">
        <v>26</v>
      </c>
      <c r="H1962" t="s">
        <v>27</v>
      </c>
      <c r="I1962">
        <v>1</v>
      </c>
      <c r="J1962">
        <v>291.55</v>
      </c>
      <c r="K1962">
        <v>25</v>
      </c>
      <c r="L1962">
        <v>231</v>
      </c>
      <c r="M1962">
        <v>89.54</v>
      </c>
      <c r="N1962" t="s">
        <v>23</v>
      </c>
      <c r="O1962">
        <v>4</v>
      </c>
      <c r="P1962">
        <v>291.55</v>
      </c>
      <c r="Q1962">
        <v>316.55</v>
      </c>
      <c r="R1962" t="s">
        <v>2054</v>
      </c>
    </row>
    <row r="1963" spans="1:18" x14ac:dyDescent="0.25">
      <c r="A1963" t="s">
        <v>2014</v>
      </c>
      <c r="B1963" s="1">
        <v>45997</v>
      </c>
      <c r="C1963" s="1">
        <v>45998</v>
      </c>
      <c r="D1963" t="s">
        <v>72</v>
      </c>
      <c r="E1963" t="s">
        <v>44</v>
      </c>
      <c r="F1963" t="s">
        <v>45</v>
      </c>
      <c r="G1963" t="s">
        <v>26</v>
      </c>
      <c r="H1963" t="s">
        <v>22</v>
      </c>
      <c r="I1963">
        <v>3</v>
      </c>
      <c r="J1963">
        <v>750.5</v>
      </c>
      <c r="K1963">
        <v>25</v>
      </c>
      <c r="L1963">
        <v>256</v>
      </c>
      <c r="M1963">
        <v>-337.73</v>
      </c>
      <c r="N1963" t="s">
        <v>23</v>
      </c>
      <c r="O1963">
        <v>1</v>
      </c>
      <c r="P1963">
        <v>2251.5</v>
      </c>
      <c r="Q1963">
        <v>2276.5</v>
      </c>
      <c r="R1963" t="s">
        <v>2054</v>
      </c>
    </row>
    <row r="1964" spans="1:18" x14ac:dyDescent="0.25">
      <c r="A1964" t="s">
        <v>2015</v>
      </c>
      <c r="B1964" s="1">
        <v>45998</v>
      </c>
      <c r="C1964" s="1">
        <v>46002</v>
      </c>
      <c r="D1964" t="s">
        <v>37</v>
      </c>
      <c r="E1964" t="s">
        <v>38</v>
      </c>
      <c r="F1964" t="s">
        <v>39</v>
      </c>
      <c r="G1964" t="s">
        <v>35</v>
      </c>
      <c r="H1964" t="s">
        <v>40</v>
      </c>
      <c r="I1964">
        <v>1</v>
      </c>
      <c r="J1964">
        <v>397.33</v>
      </c>
      <c r="K1964">
        <v>112.5</v>
      </c>
      <c r="L1964">
        <v>305</v>
      </c>
      <c r="M1964">
        <v>23.22</v>
      </c>
      <c r="N1964" t="s">
        <v>23</v>
      </c>
      <c r="O1964">
        <v>4</v>
      </c>
      <c r="P1964">
        <v>397.33</v>
      </c>
      <c r="Q1964">
        <v>509.83</v>
      </c>
      <c r="R1964" t="s">
        <v>2054</v>
      </c>
    </row>
    <row r="1965" spans="1:18" x14ac:dyDescent="0.25">
      <c r="A1965" t="s">
        <v>2016</v>
      </c>
      <c r="B1965" s="1">
        <v>45999</v>
      </c>
      <c r="C1965" s="1">
        <v>46002</v>
      </c>
      <c r="D1965" t="s">
        <v>72</v>
      </c>
      <c r="E1965" t="s">
        <v>44</v>
      </c>
      <c r="F1965" t="s">
        <v>45</v>
      </c>
      <c r="G1965" t="s">
        <v>26</v>
      </c>
      <c r="H1965" t="s">
        <v>22</v>
      </c>
      <c r="I1965">
        <v>1</v>
      </c>
      <c r="J1965">
        <v>1016.68</v>
      </c>
      <c r="K1965">
        <v>25</v>
      </c>
      <c r="L1965">
        <v>116</v>
      </c>
      <c r="M1965">
        <v>343.34</v>
      </c>
      <c r="N1965" t="s">
        <v>23</v>
      </c>
      <c r="O1965">
        <v>3</v>
      </c>
      <c r="P1965">
        <v>1016.68</v>
      </c>
      <c r="Q1965">
        <v>1041.6799999999998</v>
      </c>
      <c r="R1965" t="s">
        <v>2054</v>
      </c>
    </row>
    <row r="1966" spans="1:18" x14ac:dyDescent="0.25">
      <c r="A1966" t="s">
        <v>2017</v>
      </c>
      <c r="B1966" s="1">
        <v>45999</v>
      </c>
      <c r="C1966" s="1">
        <v>46004</v>
      </c>
      <c r="D1966" t="s">
        <v>18</v>
      </c>
      <c r="E1966" t="s">
        <v>19</v>
      </c>
      <c r="F1966" t="s">
        <v>20</v>
      </c>
      <c r="G1966" t="s">
        <v>21</v>
      </c>
      <c r="H1966" t="s">
        <v>32</v>
      </c>
      <c r="I1966">
        <v>9</v>
      </c>
      <c r="J1966">
        <v>38.53</v>
      </c>
      <c r="K1966">
        <v>8</v>
      </c>
      <c r="L1966">
        <v>200</v>
      </c>
      <c r="M1966">
        <v>23.74</v>
      </c>
      <c r="N1966" t="s">
        <v>23</v>
      </c>
      <c r="O1966">
        <v>5</v>
      </c>
      <c r="P1966">
        <v>346.77</v>
      </c>
      <c r="Q1966">
        <v>354.77</v>
      </c>
      <c r="R1966" t="s">
        <v>2054</v>
      </c>
    </row>
    <row r="1967" spans="1:18" x14ac:dyDescent="0.25">
      <c r="A1967" t="s">
        <v>2018</v>
      </c>
      <c r="B1967" s="1">
        <v>45999</v>
      </c>
      <c r="C1967" s="1">
        <v>46004</v>
      </c>
      <c r="D1967" t="s">
        <v>82</v>
      </c>
      <c r="E1967" t="s">
        <v>79</v>
      </c>
      <c r="F1967" t="s">
        <v>80</v>
      </c>
      <c r="G1967" t="s">
        <v>26</v>
      </c>
      <c r="H1967" t="s">
        <v>27</v>
      </c>
      <c r="I1967">
        <v>3</v>
      </c>
      <c r="J1967">
        <v>124.85</v>
      </c>
      <c r="K1967">
        <v>12</v>
      </c>
      <c r="L1967">
        <v>153</v>
      </c>
      <c r="M1967">
        <v>162.55000000000001</v>
      </c>
      <c r="N1967" t="s">
        <v>23</v>
      </c>
      <c r="O1967">
        <v>5</v>
      </c>
      <c r="P1967">
        <v>374.54999999999995</v>
      </c>
      <c r="Q1967">
        <v>386.54999999999995</v>
      </c>
      <c r="R1967" t="s">
        <v>2054</v>
      </c>
    </row>
    <row r="1968" spans="1:18" x14ac:dyDescent="0.25">
      <c r="A1968" t="s">
        <v>2019</v>
      </c>
      <c r="B1968" s="1">
        <v>46001</v>
      </c>
      <c r="C1968" s="1">
        <v>46002</v>
      </c>
      <c r="D1968" t="s">
        <v>43</v>
      </c>
      <c r="E1968" t="s">
        <v>44</v>
      </c>
      <c r="F1968" t="s">
        <v>45</v>
      </c>
      <c r="G1968" t="s">
        <v>35</v>
      </c>
      <c r="H1968" t="s">
        <v>27</v>
      </c>
      <c r="I1968">
        <v>2</v>
      </c>
      <c r="J1968">
        <v>202.79</v>
      </c>
      <c r="K1968">
        <v>25</v>
      </c>
      <c r="L1968">
        <v>71</v>
      </c>
      <c r="M1968">
        <v>129.46</v>
      </c>
      <c r="N1968" t="s">
        <v>23</v>
      </c>
      <c r="O1968">
        <v>1</v>
      </c>
      <c r="P1968">
        <v>405.58</v>
      </c>
      <c r="Q1968">
        <v>430.58</v>
      </c>
      <c r="R1968" t="s">
        <v>2054</v>
      </c>
    </row>
    <row r="1969" spans="1:18" x14ac:dyDescent="0.25">
      <c r="A1969" t="s">
        <v>2020</v>
      </c>
      <c r="B1969" s="1">
        <v>46001</v>
      </c>
      <c r="C1969" s="1">
        <v>46016</v>
      </c>
      <c r="D1969" t="s">
        <v>78</v>
      </c>
      <c r="E1969" t="s">
        <v>79</v>
      </c>
      <c r="F1969" t="s">
        <v>80</v>
      </c>
      <c r="G1969" t="s">
        <v>35</v>
      </c>
      <c r="H1969" t="s">
        <v>22</v>
      </c>
      <c r="I1969">
        <v>2</v>
      </c>
      <c r="J1969">
        <v>121.05</v>
      </c>
      <c r="K1969">
        <v>12</v>
      </c>
      <c r="L1969">
        <v>100</v>
      </c>
      <c r="M1969">
        <v>102.94</v>
      </c>
      <c r="N1969" t="s">
        <v>47</v>
      </c>
      <c r="O1969">
        <v>15</v>
      </c>
      <c r="P1969">
        <v>242.1</v>
      </c>
      <c r="Q1969">
        <v>254.1</v>
      </c>
      <c r="R1969" t="s">
        <v>2054</v>
      </c>
    </row>
    <row r="1970" spans="1:18" x14ac:dyDescent="0.25">
      <c r="A1970" t="s">
        <v>2021</v>
      </c>
      <c r="B1970" s="1">
        <v>46003</v>
      </c>
      <c r="C1970" s="1">
        <v>46013</v>
      </c>
      <c r="D1970" t="s">
        <v>118</v>
      </c>
      <c r="E1970" t="s">
        <v>79</v>
      </c>
      <c r="F1970" t="s">
        <v>80</v>
      </c>
      <c r="G1970" t="s">
        <v>35</v>
      </c>
      <c r="H1970" t="s">
        <v>40</v>
      </c>
      <c r="I1970">
        <v>2</v>
      </c>
      <c r="J1970">
        <v>80.52</v>
      </c>
      <c r="K1970">
        <v>18</v>
      </c>
      <c r="L1970">
        <v>148</v>
      </c>
      <c r="M1970">
        <v>63.46</v>
      </c>
      <c r="N1970" t="s">
        <v>63</v>
      </c>
      <c r="O1970">
        <v>10</v>
      </c>
      <c r="P1970">
        <v>161.04</v>
      </c>
      <c r="Q1970">
        <v>179.04</v>
      </c>
      <c r="R1970" t="s">
        <v>2054</v>
      </c>
    </row>
    <row r="1971" spans="1:18" x14ac:dyDescent="0.25">
      <c r="A1971" t="s">
        <v>2022</v>
      </c>
      <c r="B1971" s="1">
        <v>46003</v>
      </c>
      <c r="C1971" s="1">
        <v>46010</v>
      </c>
      <c r="D1971" t="s">
        <v>50</v>
      </c>
      <c r="E1971" t="s">
        <v>44</v>
      </c>
      <c r="F1971" t="s">
        <v>45</v>
      </c>
      <c r="G1971" t="s">
        <v>35</v>
      </c>
      <c r="H1971" t="s">
        <v>32</v>
      </c>
      <c r="I1971">
        <v>3</v>
      </c>
      <c r="J1971">
        <v>475.08</v>
      </c>
      <c r="K1971">
        <v>25</v>
      </c>
      <c r="L1971">
        <v>211</v>
      </c>
      <c r="M1971">
        <v>486.33</v>
      </c>
      <c r="N1971" t="s">
        <v>63</v>
      </c>
      <c r="O1971">
        <v>7</v>
      </c>
      <c r="P1971">
        <v>1425.24</v>
      </c>
      <c r="Q1971">
        <v>1450.24</v>
      </c>
      <c r="R1971" t="s">
        <v>2054</v>
      </c>
    </row>
    <row r="1972" spans="1:18" x14ac:dyDescent="0.25">
      <c r="A1972" t="s">
        <v>2023</v>
      </c>
      <c r="B1972" s="1">
        <v>46003</v>
      </c>
      <c r="C1972" s="1">
        <v>46006</v>
      </c>
      <c r="D1972" t="s">
        <v>56</v>
      </c>
      <c r="E1972" t="s">
        <v>38</v>
      </c>
      <c r="F1972" t="s">
        <v>39</v>
      </c>
      <c r="G1972" t="s">
        <v>21</v>
      </c>
      <c r="H1972" t="s">
        <v>40</v>
      </c>
      <c r="I1972">
        <v>1</v>
      </c>
      <c r="J1972">
        <v>350.36</v>
      </c>
      <c r="K1972">
        <v>112.5</v>
      </c>
      <c r="L1972">
        <v>164</v>
      </c>
      <c r="M1972">
        <v>13.82</v>
      </c>
      <c r="N1972" t="s">
        <v>23</v>
      </c>
      <c r="O1972">
        <v>3</v>
      </c>
      <c r="P1972">
        <v>350.36</v>
      </c>
      <c r="Q1972">
        <v>462.86</v>
      </c>
      <c r="R1972" t="s">
        <v>2054</v>
      </c>
    </row>
    <row r="1973" spans="1:18" x14ac:dyDescent="0.25">
      <c r="A1973" t="s">
        <v>2024</v>
      </c>
      <c r="B1973" s="1">
        <v>46003</v>
      </c>
      <c r="C1973" s="1">
        <v>46008</v>
      </c>
      <c r="D1973" t="s">
        <v>37</v>
      </c>
      <c r="E1973" t="s">
        <v>38</v>
      </c>
      <c r="F1973" t="s">
        <v>39</v>
      </c>
      <c r="G1973" t="s">
        <v>21</v>
      </c>
      <c r="H1973" t="s">
        <v>27</v>
      </c>
      <c r="I1973">
        <v>1</v>
      </c>
      <c r="J1973">
        <v>224.87</v>
      </c>
      <c r="K1973">
        <v>75</v>
      </c>
      <c r="L1973">
        <v>174</v>
      </c>
      <c r="M1973">
        <v>7.47</v>
      </c>
      <c r="N1973" t="s">
        <v>23</v>
      </c>
      <c r="O1973">
        <v>5</v>
      </c>
      <c r="P1973">
        <v>224.87</v>
      </c>
      <c r="Q1973">
        <v>299.87</v>
      </c>
      <c r="R1973" t="s">
        <v>2054</v>
      </c>
    </row>
    <row r="1974" spans="1:18" x14ac:dyDescent="0.25">
      <c r="A1974" t="s">
        <v>2025</v>
      </c>
      <c r="B1974" s="1">
        <v>46003</v>
      </c>
      <c r="C1974" s="1">
        <v>46004</v>
      </c>
      <c r="D1974" t="s">
        <v>18</v>
      </c>
      <c r="E1974" t="s">
        <v>19</v>
      </c>
      <c r="F1974" t="s">
        <v>20</v>
      </c>
      <c r="G1974" t="s">
        <v>26</v>
      </c>
      <c r="H1974" t="s">
        <v>32</v>
      </c>
      <c r="I1974">
        <v>13</v>
      </c>
      <c r="J1974">
        <v>17.7</v>
      </c>
      <c r="K1974">
        <v>8</v>
      </c>
      <c r="L1974">
        <v>7</v>
      </c>
      <c r="M1974">
        <v>-34.51</v>
      </c>
      <c r="N1974" t="s">
        <v>23</v>
      </c>
      <c r="O1974">
        <v>1</v>
      </c>
      <c r="P1974">
        <v>230.1</v>
      </c>
      <c r="Q1974">
        <v>238.1</v>
      </c>
      <c r="R1974" t="s">
        <v>2056</v>
      </c>
    </row>
    <row r="1975" spans="1:18" x14ac:dyDescent="0.25">
      <c r="A1975" t="s">
        <v>2026</v>
      </c>
      <c r="B1975" s="1">
        <v>46004</v>
      </c>
      <c r="C1975" s="1">
        <v>46006</v>
      </c>
      <c r="D1975" t="s">
        <v>72</v>
      </c>
      <c r="E1975" t="s">
        <v>44</v>
      </c>
      <c r="F1975" t="s">
        <v>45</v>
      </c>
      <c r="G1975" t="s">
        <v>35</v>
      </c>
      <c r="H1975" t="s">
        <v>40</v>
      </c>
      <c r="I1975">
        <v>1</v>
      </c>
      <c r="J1975">
        <v>977.23</v>
      </c>
      <c r="K1975">
        <v>37.5</v>
      </c>
      <c r="L1975">
        <v>113</v>
      </c>
      <c r="M1975">
        <v>323.27999999999997</v>
      </c>
      <c r="N1975" t="s">
        <v>23</v>
      </c>
      <c r="O1975">
        <v>2</v>
      </c>
      <c r="P1975">
        <v>977.23</v>
      </c>
      <c r="Q1975">
        <v>1014.73</v>
      </c>
      <c r="R1975" t="s">
        <v>2054</v>
      </c>
    </row>
    <row r="1976" spans="1:18" x14ac:dyDescent="0.25">
      <c r="A1976" t="s">
        <v>2027</v>
      </c>
      <c r="B1976" s="1">
        <v>46004</v>
      </c>
      <c r="C1976" s="1">
        <v>46006</v>
      </c>
      <c r="D1976" t="s">
        <v>72</v>
      </c>
      <c r="E1976" t="s">
        <v>44</v>
      </c>
      <c r="F1976" t="s">
        <v>45</v>
      </c>
      <c r="G1976" t="s">
        <v>35</v>
      </c>
      <c r="H1976" t="s">
        <v>40</v>
      </c>
      <c r="I1976">
        <v>3</v>
      </c>
      <c r="J1976">
        <v>1178</v>
      </c>
      <c r="K1976">
        <v>37.5</v>
      </c>
      <c r="L1976">
        <v>301</v>
      </c>
      <c r="M1976">
        <v>1218.1500000000001</v>
      </c>
      <c r="N1976" t="s">
        <v>23</v>
      </c>
      <c r="O1976">
        <v>2</v>
      </c>
      <c r="P1976">
        <v>3534</v>
      </c>
      <c r="Q1976">
        <v>3571.5</v>
      </c>
      <c r="R1976" t="s">
        <v>2054</v>
      </c>
    </row>
    <row r="1977" spans="1:18" x14ac:dyDescent="0.25">
      <c r="A1977" t="s">
        <v>2028</v>
      </c>
      <c r="B1977" s="1">
        <v>46004</v>
      </c>
      <c r="C1977" s="1">
        <v>46007</v>
      </c>
      <c r="D1977" t="s">
        <v>18</v>
      </c>
      <c r="E1977" t="s">
        <v>19</v>
      </c>
      <c r="F1977" t="s">
        <v>20</v>
      </c>
      <c r="G1977" t="s">
        <v>26</v>
      </c>
      <c r="H1977" t="s">
        <v>22</v>
      </c>
      <c r="I1977">
        <v>9</v>
      </c>
      <c r="J1977">
        <v>11.52</v>
      </c>
      <c r="K1977">
        <v>8</v>
      </c>
      <c r="L1977">
        <v>145</v>
      </c>
      <c r="M1977">
        <v>4.29</v>
      </c>
      <c r="N1977" t="s">
        <v>23</v>
      </c>
      <c r="O1977">
        <v>3</v>
      </c>
      <c r="P1977">
        <v>103.67999999999999</v>
      </c>
      <c r="Q1977">
        <v>111.67999999999999</v>
      </c>
      <c r="R1977" t="s">
        <v>2054</v>
      </c>
    </row>
    <row r="1978" spans="1:18" x14ac:dyDescent="0.25">
      <c r="A1978" t="s">
        <v>2029</v>
      </c>
      <c r="B1978" s="1">
        <v>46006</v>
      </c>
      <c r="C1978" s="1">
        <v>46016</v>
      </c>
      <c r="D1978" t="s">
        <v>34</v>
      </c>
      <c r="E1978" t="s">
        <v>30</v>
      </c>
      <c r="F1978" t="s">
        <v>31</v>
      </c>
      <c r="G1978" t="s">
        <v>35</v>
      </c>
      <c r="H1978" t="s">
        <v>22</v>
      </c>
      <c r="I1978">
        <v>1</v>
      </c>
      <c r="J1978">
        <v>53.47</v>
      </c>
      <c r="K1978">
        <v>12</v>
      </c>
      <c r="L1978">
        <v>259</v>
      </c>
      <c r="M1978">
        <v>15.39</v>
      </c>
      <c r="N1978" t="s">
        <v>63</v>
      </c>
      <c r="O1978">
        <v>10</v>
      </c>
      <c r="P1978">
        <v>53.47</v>
      </c>
      <c r="Q1978">
        <v>65.47</v>
      </c>
      <c r="R1978" t="s">
        <v>2054</v>
      </c>
    </row>
    <row r="1979" spans="1:18" x14ac:dyDescent="0.25">
      <c r="A1979" t="s">
        <v>2030</v>
      </c>
      <c r="B1979" s="1">
        <v>46006</v>
      </c>
      <c r="C1979" s="1">
        <v>46007</v>
      </c>
      <c r="D1979" t="s">
        <v>118</v>
      </c>
      <c r="E1979" t="s">
        <v>79</v>
      </c>
      <c r="F1979" t="s">
        <v>80</v>
      </c>
      <c r="G1979" t="s">
        <v>21</v>
      </c>
      <c r="H1979" t="s">
        <v>27</v>
      </c>
      <c r="I1979">
        <v>2</v>
      </c>
      <c r="J1979">
        <v>111.72</v>
      </c>
      <c r="K1979">
        <v>12</v>
      </c>
      <c r="L1979">
        <v>381</v>
      </c>
      <c r="M1979">
        <v>94.55</v>
      </c>
      <c r="N1979" t="s">
        <v>23</v>
      </c>
      <c r="O1979">
        <v>1</v>
      </c>
      <c r="P1979">
        <v>223.44</v>
      </c>
      <c r="Q1979">
        <v>235.44</v>
      </c>
      <c r="R1979" t="s">
        <v>2054</v>
      </c>
    </row>
    <row r="1980" spans="1:18" x14ac:dyDescent="0.25">
      <c r="A1980" t="s">
        <v>2031</v>
      </c>
      <c r="B1980" s="1">
        <v>46008</v>
      </c>
      <c r="C1980" s="1">
        <v>46009</v>
      </c>
      <c r="D1980" t="s">
        <v>29</v>
      </c>
      <c r="E1980" t="s">
        <v>30</v>
      </c>
      <c r="F1980" t="s">
        <v>31</v>
      </c>
      <c r="G1980" t="s">
        <v>35</v>
      </c>
      <c r="H1980" t="s">
        <v>40</v>
      </c>
      <c r="I1980">
        <v>4</v>
      </c>
      <c r="J1980">
        <v>134.41</v>
      </c>
      <c r="K1980">
        <v>18</v>
      </c>
      <c r="L1980">
        <v>147</v>
      </c>
      <c r="M1980">
        <v>206.06</v>
      </c>
      <c r="N1980" t="s">
        <v>23</v>
      </c>
      <c r="O1980">
        <v>1</v>
      </c>
      <c r="P1980">
        <v>537.64</v>
      </c>
      <c r="Q1980">
        <v>555.64</v>
      </c>
      <c r="R1980" t="s">
        <v>2054</v>
      </c>
    </row>
    <row r="1981" spans="1:18" x14ac:dyDescent="0.25">
      <c r="A1981" t="s">
        <v>2032</v>
      </c>
      <c r="B1981" s="1">
        <v>46008</v>
      </c>
      <c r="C1981" s="1">
        <v>46017</v>
      </c>
      <c r="D1981" t="s">
        <v>50</v>
      </c>
      <c r="E1981" t="s">
        <v>44</v>
      </c>
      <c r="F1981" t="s">
        <v>45</v>
      </c>
      <c r="G1981" t="s">
        <v>35</v>
      </c>
      <c r="H1981" t="s">
        <v>40</v>
      </c>
      <c r="I1981">
        <v>1</v>
      </c>
      <c r="J1981">
        <v>1153.9000000000001</v>
      </c>
      <c r="K1981">
        <v>37.5</v>
      </c>
      <c r="L1981">
        <v>46</v>
      </c>
      <c r="M1981">
        <v>385.12</v>
      </c>
      <c r="N1981" t="s">
        <v>63</v>
      </c>
      <c r="O1981">
        <v>9</v>
      </c>
      <c r="P1981">
        <v>1153.9000000000001</v>
      </c>
      <c r="Q1981">
        <v>1191.4000000000001</v>
      </c>
      <c r="R1981" t="s">
        <v>2055</v>
      </c>
    </row>
    <row r="1982" spans="1:18" x14ac:dyDescent="0.25">
      <c r="A1982" t="s">
        <v>2033</v>
      </c>
      <c r="B1982" s="1">
        <v>46008</v>
      </c>
      <c r="C1982" s="1">
        <v>46013</v>
      </c>
      <c r="D1982" t="s">
        <v>52</v>
      </c>
      <c r="E1982" t="s">
        <v>30</v>
      </c>
      <c r="F1982" t="s">
        <v>31</v>
      </c>
      <c r="G1982" t="s">
        <v>26</v>
      </c>
      <c r="H1982" t="s">
        <v>32</v>
      </c>
      <c r="I1982">
        <v>2</v>
      </c>
      <c r="J1982">
        <v>107.77</v>
      </c>
      <c r="K1982">
        <v>12</v>
      </c>
      <c r="L1982">
        <v>369</v>
      </c>
      <c r="M1982">
        <v>80.22</v>
      </c>
      <c r="N1982" t="s">
        <v>23</v>
      </c>
      <c r="O1982">
        <v>5</v>
      </c>
      <c r="P1982">
        <v>215.54</v>
      </c>
      <c r="Q1982">
        <v>227.54</v>
      </c>
      <c r="R1982" t="s">
        <v>2054</v>
      </c>
    </row>
    <row r="1983" spans="1:18" x14ac:dyDescent="0.25">
      <c r="A1983" t="s">
        <v>2034</v>
      </c>
      <c r="B1983" s="1">
        <v>46009</v>
      </c>
      <c r="C1983" s="1">
        <v>46011</v>
      </c>
      <c r="D1983" t="s">
        <v>18</v>
      </c>
      <c r="E1983" t="s">
        <v>19</v>
      </c>
      <c r="F1983" t="s">
        <v>20</v>
      </c>
      <c r="G1983" t="s">
        <v>21</v>
      </c>
      <c r="H1983" t="s">
        <v>40</v>
      </c>
      <c r="I1983">
        <v>6</v>
      </c>
      <c r="J1983">
        <v>20.99</v>
      </c>
      <c r="K1983">
        <v>12</v>
      </c>
      <c r="L1983">
        <v>171</v>
      </c>
      <c r="M1983">
        <v>4.08</v>
      </c>
      <c r="N1983" t="s">
        <v>23</v>
      </c>
      <c r="O1983">
        <v>2</v>
      </c>
      <c r="P1983">
        <v>125.94</v>
      </c>
      <c r="Q1983">
        <v>137.94</v>
      </c>
      <c r="R1983" t="s">
        <v>2054</v>
      </c>
    </row>
    <row r="1984" spans="1:18" x14ac:dyDescent="0.25">
      <c r="A1984" t="s">
        <v>2035</v>
      </c>
      <c r="B1984" s="1">
        <v>46009</v>
      </c>
      <c r="C1984" s="1">
        <v>46010</v>
      </c>
      <c r="D1984" t="s">
        <v>72</v>
      </c>
      <c r="E1984" t="s">
        <v>44</v>
      </c>
      <c r="F1984" t="s">
        <v>45</v>
      </c>
      <c r="G1984" t="s">
        <v>21</v>
      </c>
      <c r="H1984" t="s">
        <v>27</v>
      </c>
      <c r="I1984">
        <v>2</v>
      </c>
      <c r="J1984">
        <v>637.47</v>
      </c>
      <c r="K1984">
        <v>25</v>
      </c>
      <c r="L1984">
        <v>386</v>
      </c>
      <c r="M1984">
        <v>433.73</v>
      </c>
      <c r="N1984" t="s">
        <v>23</v>
      </c>
      <c r="O1984">
        <v>1</v>
      </c>
      <c r="P1984">
        <v>1274.94</v>
      </c>
      <c r="Q1984">
        <v>1299.94</v>
      </c>
      <c r="R1984" t="s">
        <v>2054</v>
      </c>
    </row>
    <row r="1985" spans="1:18" x14ac:dyDescent="0.25">
      <c r="A1985" t="s">
        <v>2036</v>
      </c>
      <c r="B1985" s="1">
        <v>46009</v>
      </c>
      <c r="C1985" s="1">
        <v>46014</v>
      </c>
      <c r="D1985" t="s">
        <v>58</v>
      </c>
      <c r="E1985" t="s">
        <v>19</v>
      </c>
      <c r="F1985" t="s">
        <v>20</v>
      </c>
      <c r="G1985" t="s">
        <v>21</v>
      </c>
      <c r="H1985" t="s">
        <v>22</v>
      </c>
      <c r="I1985">
        <v>6</v>
      </c>
      <c r="J1985">
        <v>16.47</v>
      </c>
      <c r="K1985">
        <v>8</v>
      </c>
      <c r="L1985">
        <v>190</v>
      </c>
      <c r="M1985">
        <v>3.9</v>
      </c>
      <c r="N1985" t="s">
        <v>23</v>
      </c>
      <c r="O1985">
        <v>5</v>
      </c>
      <c r="P1985">
        <v>98.82</v>
      </c>
      <c r="Q1985">
        <v>106.82</v>
      </c>
      <c r="R1985" t="s">
        <v>2054</v>
      </c>
    </row>
    <row r="1986" spans="1:18" x14ac:dyDescent="0.25">
      <c r="A1986" t="s">
        <v>2037</v>
      </c>
      <c r="B1986" s="1">
        <v>46010</v>
      </c>
      <c r="C1986" s="1">
        <v>46022</v>
      </c>
      <c r="D1986" t="s">
        <v>54</v>
      </c>
      <c r="E1986" t="s">
        <v>38</v>
      </c>
      <c r="F1986" t="s">
        <v>39</v>
      </c>
      <c r="G1986" t="s">
        <v>35</v>
      </c>
      <c r="H1986" t="s">
        <v>32</v>
      </c>
      <c r="I1986">
        <v>2</v>
      </c>
      <c r="J1986">
        <v>201.5</v>
      </c>
      <c r="K1986">
        <v>75</v>
      </c>
      <c r="L1986">
        <v>41</v>
      </c>
      <c r="M1986">
        <v>43.1</v>
      </c>
      <c r="N1986" t="s">
        <v>47</v>
      </c>
      <c r="O1986">
        <v>12</v>
      </c>
      <c r="P1986">
        <v>403</v>
      </c>
      <c r="Q1986">
        <v>478</v>
      </c>
      <c r="R1986" t="s">
        <v>2055</v>
      </c>
    </row>
    <row r="1987" spans="1:18" x14ac:dyDescent="0.25">
      <c r="A1987" t="s">
        <v>2038</v>
      </c>
      <c r="B1987" s="1">
        <v>46010</v>
      </c>
      <c r="C1987" s="1">
        <v>46014</v>
      </c>
      <c r="D1987" t="s">
        <v>34</v>
      </c>
      <c r="E1987" t="s">
        <v>30</v>
      </c>
      <c r="F1987" t="s">
        <v>31</v>
      </c>
      <c r="G1987" t="s">
        <v>21</v>
      </c>
      <c r="H1987" t="s">
        <v>22</v>
      </c>
      <c r="I1987">
        <v>4</v>
      </c>
      <c r="J1987">
        <v>106.74</v>
      </c>
      <c r="K1987">
        <v>12</v>
      </c>
      <c r="L1987">
        <v>250</v>
      </c>
      <c r="M1987">
        <v>164.79</v>
      </c>
      <c r="N1987" t="s">
        <v>23</v>
      </c>
      <c r="O1987">
        <v>4</v>
      </c>
      <c r="P1987">
        <v>426.96</v>
      </c>
      <c r="Q1987">
        <v>438.96</v>
      </c>
      <c r="R1987" t="s">
        <v>2054</v>
      </c>
    </row>
    <row r="1988" spans="1:18" x14ac:dyDescent="0.25">
      <c r="A1988" t="s">
        <v>2039</v>
      </c>
      <c r="B1988" s="1">
        <v>46010</v>
      </c>
      <c r="C1988" s="1">
        <v>46014</v>
      </c>
      <c r="D1988" t="s">
        <v>29</v>
      </c>
      <c r="E1988" t="s">
        <v>30</v>
      </c>
      <c r="F1988" t="s">
        <v>31</v>
      </c>
      <c r="G1988" t="s">
        <v>21</v>
      </c>
      <c r="H1988" t="s">
        <v>27</v>
      </c>
      <c r="I1988">
        <v>2</v>
      </c>
      <c r="J1988">
        <v>34.5</v>
      </c>
      <c r="K1988">
        <v>12</v>
      </c>
      <c r="L1988">
        <v>210</v>
      </c>
      <c r="M1988">
        <v>21.6</v>
      </c>
      <c r="N1988" t="s">
        <v>23</v>
      </c>
      <c r="O1988">
        <v>4</v>
      </c>
      <c r="P1988">
        <v>69</v>
      </c>
      <c r="Q1988">
        <v>81</v>
      </c>
      <c r="R1988" t="s">
        <v>2054</v>
      </c>
    </row>
    <row r="1989" spans="1:18" x14ac:dyDescent="0.25">
      <c r="A1989" t="s">
        <v>2040</v>
      </c>
      <c r="B1989" s="1">
        <v>46012</v>
      </c>
      <c r="C1989" s="1">
        <v>46014</v>
      </c>
      <c r="D1989" t="s">
        <v>25</v>
      </c>
      <c r="E1989" t="s">
        <v>19</v>
      </c>
      <c r="F1989" t="s">
        <v>20</v>
      </c>
      <c r="G1989" t="s">
        <v>35</v>
      </c>
      <c r="H1989" t="s">
        <v>40</v>
      </c>
      <c r="I1989">
        <v>10</v>
      </c>
      <c r="J1989">
        <v>32.549999999999997</v>
      </c>
      <c r="K1989">
        <v>12</v>
      </c>
      <c r="L1989">
        <v>262</v>
      </c>
      <c r="M1989">
        <v>20.04</v>
      </c>
      <c r="N1989" t="s">
        <v>23</v>
      </c>
      <c r="O1989">
        <v>2</v>
      </c>
      <c r="P1989">
        <v>325.5</v>
      </c>
      <c r="Q1989">
        <v>337.5</v>
      </c>
      <c r="R1989" t="s">
        <v>2054</v>
      </c>
    </row>
    <row r="1990" spans="1:18" x14ac:dyDescent="0.25">
      <c r="A1990" t="s">
        <v>2041</v>
      </c>
      <c r="B1990" s="1">
        <v>46013</v>
      </c>
      <c r="C1990" s="1">
        <v>46026</v>
      </c>
      <c r="D1990" t="s">
        <v>50</v>
      </c>
      <c r="E1990" t="s">
        <v>44</v>
      </c>
      <c r="F1990" t="s">
        <v>45</v>
      </c>
      <c r="G1990" t="s">
        <v>35</v>
      </c>
      <c r="H1990" t="s">
        <v>22</v>
      </c>
      <c r="I1990">
        <v>2</v>
      </c>
      <c r="J1990">
        <v>507.86</v>
      </c>
      <c r="K1990">
        <v>25</v>
      </c>
      <c r="L1990">
        <v>238</v>
      </c>
      <c r="M1990">
        <v>343.01</v>
      </c>
      <c r="N1990" t="s">
        <v>47</v>
      </c>
      <c r="O1990">
        <v>13</v>
      </c>
      <c r="P1990">
        <v>1015.72</v>
      </c>
      <c r="Q1990">
        <v>1040.72</v>
      </c>
      <c r="R1990" t="s">
        <v>2054</v>
      </c>
    </row>
    <row r="1991" spans="1:18" x14ac:dyDescent="0.25">
      <c r="A1991" t="s">
        <v>2042</v>
      </c>
      <c r="B1991" s="1">
        <v>46013</v>
      </c>
      <c r="C1991" s="1">
        <v>46018</v>
      </c>
      <c r="D1991" t="s">
        <v>52</v>
      </c>
      <c r="E1991" t="s">
        <v>30</v>
      </c>
      <c r="F1991" t="s">
        <v>31</v>
      </c>
      <c r="G1991" t="s">
        <v>35</v>
      </c>
      <c r="H1991" t="s">
        <v>27</v>
      </c>
      <c r="I1991">
        <v>5</v>
      </c>
      <c r="J1991">
        <v>126.2</v>
      </c>
      <c r="K1991">
        <v>12</v>
      </c>
      <c r="L1991">
        <v>203</v>
      </c>
      <c r="M1991">
        <v>246.4</v>
      </c>
      <c r="N1991" t="s">
        <v>23</v>
      </c>
      <c r="O1991">
        <v>5</v>
      </c>
      <c r="P1991">
        <v>631</v>
      </c>
      <c r="Q1991">
        <v>643</v>
      </c>
      <c r="R1991" t="s">
        <v>2054</v>
      </c>
    </row>
    <row r="1992" spans="1:18" x14ac:dyDescent="0.25">
      <c r="A1992" t="s">
        <v>2043</v>
      </c>
      <c r="B1992" s="1">
        <v>46013</v>
      </c>
      <c r="C1992" s="1">
        <v>46014</v>
      </c>
      <c r="D1992" t="s">
        <v>25</v>
      </c>
      <c r="E1992" t="s">
        <v>19</v>
      </c>
      <c r="F1992" t="s">
        <v>20</v>
      </c>
      <c r="G1992" t="s">
        <v>35</v>
      </c>
      <c r="H1992" t="s">
        <v>40</v>
      </c>
      <c r="I1992">
        <v>7</v>
      </c>
      <c r="J1992">
        <v>40.51</v>
      </c>
      <c r="K1992">
        <v>12</v>
      </c>
      <c r="L1992">
        <v>257</v>
      </c>
      <c r="M1992">
        <v>-42.53</v>
      </c>
      <c r="N1992" t="s">
        <v>23</v>
      </c>
      <c r="O1992">
        <v>1</v>
      </c>
      <c r="P1992">
        <v>283.57</v>
      </c>
      <c r="Q1992">
        <v>295.57</v>
      </c>
      <c r="R1992" t="s">
        <v>2054</v>
      </c>
    </row>
    <row r="1993" spans="1:18" x14ac:dyDescent="0.25">
      <c r="A1993" t="s">
        <v>2044</v>
      </c>
      <c r="B1993" s="1">
        <v>46014</v>
      </c>
      <c r="C1993" s="1">
        <v>46016</v>
      </c>
      <c r="D1993" t="s">
        <v>75</v>
      </c>
      <c r="E1993" t="s">
        <v>44</v>
      </c>
      <c r="F1993" t="s">
        <v>45</v>
      </c>
      <c r="G1993" t="s">
        <v>26</v>
      </c>
      <c r="H1993" t="s">
        <v>22</v>
      </c>
      <c r="I1993">
        <v>3</v>
      </c>
      <c r="J1993">
        <v>256.83999999999997</v>
      </c>
      <c r="K1993">
        <v>25</v>
      </c>
      <c r="L1993">
        <v>106</v>
      </c>
      <c r="M1993">
        <v>257.18</v>
      </c>
      <c r="N1993" t="s">
        <v>23</v>
      </c>
      <c r="O1993">
        <v>2</v>
      </c>
      <c r="P1993">
        <v>770.52</v>
      </c>
      <c r="Q1993">
        <v>795.52</v>
      </c>
      <c r="R1993" t="s">
        <v>2054</v>
      </c>
    </row>
    <row r="1994" spans="1:18" x14ac:dyDescent="0.25">
      <c r="A1994" t="s">
        <v>2045</v>
      </c>
      <c r="B1994" s="1">
        <v>46015</v>
      </c>
      <c r="C1994" s="1">
        <v>46017</v>
      </c>
      <c r="D1994" t="s">
        <v>78</v>
      </c>
      <c r="E1994" t="s">
        <v>79</v>
      </c>
      <c r="F1994" t="s">
        <v>80</v>
      </c>
      <c r="G1994" t="s">
        <v>21</v>
      </c>
      <c r="H1994" t="s">
        <v>40</v>
      </c>
      <c r="I1994">
        <v>2</v>
      </c>
      <c r="J1994">
        <v>82.99</v>
      </c>
      <c r="K1994">
        <v>18</v>
      </c>
      <c r="L1994">
        <v>109</v>
      </c>
      <c r="M1994">
        <v>65.69</v>
      </c>
      <c r="N1994" t="s">
        <v>23</v>
      </c>
      <c r="O1994">
        <v>2</v>
      </c>
      <c r="P1994">
        <v>165.98</v>
      </c>
      <c r="Q1994">
        <v>183.98</v>
      </c>
      <c r="R1994" t="s">
        <v>2054</v>
      </c>
    </row>
    <row r="1995" spans="1:18" x14ac:dyDescent="0.25">
      <c r="A1995" t="s">
        <v>2046</v>
      </c>
      <c r="B1995" s="1">
        <v>46015</v>
      </c>
      <c r="C1995" s="1">
        <v>46019</v>
      </c>
      <c r="D1995" t="s">
        <v>78</v>
      </c>
      <c r="E1995" t="s">
        <v>79</v>
      </c>
      <c r="F1995" t="s">
        <v>80</v>
      </c>
      <c r="G1995" t="s">
        <v>21</v>
      </c>
      <c r="H1995" t="s">
        <v>40</v>
      </c>
      <c r="I1995">
        <v>5</v>
      </c>
      <c r="J1995">
        <v>119.6</v>
      </c>
      <c r="K1995">
        <v>18</v>
      </c>
      <c r="L1995">
        <v>62</v>
      </c>
      <c r="M1995">
        <v>-89.7</v>
      </c>
      <c r="N1995" t="s">
        <v>23</v>
      </c>
      <c r="O1995">
        <v>4</v>
      </c>
      <c r="P1995">
        <v>598</v>
      </c>
      <c r="Q1995">
        <v>616</v>
      </c>
      <c r="R1995" t="s">
        <v>2054</v>
      </c>
    </row>
    <row r="1996" spans="1:18" x14ac:dyDescent="0.25">
      <c r="A1996" t="s">
        <v>2047</v>
      </c>
      <c r="B1996" s="1">
        <v>46017</v>
      </c>
      <c r="C1996" s="1">
        <v>46020</v>
      </c>
      <c r="D1996" t="s">
        <v>52</v>
      </c>
      <c r="E1996" t="s">
        <v>30</v>
      </c>
      <c r="F1996" t="s">
        <v>31</v>
      </c>
      <c r="G1996" t="s">
        <v>26</v>
      </c>
      <c r="H1996" t="s">
        <v>22</v>
      </c>
      <c r="I1996">
        <v>3</v>
      </c>
      <c r="J1996">
        <v>30.47</v>
      </c>
      <c r="K1996">
        <v>12</v>
      </c>
      <c r="L1996">
        <v>115</v>
      </c>
      <c r="M1996">
        <v>30.56</v>
      </c>
      <c r="N1996" t="s">
        <v>23</v>
      </c>
      <c r="O1996">
        <v>3</v>
      </c>
      <c r="P1996">
        <v>91.41</v>
      </c>
      <c r="Q1996">
        <v>103.41</v>
      </c>
      <c r="R1996" t="s">
        <v>2054</v>
      </c>
    </row>
    <row r="1997" spans="1:18" x14ac:dyDescent="0.25">
      <c r="A1997" t="s">
        <v>2048</v>
      </c>
      <c r="B1997" s="1">
        <v>46019</v>
      </c>
      <c r="C1997" s="1">
        <v>46024</v>
      </c>
      <c r="D1997" t="s">
        <v>52</v>
      </c>
      <c r="E1997" t="s">
        <v>30</v>
      </c>
      <c r="F1997" t="s">
        <v>31</v>
      </c>
      <c r="G1997" t="s">
        <v>26</v>
      </c>
      <c r="H1997" t="s">
        <v>27</v>
      </c>
      <c r="I1997">
        <v>5</v>
      </c>
      <c r="J1997">
        <v>61.75</v>
      </c>
      <c r="K1997">
        <v>12</v>
      </c>
      <c r="L1997">
        <v>188</v>
      </c>
      <c r="M1997">
        <v>117.5</v>
      </c>
      <c r="N1997" t="s">
        <v>23</v>
      </c>
      <c r="O1997">
        <v>5</v>
      </c>
      <c r="P1997">
        <v>308.75</v>
      </c>
      <c r="Q1997">
        <v>320.75</v>
      </c>
      <c r="R1997" t="s">
        <v>2054</v>
      </c>
    </row>
    <row r="1998" spans="1:18" x14ac:dyDescent="0.25">
      <c r="A1998" t="s">
        <v>2049</v>
      </c>
      <c r="B1998" s="1">
        <v>46019</v>
      </c>
      <c r="C1998" s="1">
        <v>46021</v>
      </c>
      <c r="D1998" t="s">
        <v>78</v>
      </c>
      <c r="E1998" t="s">
        <v>79</v>
      </c>
      <c r="F1998" t="s">
        <v>80</v>
      </c>
      <c r="G1998" t="s">
        <v>35</v>
      </c>
      <c r="H1998" t="s">
        <v>40</v>
      </c>
      <c r="I1998">
        <v>2</v>
      </c>
      <c r="J1998">
        <v>70.650000000000006</v>
      </c>
      <c r="K1998">
        <v>18</v>
      </c>
      <c r="L1998">
        <v>184</v>
      </c>
      <c r="M1998">
        <v>-21.19</v>
      </c>
      <c r="N1998" t="s">
        <v>23</v>
      </c>
      <c r="O1998">
        <v>2</v>
      </c>
      <c r="P1998">
        <v>141.30000000000001</v>
      </c>
      <c r="Q1998">
        <v>159.30000000000001</v>
      </c>
      <c r="R1998" t="s">
        <v>2054</v>
      </c>
    </row>
    <row r="1999" spans="1:18" x14ac:dyDescent="0.25">
      <c r="A1999" t="s">
        <v>2050</v>
      </c>
      <c r="B1999" s="1">
        <v>46019</v>
      </c>
      <c r="C1999" s="1">
        <v>46020</v>
      </c>
      <c r="D1999" t="s">
        <v>18</v>
      </c>
      <c r="E1999" t="s">
        <v>19</v>
      </c>
      <c r="F1999" t="s">
        <v>20</v>
      </c>
      <c r="G1999" t="s">
        <v>26</v>
      </c>
      <c r="H1999" t="s">
        <v>32</v>
      </c>
      <c r="I1999">
        <v>12</v>
      </c>
      <c r="J1999">
        <v>25.47</v>
      </c>
      <c r="K1999">
        <v>8</v>
      </c>
      <c r="L1999">
        <v>192</v>
      </c>
      <c r="M1999">
        <v>20.45</v>
      </c>
      <c r="N1999" t="s">
        <v>23</v>
      </c>
      <c r="O1999">
        <v>1</v>
      </c>
      <c r="P1999">
        <v>305.64</v>
      </c>
      <c r="Q1999">
        <v>313.64</v>
      </c>
      <c r="R1999" t="s">
        <v>2054</v>
      </c>
    </row>
    <row r="2000" spans="1:18" x14ac:dyDescent="0.25">
      <c r="A2000" t="s">
        <v>2051</v>
      </c>
      <c r="B2000" s="1">
        <v>46020</v>
      </c>
      <c r="C2000" s="1">
        <v>46022</v>
      </c>
      <c r="D2000" t="s">
        <v>82</v>
      </c>
      <c r="E2000" t="s">
        <v>79</v>
      </c>
      <c r="F2000" t="s">
        <v>80</v>
      </c>
      <c r="G2000" t="s">
        <v>21</v>
      </c>
      <c r="H2000" t="s">
        <v>40</v>
      </c>
      <c r="I2000">
        <v>3</v>
      </c>
      <c r="J2000">
        <v>62.48</v>
      </c>
      <c r="K2000">
        <v>18</v>
      </c>
      <c r="L2000">
        <v>356</v>
      </c>
      <c r="M2000">
        <v>75.349999999999994</v>
      </c>
      <c r="N2000" t="s">
        <v>23</v>
      </c>
      <c r="O2000">
        <v>2</v>
      </c>
      <c r="P2000">
        <v>187.44</v>
      </c>
      <c r="Q2000">
        <v>205.44</v>
      </c>
      <c r="R2000" t="s">
        <v>2054</v>
      </c>
    </row>
    <row r="2001" spans="1:18" x14ac:dyDescent="0.25">
      <c r="A2001" t="s">
        <v>2052</v>
      </c>
      <c r="B2001" s="1">
        <v>46020</v>
      </c>
      <c r="C2001" s="1">
        <v>46021</v>
      </c>
      <c r="D2001" t="s">
        <v>25</v>
      </c>
      <c r="E2001" t="s">
        <v>19</v>
      </c>
      <c r="F2001" t="s">
        <v>20</v>
      </c>
      <c r="G2001" t="s">
        <v>21</v>
      </c>
      <c r="H2001" t="s">
        <v>40</v>
      </c>
      <c r="I2001">
        <v>6</v>
      </c>
      <c r="J2001">
        <v>34.31</v>
      </c>
      <c r="K2001">
        <v>12</v>
      </c>
      <c r="L2001">
        <v>151</v>
      </c>
      <c r="M2001">
        <v>10.47</v>
      </c>
      <c r="N2001" t="s">
        <v>23</v>
      </c>
      <c r="O2001">
        <v>1</v>
      </c>
      <c r="P2001">
        <v>205.86</v>
      </c>
      <c r="Q2001">
        <v>217.86</v>
      </c>
      <c r="R2001" t="s">
        <v>2054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56D22-623B-4543-845A-158CFB6BBF6D}">
  <dimension ref="A3:M68"/>
  <sheetViews>
    <sheetView topLeftCell="A31" workbookViewId="0">
      <selection activeCell="I65" sqref="I65"/>
    </sheetView>
  </sheetViews>
  <sheetFormatPr defaultRowHeight="15" x14ac:dyDescent="0.25"/>
  <cols>
    <col min="1" max="1" width="13.140625" bestFit="1" customWidth="1"/>
    <col min="2" max="2" width="20.42578125" bestFit="1" customWidth="1"/>
    <col min="3" max="3" width="12.5703125" bestFit="1" customWidth="1"/>
    <col min="4" max="4" width="8.42578125" bestFit="1" customWidth="1"/>
    <col min="5" max="5" width="18.5703125" bestFit="1" customWidth="1"/>
    <col min="6" max="6" width="22.28515625" bestFit="1" customWidth="1"/>
    <col min="7" max="7" width="20.42578125" bestFit="1" customWidth="1"/>
    <col min="8" max="8" width="14.85546875" bestFit="1" customWidth="1"/>
    <col min="9" max="10" width="17.28515625" bestFit="1" customWidth="1"/>
    <col min="11" max="11" width="13.140625" bestFit="1" customWidth="1"/>
    <col min="12" max="12" width="16.28515625" bestFit="1" customWidth="1"/>
    <col min="13" max="13" width="20.42578125" bestFit="1" customWidth="1"/>
    <col min="14" max="14" width="17.28515625" bestFit="1" customWidth="1"/>
  </cols>
  <sheetData>
    <row r="3" spans="1:13" x14ac:dyDescent="0.25">
      <c r="A3" s="2" t="s">
        <v>2057</v>
      </c>
      <c r="B3" t="s">
        <v>2060</v>
      </c>
      <c r="D3" s="4"/>
      <c r="K3" s="2" t="s">
        <v>2057</v>
      </c>
      <c r="L3" t="s">
        <v>2061</v>
      </c>
      <c r="M3" t="s">
        <v>2060</v>
      </c>
    </row>
    <row r="4" spans="1:13" x14ac:dyDescent="0.25">
      <c r="A4" s="3" t="s">
        <v>79</v>
      </c>
      <c r="B4">
        <v>78023.040000000037</v>
      </c>
      <c r="H4" s="2" t="s">
        <v>2057</v>
      </c>
      <c r="I4" t="s">
        <v>2062</v>
      </c>
      <c r="K4" s="3" t="s">
        <v>21</v>
      </c>
      <c r="L4">
        <v>98903</v>
      </c>
      <c r="M4">
        <v>288212.76</v>
      </c>
    </row>
    <row r="5" spans="1:13" x14ac:dyDescent="0.25">
      <c r="A5" s="3" t="s">
        <v>30</v>
      </c>
      <c r="B5">
        <v>101773.68000000008</v>
      </c>
      <c r="E5" s="2" t="s">
        <v>2057</v>
      </c>
      <c r="F5" t="s">
        <v>2060</v>
      </c>
      <c r="H5" s="3" t="s">
        <v>2056</v>
      </c>
      <c r="I5">
        <v>104</v>
      </c>
      <c r="K5" s="3" t="s">
        <v>35</v>
      </c>
      <c r="L5">
        <v>214315</v>
      </c>
      <c r="M5">
        <v>639843.41999999969</v>
      </c>
    </row>
    <row r="6" spans="1:13" x14ac:dyDescent="0.25">
      <c r="A6" s="3" t="s">
        <v>44</v>
      </c>
      <c r="B6">
        <v>701538.5399999998</v>
      </c>
      <c r="E6" s="3" t="s">
        <v>27</v>
      </c>
      <c r="F6">
        <v>268822.78000000003</v>
      </c>
      <c r="H6" s="3" t="s">
        <v>2054</v>
      </c>
      <c r="I6">
        <v>1760</v>
      </c>
      <c r="K6" s="3" t="s">
        <v>26</v>
      </c>
      <c r="L6">
        <v>87592</v>
      </c>
      <c r="M6">
        <v>227753.32999999987</v>
      </c>
    </row>
    <row r="7" spans="1:13" x14ac:dyDescent="0.25">
      <c r="A7" s="3" t="s">
        <v>38</v>
      </c>
      <c r="B7">
        <v>124018.38</v>
      </c>
      <c r="E7" s="3" t="s">
        <v>40</v>
      </c>
      <c r="F7">
        <v>434941.7799999998</v>
      </c>
      <c r="H7" s="3" t="s">
        <v>2055</v>
      </c>
      <c r="I7">
        <v>136</v>
      </c>
      <c r="K7" s="3" t="s">
        <v>2059</v>
      </c>
      <c r="L7">
        <v>400810</v>
      </c>
      <c r="M7">
        <v>1155809.5099999995</v>
      </c>
    </row>
    <row r="8" spans="1:13" x14ac:dyDescent="0.25">
      <c r="A8" s="3" t="s">
        <v>19</v>
      </c>
      <c r="B8">
        <v>150455.87000000005</v>
      </c>
      <c r="E8" s="3" t="s">
        <v>22</v>
      </c>
      <c r="F8">
        <v>214578.21</v>
      </c>
      <c r="H8" s="3" t="s">
        <v>2059</v>
      </c>
      <c r="I8">
        <v>2000</v>
      </c>
    </row>
    <row r="9" spans="1:13" x14ac:dyDescent="0.25">
      <c r="A9" s="3" t="s">
        <v>2059</v>
      </c>
      <c r="B9">
        <v>1155809.51</v>
      </c>
      <c r="E9" s="3" t="s">
        <v>32</v>
      </c>
      <c r="F9">
        <v>237466.74000000011</v>
      </c>
    </row>
    <row r="10" spans="1:13" x14ac:dyDescent="0.25">
      <c r="E10" s="3" t="s">
        <v>2059</v>
      </c>
      <c r="F10">
        <v>1155809.5099999998</v>
      </c>
    </row>
    <row r="13" spans="1:13" x14ac:dyDescent="0.25">
      <c r="H13" s="2" t="s">
        <v>2057</v>
      </c>
      <c r="I13" t="s">
        <v>2060</v>
      </c>
      <c r="J13" t="s">
        <v>2062</v>
      </c>
    </row>
    <row r="14" spans="1:13" x14ac:dyDescent="0.25">
      <c r="H14" s="3" t="s">
        <v>2063</v>
      </c>
      <c r="I14">
        <v>112907.79999999996</v>
      </c>
      <c r="J14">
        <v>184</v>
      </c>
      <c r="L14" s="2" t="s">
        <v>2057</v>
      </c>
      <c r="M14" t="s">
        <v>2060</v>
      </c>
    </row>
    <row r="15" spans="1:13" x14ac:dyDescent="0.25">
      <c r="A15" s="2" t="s">
        <v>2057</v>
      </c>
      <c r="B15" t="s">
        <v>2062</v>
      </c>
      <c r="E15" s="2" t="s">
        <v>2057</v>
      </c>
      <c r="F15" t="s">
        <v>2061</v>
      </c>
      <c r="H15" s="3" t="s">
        <v>2064</v>
      </c>
      <c r="I15">
        <v>101717.66000000002</v>
      </c>
      <c r="J15">
        <v>166</v>
      </c>
      <c r="L15" s="3" t="s">
        <v>56</v>
      </c>
      <c r="M15">
        <v>39088.44</v>
      </c>
    </row>
    <row r="16" spans="1:13" x14ac:dyDescent="0.25">
      <c r="A16" s="3" t="s">
        <v>47</v>
      </c>
      <c r="B16">
        <v>292</v>
      </c>
      <c r="E16" s="3" t="s">
        <v>21</v>
      </c>
      <c r="F16">
        <v>98903</v>
      </c>
      <c r="H16" s="3" t="s">
        <v>2065</v>
      </c>
      <c r="I16">
        <v>91750.52999999997</v>
      </c>
      <c r="J16">
        <v>170</v>
      </c>
      <c r="L16" s="3" t="s">
        <v>54</v>
      </c>
      <c r="M16">
        <v>40070.170000000006</v>
      </c>
    </row>
    <row r="17" spans="1:13" x14ac:dyDescent="0.25">
      <c r="A17" s="3" t="s">
        <v>63</v>
      </c>
      <c r="B17">
        <v>145</v>
      </c>
      <c r="E17" s="5" t="s">
        <v>2056</v>
      </c>
      <c r="F17">
        <v>174</v>
      </c>
      <c r="H17" s="3" t="s">
        <v>2066</v>
      </c>
      <c r="I17">
        <v>95049.9</v>
      </c>
      <c r="J17">
        <v>167</v>
      </c>
      <c r="L17" s="3" t="s">
        <v>18</v>
      </c>
      <c r="M17">
        <v>44327.959999999985</v>
      </c>
    </row>
    <row r="18" spans="1:13" x14ac:dyDescent="0.25">
      <c r="A18" s="3" t="s">
        <v>23</v>
      </c>
      <c r="B18">
        <v>1563</v>
      </c>
      <c r="E18" s="5" t="s">
        <v>2054</v>
      </c>
      <c r="F18">
        <v>97215</v>
      </c>
      <c r="H18" s="3" t="s">
        <v>2067</v>
      </c>
      <c r="I18">
        <v>99953.040000000023</v>
      </c>
      <c r="J18">
        <v>179</v>
      </c>
      <c r="L18" s="3" t="s">
        <v>37</v>
      </c>
      <c r="M18">
        <v>44859.76999999999</v>
      </c>
    </row>
    <row r="19" spans="1:13" x14ac:dyDescent="0.25">
      <c r="A19" s="3" t="s">
        <v>2059</v>
      </c>
      <c r="B19">
        <v>2000</v>
      </c>
      <c r="E19" s="5" t="s">
        <v>2055</v>
      </c>
      <c r="F19">
        <v>1514</v>
      </c>
      <c r="H19" s="3" t="s">
        <v>2068</v>
      </c>
      <c r="I19">
        <v>85820.01999999999</v>
      </c>
      <c r="J19">
        <v>148</v>
      </c>
      <c r="L19" s="3" t="s">
        <v>58</v>
      </c>
      <c r="M19">
        <v>49326.64999999998</v>
      </c>
    </row>
    <row r="20" spans="1:13" x14ac:dyDescent="0.25">
      <c r="E20" s="3" t="s">
        <v>35</v>
      </c>
      <c r="F20">
        <v>214315</v>
      </c>
      <c r="H20" s="3" t="s">
        <v>2069</v>
      </c>
      <c r="I20">
        <v>98787.109999999986</v>
      </c>
      <c r="J20">
        <v>157</v>
      </c>
      <c r="L20" s="3" t="s">
        <v>25</v>
      </c>
      <c r="M20">
        <v>56801.259999999995</v>
      </c>
    </row>
    <row r="21" spans="1:13" x14ac:dyDescent="0.25">
      <c r="A21" s="2" t="s">
        <v>2057</v>
      </c>
      <c r="B21" t="s">
        <v>2060</v>
      </c>
      <c r="C21" t="s">
        <v>2058</v>
      </c>
      <c r="E21" s="5" t="s">
        <v>2056</v>
      </c>
      <c r="F21">
        <v>253</v>
      </c>
      <c r="H21" s="3" t="s">
        <v>2070</v>
      </c>
      <c r="I21">
        <v>101916.47000000003</v>
      </c>
      <c r="J21">
        <v>174</v>
      </c>
      <c r="L21" s="3" t="s">
        <v>72</v>
      </c>
      <c r="M21">
        <v>152204.74000000005</v>
      </c>
    </row>
    <row r="22" spans="1:13" x14ac:dyDescent="0.25">
      <c r="A22" s="3" t="s">
        <v>80</v>
      </c>
      <c r="B22">
        <v>78023.040000000037</v>
      </c>
      <c r="C22">
        <v>29132.930000000015</v>
      </c>
      <c r="E22" s="5" t="s">
        <v>2054</v>
      </c>
      <c r="F22">
        <v>211534</v>
      </c>
      <c r="H22" s="3" t="s">
        <v>2071</v>
      </c>
      <c r="I22">
        <v>83394.680000000037</v>
      </c>
      <c r="J22">
        <v>150</v>
      </c>
      <c r="L22" s="3" t="s">
        <v>43</v>
      </c>
      <c r="M22">
        <v>176125.86000000007</v>
      </c>
    </row>
    <row r="23" spans="1:13" x14ac:dyDescent="0.25">
      <c r="A23" s="3" t="s">
        <v>20</v>
      </c>
      <c r="B23">
        <v>150455.87000000005</v>
      </c>
      <c r="C23">
        <v>7312.7899999999936</v>
      </c>
      <c r="E23" s="5" t="s">
        <v>2055</v>
      </c>
      <c r="F23">
        <v>2528</v>
      </c>
      <c r="H23" s="3" t="s">
        <v>2072</v>
      </c>
      <c r="I23">
        <v>96066.68</v>
      </c>
      <c r="J23">
        <v>170</v>
      </c>
      <c r="L23" s="3" t="s">
        <v>75</v>
      </c>
      <c r="M23">
        <v>185591.08000000005</v>
      </c>
    </row>
    <row r="24" spans="1:13" x14ac:dyDescent="0.25">
      <c r="A24" s="3" t="s">
        <v>45</v>
      </c>
      <c r="B24">
        <v>701538.5399999998</v>
      </c>
      <c r="C24">
        <v>230219.54000000018</v>
      </c>
      <c r="E24" s="3" t="s">
        <v>26</v>
      </c>
      <c r="F24">
        <v>87592</v>
      </c>
      <c r="H24" s="3" t="s">
        <v>2073</v>
      </c>
      <c r="I24">
        <v>95182.909999999989</v>
      </c>
      <c r="J24">
        <v>163</v>
      </c>
      <c r="L24" s="3" t="s">
        <v>50</v>
      </c>
      <c r="M24">
        <v>187616.85999999993</v>
      </c>
    </row>
    <row r="25" spans="1:13" x14ac:dyDescent="0.25">
      <c r="A25" s="3" t="s">
        <v>39</v>
      </c>
      <c r="B25">
        <v>124018.38</v>
      </c>
      <c r="C25">
        <v>12405.979999999994</v>
      </c>
      <c r="E25" s="5" t="s">
        <v>2056</v>
      </c>
      <c r="F25">
        <v>96</v>
      </c>
      <c r="H25" s="3" t="s">
        <v>2074</v>
      </c>
      <c r="I25">
        <v>93262.710000000021</v>
      </c>
      <c r="J25">
        <v>172</v>
      </c>
      <c r="L25" s="3" t="s">
        <v>2059</v>
      </c>
      <c r="M25">
        <v>976012.79</v>
      </c>
    </row>
    <row r="26" spans="1:13" x14ac:dyDescent="0.25">
      <c r="A26" s="3" t="s">
        <v>31</v>
      </c>
      <c r="B26">
        <v>101773.68000000008</v>
      </c>
      <c r="C26">
        <v>35585.32999999998</v>
      </c>
      <c r="E26" s="5" t="s">
        <v>2054</v>
      </c>
      <c r="F26">
        <v>86665</v>
      </c>
      <c r="H26" s="3" t="s">
        <v>2059</v>
      </c>
      <c r="I26">
        <v>1155809.509999997</v>
      </c>
      <c r="J26">
        <v>2000</v>
      </c>
    </row>
    <row r="27" spans="1:13" x14ac:dyDescent="0.25">
      <c r="A27" s="3" t="s">
        <v>2059</v>
      </c>
      <c r="B27">
        <v>1155809.5100000002</v>
      </c>
      <c r="C27">
        <v>314656.57000000012</v>
      </c>
      <c r="E27" s="5" t="s">
        <v>2055</v>
      </c>
      <c r="F27">
        <v>831</v>
      </c>
    </row>
    <row r="28" spans="1:13" x14ac:dyDescent="0.25">
      <c r="E28" s="3" t="s">
        <v>2059</v>
      </c>
      <c r="F28">
        <v>400810</v>
      </c>
    </row>
    <row r="62" spans="9:9" x14ac:dyDescent="0.25">
      <c r="I62" s="9">
        <f>SUM('clean data'!P:P)</f>
        <v>1155809.5099999981</v>
      </c>
    </row>
    <row r="63" spans="9:9" x14ac:dyDescent="0.25">
      <c r="I63" s="9">
        <f>SUM('clean data'!M:M)</f>
        <v>314656.57000000024</v>
      </c>
    </row>
    <row r="64" spans="9:9" x14ac:dyDescent="0.25">
      <c r="I64">
        <f>ROUND(AVERAGE('clean data'!O:O),0)</f>
        <v>5</v>
      </c>
    </row>
    <row r="65" spans="9:9" x14ac:dyDescent="0.25">
      <c r="I65" s="6">
        <f>I62/I63</f>
        <v>3.6732413055923074</v>
      </c>
    </row>
    <row r="66" spans="9:9" x14ac:dyDescent="0.25">
      <c r="I66">
        <f>ROUND(COUNTIF('clean data'!N:N,"On Time")/COUNTA('clean data'!N:N)*100,2)</f>
        <v>78.11</v>
      </c>
    </row>
    <row r="67" spans="9:9" x14ac:dyDescent="0.25">
      <c r="I67">
        <f>COUNTA(_xlfn.UNIQUE('clean data'!E:E))</f>
        <v>7</v>
      </c>
    </row>
    <row r="68" spans="9:9" x14ac:dyDescent="0.25">
      <c r="I68" s="8">
        <f>I62/I63</f>
        <v>3.6732413055923074</v>
      </c>
    </row>
  </sheetData>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7D73-743E-4D71-A1CF-557D9F608CC5}">
  <sheetPr>
    <pageSetUpPr fitToPage="1"/>
  </sheetPr>
  <dimension ref="A1:Y34"/>
  <sheetViews>
    <sheetView showGridLines="0" zoomScale="110" zoomScaleNormal="110" workbookViewId="0">
      <selection sqref="A1:Y32"/>
    </sheetView>
  </sheetViews>
  <sheetFormatPr defaultRowHeight="15" x14ac:dyDescent="0.25"/>
  <cols>
    <col min="17" max="17" width="23.28515625" customWidth="1"/>
  </cols>
  <sheetData>
    <row r="1" spans="1:25" ht="33" x14ac:dyDescent="0.45">
      <c r="A1" s="10" t="s">
        <v>2075</v>
      </c>
      <c r="B1" s="10"/>
      <c r="C1" s="10"/>
      <c r="D1" s="10"/>
      <c r="E1" s="10"/>
      <c r="F1" s="10"/>
      <c r="G1" s="10"/>
      <c r="H1" s="10"/>
      <c r="I1" s="10"/>
      <c r="J1" s="10"/>
      <c r="K1" s="10"/>
      <c r="L1" s="10"/>
      <c r="M1" s="10"/>
      <c r="N1" s="10"/>
      <c r="O1" s="10"/>
      <c r="P1" s="10"/>
      <c r="Q1" s="10"/>
      <c r="R1" s="10"/>
      <c r="S1" s="10"/>
      <c r="T1" s="10"/>
      <c r="U1" s="10"/>
      <c r="V1" s="10"/>
      <c r="W1" s="10"/>
      <c r="X1" s="10"/>
      <c r="Y1" s="10"/>
    </row>
    <row r="2" spans="1:25" x14ac:dyDescent="0.25">
      <c r="R2" s="7"/>
      <c r="S2" s="7"/>
      <c r="T2" s="7"/>
      <c r="U2" s="7"/>
      <c r="V2" s="7"/>
      <c r="W2" s="7"/>
      <c r="X2" s="7"/>
      <c r="Y2" s="7"/>
    </row>
    <row r="3" spans="1:25" x14ac:dyDescent="0.25">
      <c r="R3" s="7"/>
      <c r="S3" s="7"/>
      <c r="T3" s="7"/>
      <c r="U3" s="7"/>
      <c r="V3" s="7"/>
      <c r="W3" s="7"/>
      <c r="X3" s="7"/>
      <c r="Y3" s="7"/>
    </row>
    <row r="4" spans="1:25" x14ac:dyDescent="0.25">
      <c r="R4" s="7"/>
      <c r="S4" s="7"/>
      <c r="T4" s="7"/>
      <c r="U4" s="7"/>
      <c r="V4" s="7"/>
      <c r="W4" s="7"/>
      <c r="X4" s="7"/>
      <c r="Y4" s="7"/>
    </row>
    <row r="5" spans="1:25" x14ac:dyDescent="0.25">
      <c r="C5" s="7"/>
      <c r="R5" s="7"/>
      <c r="S5" s="7"/>
      <c r="T5" s="7"/>
      <c r="U5" s="7"/>
      <c r="V5" s="7"/>
      <c r="W5" s="7"/>
      <c r="X5" s="7"/>
      <c r="Y5" s="7"/>
    </row>
    <row r="6" spans="1:25" x14ac:dyDescent="0.25">
      <c r="R6" s="7"/>
      <c r="S6" s="7"/>
      <c r="T6" s="7"/>
      <c r="U6" s="7"/>
      <c r="V6" s="7"/>
      <c r="W6" s="7"/>
      <c r="X6" s="7"/>
      <c r="Y6" s="7"/>
    </row>
    <row r="7" spans="1:25" x14ac:dyDescent="0.25">
      <c r="R7" s="7"/>
      <c r="S7" s="7"/>
      <c r="T7" s="7"/>
      <c r="U7" s="7"/>
      <c r="V7" s="7"/>
      <c r="W7" s="7"/>
      <c r="X7" s="7"/>
      <c r="Y7" s="7"/>
    </row>
    <row r="8" spans="1:25" x14ac:dyDescent="0.25">
      <c r="R8" s="7"/>
      <c r="S8" s="7"/>
      <c r="T8" s="7"/>
      <c r="U8" s="7"/>
      <c r="V8" s="7"/>
      <c r="W8" s="7"/>
      <c r="X8" s="7"/>
      <c r="Y8" s="7"/>
    </row>
    <row r="9" spans="1:25" x14ac:dyDescent="0.25">
      <c r="R9" s="7"/>
      <c r="S9" s="7"/>
      <c r="T9" s="7"/>
      <c r="U9" s="7"/>
      <c r="V9" s="7"/>
      <c r="W9" s="7"/>
      <c r="X9" s="7"/>
      <c r="Y9" s="7"/>
    </row>
    <row r="10" spans="1:25" x14ac:dyDescent="0.25">
      <c r="R10" s="7"/>
      <c r="S10" s="7"/>
      <c r="T10" s="7"/>
      <c r="U10" s="7"/>
      <c r="V10" s="7"/>
      <c r="W10" s="7"/>
      <c r="X10" s="7"/>
      <c r="Y10" s="7"/>
    </row>
    <row r="11" spans="1:25" x14ac:dyDescent="0.25">
      <c r="R11" s="7"/>
      <c r="S11" s="7"/>
      <c r="T11" s="7"/>
      <c r="U11" s="7"/>
      <c r="V11" s="7"/>
      <c r="W11" s="7"/>
      <c r="X11" s="7"/>
      <c r="Y11" s="7"/>
    </row>
    <row r="12" spans="1:25" x14ac:dyDescent="0.25">
      <c r="R12" s="7"/>
      <c r="S12" s="7"/>
      <c r="T12" s="7"/>
      <c r="U12" s="7"/>
      <c r="V12" s="7"/>
      <c r="W12" s="7"/>
      <c r="X12" s="7"/>
      <c r="Y12" s="7"/>
    </row>
    <row r="13" spans="1:25" x14ac:dyDescent="0.25">
      <c r="R13" s="7"/>
      <c r="S13" s="7"/>
      <c r="T13" s="7"/>
      <c r="U13" s="7"/>
      <c r="V13" s="7"/>
      <c r="W13" s="7"/>
      <c r="X13" s="7"/>
      <c r="Y13" s="7"/>
    </row>
    <row r="14" spans="1:25" x14ac:dyDescent="0.25">
      <c r="R14" s="7"/>
      <c r="S14" s="7"/>
      <c r="T14" s="7"/>
      <c r="U14" s="7"/>
      <c r="V14" s="7"/>
      <c r="W14" s="7"/>
      <c r="X14" s="7"/>
      <c r="Y14" s="7"/>
    </row>
    <row r="15" spans="1:25" x14ac:dyDescent="0.25">
      <c r="R15" s="7"/>
      <c r="S15" s="7"/>
      <c r="T15" s="7"/>
      <c r="U15" s="7"/>
      <c r="V15" s="7"/>
      <c r="W15" s="7"/>
      <c r="X15" s="7"/>
      <c r="Y15" s="7"/>
    </row>
    <row r="16" spans="1:25" x14ac:dyDescent="0.25">
      <c r="R16" s="7"/>
      <c r="S16" s="7"/>
      <c r="T16" s="7"/>
      <c r="U16" s="7"/>
      <c r="V16" s="7"/>
      <c r="W16" s="7"/>
      <c r="X16" s="7"/>
      <c r="Y16" s="7"/>
    </row>
    <row r="17" spans="18:25" x14ac:dyDescent="0.25">
      <c r="R17" s="7"/>
      <c r="S17" s="7"/>
      <c r="T17" s="7"/>
      <c r="U17" s="7"/>
      <c r="V17" s="7"/>
      <c r="W17" s="7"/>
      <c r="X17" s="7"/>
      <c r="Y17" s="7"/>
    </row>
    <row r="18" spans="18:25" x14ac:dyDescent="0.25">
      <c r="R18" s="7"/>
      <c r="S18" s="7"/>
      <c r="T18" s="7"/>
      <c r="U18" s="7"/>
      <c r="V18" s="7"/>
      <c r="W18" s="7"/>
      <c r="X18" s="7"/>
      <c r="Y18" s="7"/>
    </row>
    <row r="19" spans="18:25" x14ac:dyDescent="0.25">
      <c r="R19" s="7"/>
      <c r="S19" s="7"/>
      <c r="T19" s="7"/>
      <c r="U19" s="7"/>
      <c r="V19" s="7"/>
      <c r="W19" s="7"/>
      <c r="X19" s="7"/>
      <c r="Y19" s="7"/>
    </row>
    <row r="20" spans="18:25" x14ac:dyDescent="0.25">
      <c r="R20" s="7"/>
      <c r="S20" s="7"/>
      <c r="T20" s="7"/>
      <c r="U20" s="7"/>
      <c r="V20" s="7"/>
      <c r="W20" s="7"/>
      <c r="X20" s="7"/>
      <c r="Y20" s="7"/>
    </row>
    <row r="21" spans="18:25" x14ac:dyDescent="0.25">
      <c r="R21" s="7"/>
      <c r="S21" s="7"/>
      <c r="T21" s="7"/>
      <c r="U21" s="7"/>
      <c r="V21" s="7"/>
      <c r="W21" s="7"/>
      <c r="X21" s="7"/>
      <c r="Y21" s="7"/>
    </row>
    <row r="22" spans="18:25" x14ac:dyDescent="0.25">
      <c r="R22" s="7"/>
      <c r="S22" s="7"/>
      <c r="T22" s="7"/>
      <c r="U22" s="7"/>
      <c r="V22" s="7"/>
      <c r="W22" s="7"/>
      <c r="X22" s="7"/>
      <c r="Y22" s="7"/>
    </row>
    <row r="23" spans="18:25" x14ac:dyDescent="0.25">
      <c r="R23" s="7"/>
      <c r="S23" s="7"/>
      <c r="T23" s="7"/>
      <c r="U23" s="7"/>
      <c r="V23" s="7"/>
      <c r="W23" s="7"/>
      <c r="X23" s="7"/>
      <c r="Y23" s="7"/>
    </row>
    <row r="24" spans="18:25" x14ac:dyDescent="0.25">
      <c r="R24" s="7"/>
      <c r="S24" s="7"/>
      <c r="T24" s="7"/>
      <c r="U24" s="7"/>
      <c r="V24" s="7"/>
      <c r="W24" s="7"/>
      <c r="X24" s="7"/>
      <c r="Y24" s="7"/>
    </row>
    <row r="25" spans="18:25" x14ac:dyDescent="0.25">
      <c r="R25" s="7"/>
      <c r="S25" s="7"/>
      <c r="T25" s="7"/>
      <c r="U25" s="7"/>
      <c r="V25" s="7"/>
      <c r="W25" s="7"/>
      <c r="X25" s="7"/>
      <c r="Y25" s="7"/>
    </row>
    <row r="26" spans="18:25" x14ac:dyDescent="0.25">
      <c r="R26" s="7"/>
      <c r="S26" s="7"/>
      <c r="T26" s="7"/>
      <c r="U26" s="7"/>
      <c r="V26" s="7"/>
      <c r="W26" s="7"/>
      <c r="X26" s="7"/>
      <c r="Y26" s="7"/>
    </row>
    <row r="27" spans="18:25" x14ac:dyDescent="0.25">
      <c r="R27" s="7"/>
      <c r="S27" s="7"/>
      <c r="T27" s="7"/>
      <c r="U27" s="7"/>
      <c r="V27" s="7"/>
      <c r="W27" s="7"/>
      <c r="X27" s="7"/>
      <c r="Y27" s="7"/>
    </row>
    <row r="28" spans="18:25" x14ac:dyDescent="0.25">
      <c r="R28" s="7"/>
      <c r="S28" s="7"/>
      <c r="T28" s="7"/>
      <c r="U28" s="7"/>
      <c r="V28" s="7"/>
      <c r="W28" s="7"/>
      <c r="X28" s="7"/>
      <c r="Y28" s="7"/>
    </row>
    <row r="29" spans="18:25" x14ac:dyDescent="0.25">
      <c r="R29" s="7"/>
      <c r="S29" s="7"/>
      <c r="T29" s="7"/>
      <c r="U29" s="7"/>
      <c r="V29" s="7"/>
      <c r="W29" s="7"/>
      <c r="X29" s="7"/>
      <c r="Y29" s="7"/>
    </row>
    <row r="30" spans="18:25" x14ac:dyDescent="0.25">
      <c r="R30" s="7"/>
      <c r="S30" s="7"/>
      <c r="T30" s="7"/>
      <c r="U30" s="7"/>
      <c r="V30" s="7"/>
      <c r="W30" s="7"/>
      <c r="X30" s="7"/>
      <c r="Y30" s="7"/>
    </row>
    <row r="31" spans="18:25" x14ac:dyDescent="0.25">
      <c r="R31" s="7"/>
      <c r="S31" s="7"/>
      <c r="T31" s="7"/>
      <c r="U31" s="7"/>
      <c r="V31" s="7"/>
      <c r="W31" s="7"/>
      <c r="X31" s="7"/>
      <c r="Y31" s="7"/>
    </row>
    <row r="32" spans="18:25" x14ac:dyDescent="0.25">
      <c r="R32" s="7"/>
      <c r="S32" s="7"/>
      <c r="T32" s="7"/>
      <c r="U32" s="7"/>
      <c r="V32" s="7"/>
      <c r="W32" s="7"/>
      <c r="X32" s="7"/>
      <c r="Y32" s="7"/>
    </row>
    <row r="33" spans="18:25" x14ac:dyDescent="0.25">
      <c r="R33" s="7"/>
      <c r="S33" s="7"/>
      <c r="T33" s="7"/>
      <c r="U33" s="7"/>
      <c r="V33" s="7"/>
      <c r="W33" s="7"/>
      <c r="X33" s="7"/>
      <c r="Y33" s="7"/>
    </row>
    <row r="34" spans="18:25" x14ac:dyDescent="0.25">
      <c r="R34" s="7"/>
      <c r="S34" s="7"/>
      <c r="T34" s="7"/>
      <c r="U34" s="7"/>
      <c r="V34" s="7"/>
      <c r="W34" s="7"/>
      <c r="X34" s="7"/>
      <c r="Y34" s="7"/>
    </row>
  </sheetData>
  <mergeCells count="1">
    <mergeCell ref="A1:Y1"/>
  </mergeCells>
  <pageMargins left="0.70866141732283472" right="0.70866141732283472" top="0.74803149606299213" bottom="0.74803149606299213" header="0.31496062992125984" footer="0.31496062992125984"/>
  <pageSetup scale="5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E5AAA46-3F40-415D-A289-8E78F6FAAC1F}">
  <ds:schemaRefs/>
</ds:datastoreItem>
</file>

<file path=customXml/itemProps2.xml><?xml version="1.0" encoding="utf-8"?>
<ds:datastoreItem xmlns:ds="http://schemas.openxmlformats.org/officeDocument/2006/customXml" ds:itemID="{00643C5E-F3F6-40CA-9D2B-C7EF15C64C5C}">
  <ds:schemaRefs/>
</ds:datastoreItem>
</file>

<file path=customXml/itemProps3.xml><?xml version="1.0" encoding="utf-8"?>
<ds:datastoreItem xmlns:ds="http://schemas.openxmlformats.org/officeDocument/2006/customXml" ds:itemID="{20BC8659-0B12-4F30-9B6A-308F5C438BAF}">
  <ds:schemaRefs/>
</ds:datastoreItem>
</file>

<file path=customXml/itemProps4.xml><?xml version="1.0" encoding="utf-8"?>
<ds:datastoreItem xmlns:ds="http://schemas.openxmlformats.org/officeDocument/2006/customXml" ds:itemID="{B9864480-0F64-440F-A066-D7F2AA8442A0}">
  <ds:schemaRefs/>
</ds:datastoreItem>
</file>

<file path=customXml/itemProps5.xml><?xml version="1.0" encoding="utf-8"?>
<ds:datastoreItem xmlns:ds="http://schemas.openxmlformats.org/officeDocument/2006/customXml" ds:itemID="{53A084DE-9EFD-4644-A82F-F84BD3616355}">
  <ds:schemaRefs/>
</ds:datastoreItem>
</file>

<file path=customXml/itemProps6.xml><?xml version="1.0" encoding="utf-8"?>
<ds:datastoreItem xmlns:ds="http://schemas.openxmlformats.org/officeDocument/2006/customXml" ds:itemID="{EEB83DE4-3D60-4EBF-AD94-FB994DFDC579}">
  <ds:schemaRefs/>
</ds:datastoreItem>
</file>

<file path=customXml/itemProps7.xml><?xml version="1.0" encoding="utf-8"?>
<ds:datastoreItem xmlns:ds="http://schemas.openxmlformats.org/officeDocument/2006/customXml" ds:itemID="{624595B2-CAFF-4C33-8E25-6F448D8863B5}">
  <ds:schemaRefs/>
</ds:datastoreItem>
</file>

<file path=customXml/itemProps8.xml><?xml version="1.0" encoding="utf-8"?>
<ds:datastoreItem xmlns:ds="http://schemas.openxmlformats.org/officeDocument/2006/customXml" ds:itemID="{EB3CF751-C75C-497B-B602-BA7D64473254}">
  <ds:schemaRefs/>
</ds:datastoreItem>
</file>

<file path=customXml/itemProps9.xml><?xml version="1.0" encoding="utf-8"?>
<ds:datastoreItem xmlns:ds="http://schemas.openxmlformats.org/officeDocument/2006/customXml" ds:itemID="{D38A27C5-D5E2-482A-9C76-6BB992E8C249}">
  <ds:schemaRefs/>
</ds:datastoreItem>
</file>

<file path=customXml/itemProps10.xml><?xml version="1.0" encoding="utf-8"?>
<ds:datastoreItem xmlns:ds="http://schemas.openxmlformats.org/officeDocument/2006/customXml" ds:itemID="{2C953FC5-90FF-4641-AB3D-A6D239B5D964}">
  <ds:schemaRefs/>
</ds:datastoreItem>
</file>

<file path=customXml/itemProps11.xml><?xml version="1.0" encoding="utf-8"?>
<ds:datastoreItem xmlns:ds="http://schemas.openxmlformats.org/officeDocument/2006/customXml" ds:itemID="{F2A68D64-EFE8-451A-B6C6-84FF36DE33EA}">
  <ds:schemaRefs/>
</ds:datastoreItem>
</file>

<file path=customXml/itemProps12.xml><?xml version="1.0" encoding="utf-8"?>
<ds:datastoreItem xmlns:ds="http://schemas.openxmlformats.org/officeDocument/2006/customXml" ds:itemID="{856E01BE-3BA7-4244-AF59-2CC88BF76F3D}">
  <ds:schemaRefs/>
</ds:datastoreItem>
</file>

<file path=customXml/itemProps13.xml><?xml version="1.0" encoding="utf-8"?>
<ds:datastoreItem xmlns:ds="http://schemas.openxmlformats.org/officeDocument/2006/customXml" ds:itemID="{EDA782CC-06F3-46BA-B9D2-BC7C2781DCC8}">
  <ds:schemaRefs/>
</ds:datastoreItem>
</file>

<file path=customXml/itemProps14.xml><?xml version="1.0" encoding="utf-8"?>
<ds:datastoreItem xmlns:ds="http://schemas.openxmlformats.org/officeDocument/2006/customXml" ds:itemID="{D7E04F05-C4C8-4EAC-84BD-0C6CB12735E0}">
  <ds:schemaRefs/>
</ds:datastoreItem>
</file>

<file path=customXml/itemProps15.xml><?xml version="1.0" encoding="utf-8"?>
<ds:datastoreItem xmlns:ds="http://schemas.openxmlformats.org/officeDocument/2006/customXml" ds:itemID="{9FCA6BC5-AD83-4BCB-878E-C3A94C69E40F}">
  <ds:schemaRefs/>
</ds:datastoreItem>
</file>

<file path=customXml/itemProps16.xml><?xml version="1.0" encoding="utf-8"?>
<ds:datastoreItem xmlns:ds="http://schemas.openxmlformats.org/officeDocument/2006/customXml" ds:itemID="{8825D225-438F-4ED2-AF87-B498EEB2466B}">
  <ds:schemaRefs>
    <ds:schemaRef ds:uri="http://schemas.microsoft.com/DataMashup"/>
  </ds:schemaRefs>
</ds:datastoreItem>
</file>

<file path=customXml/itemProps17.xml><?xml version="1.0" encoding="utf-8"?>
<ds:datastoreItem xmlns:ds="http://schemas.openxmlformats.org/officeDocument/2006/customXml" ds:itemID="{C4CF5BEA-325C-4ECE-917B-63C02CA985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clean data</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kasbekar</dc:creator>
  <cp:lastModifiedBy>sunil kasbekar</cp:lastModifiedBy>
  <cp:lastPrinted>2026-06-10T15:18:48Z</cp:lastPrinted>
  <dcterms:created xsi:type="dcterms:W3CDTF">2026-05-16T11:54:19Z</dcterms:created>
  <dcterms:modified xsi:type="dcterms:W3CDTF">2026-06-10T15:21:22Z</dcterms:modified>
</cp:coreProperties>
</file>